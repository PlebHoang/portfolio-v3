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trlProps/ctrlProp1.xml" ContentType="application/vnd.ms-excel.controlproperties+xml"/>
  <Override PartName="/xl/drawings/drawing7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ctrlProps/ctrlProp3.xml" ContentType="application/vnd.ms-excel.controlproperties+xml"/>
  <Override PartName="/xl/drawings/drawing10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nkho\Downloads\"/>
    </mc:Choice>
  </mc:AlternateContent>
  <xr:revisionPtr revIDLastSave="0" documentId="8_{20DA7B0A-3FD7-40D4-A571-ED702C84F1F6}" xr6:coauthVersionLast="47" xr6:coauthVersionMax="47" xr10:uidLastSave="{00000000-0000-0000-0000-000000000000}"/>
  <bookViews>
    <workbookView xWindow="-110" yWindow="-110" windowWidth="29020" windowHeight="17500" firstSheet="16" activeTab="20" xr2:uid="{49EAED0B-733C-8D44-BDE8-5B921E722C2C}"/>
  </bookViews>
  <sheets>
    <sheet name="S01 Production Morphology" sheetId="22" r:id="rId1"/>
    <sheet name="S02 Location Selection" sheetId="27" r:id="rId2"/>
    <sheet name="S03 Location Prioritization" sheetId="23" r:id="rId3"/>
    <sheet name="S04 Product Life Cyle" sheetId="24" r:id="rId4"/>
    <sheet name="S05 Req Weights" sheetId="25" r:id="rId5"/>
    <sheet name="S06 Requirements HoQ" sheetId="26" r:id="rId6"/>
    <sheet name="S07 Material Properties" sheetId="28" r:id="rId7"/>
    <sheet name="S08 Mat. Prop. Weights" sheetId="29" r:id="rId8"/>
    <sheet name="S09 Mat. Perf. Index" sheetId="30" r:id="rId9"/>
    <sheet name="S10 Mat. Cost per Strength" sheetId="31" r:id="rId10"/>
    <sheet name="S11 Material FOM" sheetId="32" r:id="rId11"/>
    <sheet name="S12 Size Calculator" sheetId="33" r:id="rId12"/>
    <sheet name="S13 Initial Parameters" sheetId="34" r:id="rId13"/>
    <sheet name="S14 ABC Output" sheetId="35" r:id="rId14"/>
    <sheet name="S15 BOM" sheetId="36" r:id="rId15"/>
    <sheet name="S16 Route Sheets" sheetId="37" r:id="rId16"/>
    <sheet name="S17 Work Stations" sheetId="38" r:id="rId17"/>
    <sheet name="S18 Operations" sheetId="39" r:id="rId18"/>
    <sheet name="S19 Routing Initial" sheetId="40" r:id="rId19"/>
    <sheet name="S20 Clustering" sheetId="41" r:id="rId20"/>
    <sheet name="S21 Routing Clustered" sheetId="42" r:id="rId21"/>
    <sheet name="S22 Required Machine Hours" sheetId="43" r:id="rId22"/>
    <sheet name="S23 Available Working Hours" sheetId="44" r:id="rId23"/>
    <sheet name="S24 Required # of Machines" sheetId="45" r:id="rId24"/>
    <sheet name="S25 Space Coefficient" sheetId="46" r:id="rId25"/>
    <sheet name="S26 Space Requirements" sheetId="47" r:id="rId26"/>
    <sheet name="S27 Material Flow Matrix" sheetId="48" r:id="rId27"/>
    <sheet name="S28 Transportation Matrix" sheetId="49" r:id="rId28"/>
    <sheet name="S29 Distances Matrix" sheetId="50" r:id="rId29"/>
    <sheet name="S30 Transport Intensity Matrix" sheetId="51" r:id="rId30"/>
    <sheet name="S31 Draft Block Layout" sheetId="52" r:id="rId31"/>
    <sheet name="S32 MTM Motion Elements" sheetId="53" r:id="rId32"/>
    <sheet name="S33 Required # Operators" sheetId="54" r:id="rId33"/>
  </sheets>
  <functionGroups builtInGroupCount="19"/>
  <externalReferences>
    <externalReference r:id="rId34"/>
    <externalReference r:id="rId35"/>
    <externalReference r:id="rId36"/>
  </externalReferences>
  <definedNames>
    <definedName name="_xlnm._FilterDatabase" localSheetId="2" hidden="1">'S03 Location Prioritization'!$A$2:$F$2</definedName>
    <definedName name="_xlnm._FilterDatabase" localSheetId="12" hidden="1">'S13 Initial Parameters'!$A$1:$G$1</definedName>
    <definedName name="_xlnm._FilterDatabase" localSheetId="13" hidden="1">'S14 ABC Output'!$A$2:$F$202</definedName>
    <definedName name="_xlnm._FilterDatabase" localSheetId="17" hidden="1">'S18 Operations'!$A$1:$G$534</definedName>
    <definedName name="_xlnm._FilterDatabase" localSheetId="21" hidden="1">'S22 Required Machine Hours'!$A$1:$J$118</definedName>
    <definedName name="BOM_Levels">'[1]BOM 2.5KW'!$AD$1:$AD$2</definedName>
    <definedName name="Make_Buy">'[1]BOM 2.5KW'!$AF$2:$AF$3</definedName>
    <definedName name="MakeBuy" localSheetId="24">'[2]S03 Location Prioritization'!$AF$2:$AF$3</definedName>
    <definedName name="MakeBuy" localSheetId="25">'[2]S03 Location Prioritization'!$AF$2:$AF$3</definedName>
    <definedName name="MakeBuy">'[3]S03 Location Prioritization'!$AF$2:$AF$3</definedName>
    <definedName name="names" localSheetId="1">#REF!</definedName>
    <definedName name="names" localSheetId="2">#REF!</definedName>
    <definedName name="names" localSheetId="3">#REF!</definedName>
    <definedName name="names" localSheetId="4">#REF!</definedName>
    <definedName name="names" localSheetId="5">#REF!</definedName>
    <definedName name="names" localSheetId="6">#REF!</definedName>
    <definedName name="names" localSheetId="7">#REF!</definedName>
    <definedName name="names" localSheetId="8">#REF!</definedName>
    <definedName name="names" localSheetId="9">#REF!</definedName>
    <definedName name="names" localSheetId="10">#REF!</definedName>
    <definedName name="names" localSheetId="11">#REF!</definedName>
    <definedName name="names" localSheetId="21">#REF!</definedName>
    <definedName name="names" localSheetId="22">#REF!</definedName>
    <definedName name="names" localSheetId="23">#REF!</definedName>
    <definedName name="names" localSheetId="24">#REF!</definedName>
    <definedName name="names" localSheetId="25">#REF!</definedName>
    <definedName name="names" localSheetId="31">#REF!</definedName>
    <definedName name="names" localSheetId="32">#REF!</definedName>
    <definedName name="names">#REF!</definedName>
    <definedName name="POWER_USER_EXCEL_CHART_10DFB4BD_AB64_459D_93F7_2E1E56295722" localSheetId="11">#REF!</definedName>
    <definedName name="POWER_USER_EXCEL_CHART_10DFB4BD_AB64_459D_93F7_2E1E56295722" localSheetId="31">#REF!</definedName>
    <definedName name="POWER_USER_EXCEL_CHART_10DFB4BD_AB64_459D_93F7_2E1E56295722" localSheetId="32">#REF!</definedName>
    <definedName name="POWER_USER_EXCEL_CHART_10DFB4BD_AB64_459D_93F7_2E1E56295722">#REF!</definedName>
    <definedName name="POWER_USER_EXCEL_CHART_3FCF8CDC_1C82_4800_BC09_6A7624F588B1" localSheetId="11">#REF!</definedName>
    <definedName name="POWER_USER_EXCEL_CHART_3FCF8CDC_1C82_4800_BC09_6A7624F588B1" localSheetId="31">#REF!</definedName>
    <definedName name="POWER_USER_EXCEL_CHART_3FCF8CDC_1C82_4800_BC09_6A7624F588B1" localSheetId="32">#REF!</definedName>
    <definedName name="POWER_USER_EXCEL_CHART_3FCF8CDC_1C82_4800_BC09_6A7624F588B1">#REF!</definedName>
    <definedName name="POWER_USER_EXCEL_CHART_BE703BC9_692D_48AA_9DA7_CA336198B98D" localSheetId="11">#REF!</definedName>
    <definedName name="POWER_USER_EXCEL_CHART_BE703BC9_692D_48AA_9DA7_CA336198B98D" localSheetId="31">#REF!</definedName>
    <definedName name="POWER_USER_EXCEL_CHART_BE703BC9_692D_48AA_9DA7_CA336198B98D" localSheetId="32">#REF!</definedName>
    <definedName name="POWER_USER_EXCEL_CHART_BE703BC9_692D_48AA_9DA7_CA336198B98D">#REF!</definedName>
    <definedName name="Revision">'[1]BOM 2.5KW'!$AE$2:$AE$41</definedName>
    <definedName name="UOM">'[1]BOM 2.5KW'!$AC$2:$AC$15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41" l="1" a="1"/>
  <c r="C22" i="41" s="1"/>
  <c r="AF3" i="54"/>
  <c r="AF4" i="54"/>
  <c r="AF5" i="54"/>
  <c r="AF6" i="54"/>
  <c r="AF7" i="54"/>
  <c r="AF8" i="54"/>
  <c r="AF9" i="54"/>
  <c r="AF10" i="54"/>
  <c r="AF11" i="54"/>
  <c r="AF12" i="54"/>
  <c r="AF13" i="54"/>
  <c r="AF14" i="54"/>
  <c r="AF15" i="54"/>
  <c r="AF16" i="54"/>
  <c r="AF17" i="54"/>
  <c r="AF18" i="54"/>
  <c r="AF19" i="54"/>
  <c r="AF20" i="54"/>
  <c r="AF21" i="54"/>
  <c r="AF22" i="54"/>
  <c r="AF23" i="54"/>
  <c r="AF24" i="54"/>
  <c r="AF25" i="54"/>
  <c r="AF26" i="54"/>
  <c r="AF27" i="54"/>
  <c r="AF28" i="54"/>
  <c r="AE3" i="54"/>
  <c r="AE4" i="54"/>
  <c r="AE5" i="54"/>
  <c r="AE6" i="54"/>
  <c r="AE7" i="54"/>
  <c r="AE8" i="54"/>
  <c r="AE9" i="54"/>
  <c r="AE10" i="54"/>
  <c r="AE11" i="54"/>
  <c r="AE12" i="54"/>
  <c r="AE13" i="54"/>
  <c r="AE14" i="54"/>
  <c r="AE15" i="54"/>
  <c r="AE16" i="54"/>
  <c r="AE17" i="54"/>
  <c r="AE18" i="54"/>
  <c r="AE19" i="54"/>
  <c r="AE20" i="54"/>
  <c r="AE21" i="54"/>
  <c r="AE22" i="54"/>
  <c r="AE23" i="54"/>
  <c r="AE24" i="54"/>
  <c r="AE25" i="54"/>
  <c r="AE26" i="54"/>
  <c r="AE27" i="54"/>
  <c r="AE28" i="54"/>
  <c r="AA4" i="54"/>
  <c r="AA5" i="54"/>
  <c r="AA6" i="54"/>
  <c r="AA7" i="54"/>
  <c r="AA8" i="54"/>
  <c r="AA9" i="54"/>
  <c r="AA10" i="54"/>
  <c r="AA11" i="54"/>
  <c r="AA12" i="54"/>
  <c r="AA13" i="54"/>
  <c r="AA14" i="54"/>
  <c r="AA15" i="54"/>
  <c r="AA16" i="54"/>
  <c r="AA17" i="54"/>
  <c r="AA18" i="54"/>
  <c r="AA19" i="54"/>
  <c r="AA20" i="54"/>
  <c r="AA21" i="54"/>
  <c r="AA22" i="54"/>
  <c r="AA23" i="54"/>
  <c r="AA24" i="54"/>
  <c r="AA25" i="54"/>
  <c r="AA26" i="54"/>
  <c r="AA27" i="54"/>
  <c r="AA28" i="54"/>
  <c r="AA3" i="54"/>
  <c r="X4" i="54"/>
  <c r="X5" i="54"/>
  <c r="X6" i="54"/>
  <c r="X7" i="54"/>
  <c r="X8" i="54"/>
  <c r="X9" i="54"/>
  <c r="X10" i="54"/>
  <c r="X11" i="54"/>
  <c r="X12" i="54"/>
  <c r="X13" i="54"/>
  <c r="X14" i="54"/>
  <c r="X15" i="54"/>
  <c r="X16" i="54"/>
  <c r="X17" i="54"/>
  <c r="X18" i="54"/>
  <c r="X19" i="54"/>
  <c r="X20" i="54"/>
  <c r="X21" i="54"/>
  <c r="X22" i="54"/>
  <c r="X23" i="54"/>
  <c r="X24" i="54"/>
  <c r="X25" i="54"/>
  <c r="X26" i="54"/>
  <c r="X27" i="54"/>
  <c r="X28" i="54"/>
  <c r="X3" i="54"/>
  <c r="T4" i="54"/>
  <c r="T5" i="54"/>
  <c r="T6" i="54"/>
  <c r="T7" i="54"/>
  <c r="T8" i="54"/>
  <c r="T9" i="54"/>
  <c r="T10" i="54"/>
  <c r="T11" i="54"/>
  <c r="T12" i="54"/>
  <c r="T13" i="54"/>
  <c r="T14" i="54"/>
  <c r="T15" i="54"/>
  <c r="T16" i="54"/>
  <c r="T17" i="54"/>
  <c r="T18" i="54"/>
  <c r="T19" i="54"/>
  <c r="T20" i="54"/>
  <c r="T21" i="54"/>
  <c r="T22" i="54"/>
  <c r="T23" i="54"/>
  <c r="T24" i="54"/>
  <c r="T25" i="54"/>
  <c r="T26" i="54"/>
  <c r="T27" i="54"/>
  <c r="T28" i="54"/>
  <c r="T3" i="54"/>
  <c r="Q3" i="54" a="1"/>
  <c r="Q3" i="54" s="1"/>
  <c r="Q4" i="54" a="1"/>
  <c r="Q4" i="54" s="1"/>
  <c r="Q5" i="54" a="1"/>
  <c r="Q5" i="54" s="1"/>
  <c r="Q6" i="54" a="1"/>
  <c r="Q6" i="54"/>
  <c r="Q7" i="54" a="1"/>
  <c r="Q7" i="54"/>
  <c r="Q8" i="54" a="1"/>
  <c r="Q8" i="54"/>
  <c r="Q9" i="54" a="1"/>
  <c r="Q9" i="54"/>
  <c r="Q10" i="54" a="1"/>
  <c r="Q10" i="54"/>
  <c r="Q11" i="54" a="1"/>
  <c r="Q11" i="54" s="1"/>
  <c r="Q12" i="54" a="1"/>
  <c r="Q12" i="54" s="1"/>
  <c r="Q13" i="54" a="1"/>
  <c r="Q13" i="54" s="1"/>
  <c r="Q14" i="54" a="1"/>
  <c r="Q14" i="54"/>
  <c r="Q15" i="54" a="1"/>
  <c r="Q15" i="54"/>
  <c r="Q16" i="54" a="1"/>
  <c r="Q16" i="54"/>
  <c r="Q17" i="54" a="1"/>
  <c r="Q17" i="54"/>
  <c r="Q18" i="54" a="1"/>
  <c r="Q18" i="54"/>
  <c r="Q19" i="54" a="1"/>
  <c r="Q19" i="54"/>
  <c r="Q20" i="54" a="1"/>
  <c r="Q20" i="54" s="1"/>
  <c r="Q21" i="54" a="1"/>
  <c r="Q21" i="54" s="1"/>
  <c r="Q22" i="54" a="1"/>
  <c r="Q22" i="54"/>
  <c r="Q23" i="54" a="1"/>
  <c r="Q23" i="54"/>
  <c r="Q24" i="54" a="1"/>
  <c r="Q24" i="54"/>
  <c r="Q25" i="54" a="1"/>
  <c r="Q25" i="54"/>
  <c r="Q26" i="54" a="1"/>
  <c r="Q26" i="54" s="1"/>
  <c r="Q27" i="54" a="1"/>
  <c r="Q27" i="54"/>
  <c r="Q28" i="54" a="1"/>
  <c r="Q28" i="54" s="1"/>
  <c r="L4" i="54"/>
  <c r="L5" i="54"/>
  <c r="L6" i="54"/>
  <c r="L7" i="54"/>
  <c r="L8" i="54"/>
  <c r="L9" i="54"/>
  <c r="L10" i="54"/>
  <c r="L11" i="54"/>
  <c r="L12" i="54"/>
  <c r="L13" i="54"/>
  <c r="L14" i="54"/>
  <c r="L15" i="54"/>
  <c r="L16" i="54"/>
  <c r="L17" i="54"/>
  <c r="L18" i="54"/>
  <c r="L19" i="54"/>
  <c r="L20" i="54"/>
  <c r="L21" i="54"/>
  <c r="L22" i="54"/>
  <c r="L23" i="54"/>
  <c r="L24" i="54"/>
  <c r="L25" i="54"/>
  <c r="L26" i="54"/>
  <c r="L27" i="54"/>
  <c r="L28" i="54"/>
  <c r="L3" i="54"/>
  <c r="H4" i="54"/>
  <c r="H5" i="54"/>
  <c r="H6" i="54"/>
  <c r="H7" i="54"/>
  <c r="H8" i="54"/>
  <c r="H9" i="54"/>
  <c r="H10" i="54"/>
  <c r="H11" i="54"/>
  <c r="H12" i="54"/>
  <c r="H13" i="54"/>
  <c r="H14" i="54"/>
  <c r="H15" i="54"/>
  <c r="H16" i="54"/>
  <c r="H17" i="54"/>
  <c r="H18" i="54"/>
  <c r="H19" i="54"/>
  <c r="H20" i="54"/>
  <c r="H21" i="54"/>
  <c r="H22" i="54"/>
  <c r="H23" i="54"/>
  <c r="H24" i="54"/>
  <c r="H25" i="54"/>
  <c r="H26" i="54"/>
  <c r="H27" i="54"/>
  <c r="H28" i="54"/>
  <c r="H3" i="54"/>
  <c r="E4" i="54"/>
  <c r="E3" i="54"/>
  <c r="E5" i="54"/>
  <c r="E6" i="54"/>
  <c r="E7" i="54"/>
  <c r="E8" i="54"/>
  <c r="E9" i="54"/>
  <c r="E10" i="54"/>
  <c r="E11" i="54"/>
  <c r="E12" i="54"/>
  <c r="E13" i="54"/>
  <c r="E14" i="54"/>
  <c r="E15" i="54"/>
  <c r="E16" i="54"/>
  <c r="E17" i="54"/>
  <c r="E18" i="54"/>
  <c r="E19" i="54"/>
  <c r="E20" i="54"/>
  <c r="E21" i="54"/>
  <c r="E22" i="54"/>
  <c r="E23" i="54"/>
  <c r="E24" i="54"/>
  <c r="E25" i="54"/>
  <c r="E26" i="54"/>
  <c r="E27" i="54"/>
  <c r="E28" i="54"/>
  <c r="AD28" i="54"/>
  <c r="W28" i="54"/>
  <c r="S28" i="54"/>
  <c r="K28" i="54"/>
  <c r="G28" i="54"/>
  <c r="D28" i="54"/>
  <c r="AD27" i="54"/>
  <c r="W27" i="54"/>
  <c r="S27" i="54"/>
  <c r="K27" i="54"/>
  <c r="G27" i="54"/>
  <c r="D27" i="54"/>
  <c r="AD26" i="54"/>
  <c r="W26" i="54"/>
  <c r="S26" i="54"/>
  <c r="K26" i="54"/>
  <c r="G26" i="54"/>
  <c r="D26" i="54"/>
  <c r="AD25" i="54"/>
  <c r="W25" i="54"/>
  <c r="S25" i="54"/>
  <c r="K25" i="54"/>
  <c r="G25" i="54"/>
  <c r="D25" i="54"/>
  <c r="AD24" i="54"/>
  <c r="W24" i="54"/>
  <c r="S24" i="54"/>
  <c r="K24" i="54"/>
  <c r="G24" i="54"/>
  <c r="D24" i="54"/>
  <c r="AD23" i="54"/>
  <c r="W23" i="54"/>
  <c r="S23" i="54"/>
  <c r="K23" i="54"/>
  <c r="G23" i="54"/>
  <c r="D23" i="54"/>
  <c r="AD22" i="54"/>
  <c r="W22" i="54"/>
  <c r="S22" i="54"/>
  <c r="K22" i="54"/>
  <c r="G22" i="54"/>
  <c r="D22" i="54"/>
  <c r="AD21" i="54"/>
  <c r="W21" i="54"/>
  <c r="S21" i="54"/>
  <c r="K21" i="54"/>
  <c r="G21" i="54"/>
  <c r="D21" i="54"/>
  <c r="AD20" i="54"/>
  <c r="W20" i="54"/>
  <c r="S20" i="54"/>
  <c r="K20" i="54"/>
  <c r="G20" i="54"/>
  <c r="D20" i="54"/>
  <c r="AD19" i="54"/>
  <c r="W19" i="54"/>
  <c r="S19" i="54"/>
  <c r="K19" i="54"/>
  <c r="G19" i="54"/>
  <c r="D19" i="54"/>
  <c r="AD18" i="54"/>
  <c r="W18" i="54"/>
  <c r="S18" i="54"/>
  <c r="K18" i="54"/>
  <c r="G18" i="54"/>
  <c r="D18" i="54"/>
  <c r="AD17" i="54"/>
  <c r="W17" i="54"/>
  <c r="S17" i="54"/>
  <c r="K17" i="54"/>
  <c r="G17" i="54"/>
  <c r="D17" i="54"/>
  <c r="AD16" i="54"/>
  <c r="W16" i="54"/>
  <c r="S16" i="54"/>
  <c r="K16" i="54"/>
  <c r="G16" i="54"/>
  <c r="D16" i="54"/>
  <c r="AD15" i="54"/>
  <c r="W15" i="54"/>
  <c r="S15" i="54"/>
  <c r="K15" i="54"/>
  <c r="G15" i="54"/>
  <c r="D15" i="54"/>
  <c r="AD14" i="54"/>
  <c r="W14" i="54"/>
  <c r="S14" i="54"/>
  <c r="K14" i="54"/>
  <c r="G14" i="54"/>
  <c r="D14" i="54"/>
  <c r="AD13" i="54"/>
  <c r="W13" i="54"/>
  <c r="S13" i="54"/>
  <c r="K13" i="54"/>
  <c r="G13" i="54"/>
  <c r="D13" i="54"/>
  <c r="AD12" i="54"/>
  <c r="W12" i="54"/>
  <c r="S12" i="54"/>
  <c r="K12" i="54"/>
  <c r="G12" i="54"/>
  <c r="D12" i="54"/>
  <c r="AD11" i="54"/>
  <c r="W11" i="54"/>
  <c r="S11" i="54"/>
  <c r="K11" i="54"/>
  <c r="G11" i="54"/>
  <c r="D11" i="54"/>
  <c r="AD10" i="54"/>
  <c r="W10" i="54"/>
  <c r="S10" i="54"/>
  <c r="K10" i="54"/>
  <c r="G10" i="54"/>
  <c r="D10" i="54"/>
  <c r="AD9" i="54"/>
  <c r="W9" i="54"/>
  <c r="S9" i="54"/>
  <c r="K9" i="54"/>
  <c r="G9" i="54"/>
  <c r="D9" i="54"/>
  <c r="AD8" i="54"/>
  <c r="W8" i="54"/>
  <c r="S8" i="54"/>
  <c r="K8" i="54"/>
  <c r="G8" i="54"/>
  <c r="D8" i="54"/>
  <c r="AD7" i="54"/>
  <c r="W7" i="54"/>
  <c r="S7" i="54"/>
  <c r="K7" i="54"/>
  <c r="G7" i="54"/>
  <c r="D7" i="54"/>
  <c r="AD6" i="54"/>
  <c r="W6" i="54"/>
  <c r="S6" i="54"/>
  <c r="K6" i="54"/>
  <c r="G6" i="54"/>
  <c r="D6" i="54"/>
  <c r="AD5" i="54"/>
  <c r="W5" i="54"/>
  <c r="S5" i="54"/>
  <c r="K5" i="54"/>
  <c r="G5" i="54"/>
  <c r="D5" i="54"/>
  <c r="AD4" i="54"/>
  <c r="W4" i="54"/>
  <c r="S4" i="54"/>
  <c r="K4" i="54"/>
  <c r="G4" i="54"/>
  <c r="D4" i="54"/>
  <c r="AD3" i="54"/>
  <c r="W3" i="54"/>
  <c r="S3" i="54"/>
  <c r="K3" i="54"/>
  <c r="G3" i="54"/>
  <c r="D3" i="54"/>
  <c r="C116" i="53"/>
  <c r="C114" i="53"/>
  <c r="C118" i="53" s="1"/>
  <c r="C113" i="53"/>
  <c r="C117" i="53" s="1"/>
  <c r="BI5" i="52"/>
  <c r="BJ5" i="52"/>
  <c r="BK5" i="52"/>
  <c r="BL5" i="52"/>
  <c r="BM5" i="52"/>
  <c r="BN5" i="52"/>
  <c r="BO5" i="52"/>
  <c r="BP5" i="52"/>
  <c r="BQ5" i="52"/>
  <c r="BR5" i="52"/>
  <c r="BS5" i="52"/>
  <c r="BT5" i="52"/>
  <c r="BU5" i="52"/>
  <c r="BV5" i="52"/>
  <c r="BW5" i="52"/>
  <c r="BX5" i="52"/>
  <c r="BY5" i="52"/>
  <c r="BZ5" i="52"/>
  <c r="CA5" i="52"/>
  <c r="CB5" i="52"/>
  <c r="CC5" i="52"/>
  <c r="CD5" i="52"/>
  <c r="CE5" i="52"/>
  <c r="CF5" i="52"/>
  <c r="CG5" i="52"/>
  <c r="CH5" i="52"/>
  <c r="BI6" i="52"/>
  <c r="BJ6" i="52"/>
  <c r="BK6" i="52"/>
  <c r="BL6" i="52"/>
  <c r="BM6" i="52"/>
  <c r="BN6" i="52"/>
  <c r="BO6" i="52"/>
  <c r="BP6" i="52"/>
  <c r="BQ6" i="52"/>
  <c r="BR6" i="52"/>
  <c r="BS6" i="52"/>
  <c r="BT6" i="52"/>
  <c r="BU6" i="52"/>
  <c r="BV6" i="52"/>
  <c r="BW6" i="52"/>
  <c r="BX6" i="52"/>
  <c r="BY6" i="52"/>
  <c r="BZ6" i="52"/>
  <c r="CA6" i="52"/>
  <c r="CB6" i="52"/>
  <c r="CC6" i="52"/>
  <c r="CD6" i="52"/>
  <c r="CE6" i="52"/>
  <c r="CF6" i="52"/>
  <c r="CG6" i="52"/>
  <c r="CH6" i="52"/>
  <c r="BI7" i="52"/>
  <c r="BJ7" i="52"/>
  <c r="BK7" i="52"/>
  <c r="BL7" i="52"/>
  <c r="BM7" i="52"/>
  <c r="BN7" i="52"/>
  <c r="BO7" i="52"/>
  <c r="BP7" i="52"/>
  <c r="BQ7" i="52"/>
  <c r="BR7" i="52"/>
  <c r="BS7" i="52"/>
  <c r="BT7" i="52"/>
  <c r="BU7" i="52"/>
  <c r="BV7" i="52"/>
  <c r="BW7" i="52"/>
  <c r="BX7" i="52"/>
  <c r="BY7" i="52"/>
  <c r="BZ7" i="52"/>
  <c r="CA7" i="52"/>
  <c r="CB7" i="52"/>
  <c r="CC7" i="52"/>
  <c r="CD7" i="52"/>
  <c r="CE7" i="52"/>
  <c r="CF7" i="52"/>
  <c r="CG7" i="52"/>
  <c r="CH7" i="52"/>
  <c r="BI8" i="52"/>
  <c r="BJ8" i="52"/>
  <c r="BK8" i="52"/>
  <c r="BL8" i="52"/>
  <c r="BM8" i="52"/>
  <c r="BN8" i="52"/>
  <c r="BO8" i="52"/>
  <c r="BP8" i="52"/>
  <c r="BQ8" i="52"/>
  <c r="BR8" i="52"/>
  <c r="BS8" i="52"/>
  <c r="BT8" i="52"/>
  <c r="BU8" i="52"/>
  <c r="BV8" i="52"/>
  <c r="BW8" i="52"/>
  <c r="BX8" i="52"/>
  <c r="BY8" i="52"/>
  <c r="BZ8" i="52"/>
  <c r="CA8" i="52"/>
  <c r="CB8" i="52"/>
  <c r="CC8" i="52"/>
  <c r="CD8" i="52"/>
  <c r="CE8" i="52"/>
  <c r="CF8" i="52"/>
  <c r="CG8" i="52"/>
  <c r="CH8" i="52"/>
  <c r="BI9" i="52"/>
  <c r="BJ9" i="52"/>
  <c r="BK9" i="52"/>
  <c r="BL9" i="52"/>
  <c r="BM9" i="52"/>
  <c r="BN9" i="52"/>
  <c r="BO9" i="52"/>
  <c r="BP9" i="52"/>
  <c r="BQ9" i="52"/>
  <c r="BR9" i="52"/>
  <c r="BS9" i="52"/>
  <c r="BT9" i="52"/>
  <c r="BU9" i="52"/>
  <c r="BV9" i="52"/>
  <c r="BW9" i="52"/>
  <c r="BX9" i="52"/>
  <c r="BY9" i="52"/>
  <c r="BZ9" i="52"/>
  <c r="CA9" i="52"/>
  <c r="CB9" i="52"/>
  <c r="CC9" i="52"/>
  <c r="CD9" i="52"/>
  <c r="CE9" i="52"/>
  <c r="CF9" i="52"/>
  <c r="CG9" i="52"/>
  <c r="CH9" i="52"/>
  <c r="BI10" i="52"/>
  <c r="BJ10" i="52"/>
  <c r="BK10" i="52"/>
  <c r="BL10" i="52"/>
  <c r="BM10" i="52"/>
  <c r="BN10" i="52"/>
  <c r="BO10" i="52"/>
  <c r="BP10" i="52"/>
  <c r="BQ10" i="52"/>
  <c r="BR10" i="52"/>
  <c r="BS10" i="52"/>
  <c r="BT10" i="52"/>
  <c r="BU10" i="52"/>
  <c r="BV10" i="52"/>
  <c r="BW10" i="52"/>
  <c r="BX10" i="52"/>
  <c r="BY10" i="52"/>
  <c r="BZ10" i="52"/>
  <c r="CA10" i="52"/>
  <c r="CB10" i="52"/>
  <c r="CC10" i="52"/>
  <c r="CD10" i="52"/>
  <c r="CE10" i="52"/>
  <c r="CF10" i="52"/>
  <c r="CG10" i="52"/>
  <c r="CH10" i="52"/>
  <c r="BI11" i="52"/>
  <c r="BJ11" i="52"/>
  <c r="BK11" i="52"/>
  <c r="BL11" i="52"/>
  <c r="BM11" i="52"/>
  <c r="BN11" i="52"/>
  <c r="BO11" i="52"/>
  <c r="BP11" i="52"/>
  <c r="BQ11" i="52"/>
  <c r="BR11" i="52"/>
  <c r="BS11" i="52"/>
  <c r="BT11" i="52"/>
  <c r="BU11" i="52"/>
  <c r="BV11" i="52"/>
  <c r="BW11" i="52"/>
  <c r="BX11" i="52"/>
  <c r="BY11" i="52"/>
  <c r="BZ11" i="52"/>
  <c r="CA11" i="52"/>
  <c r="CB11" i="52"/>
  <c r="CC11" i="52"/>
  <c r="CD11" i="52"/>
  <c r="CE11" i="52"/>
  <c r="CF11" i="52"/>
  <c r="CG11" i="52"/>
  <c r="CH11" i="52"/>
  <c r="BI12" i="52"/>
  <c r="BJ12" i="52"/>
  <c r="BK12" i="52"/>
  <c r="BL12" i="52"/>
  <c r="BM12" i="52"/>
  <c r="BN12" i="52"/>
  <c r="BO12" i="52"/>
  <c r="BP12" i="52"/>
  <c r="BQ12" i="52"/>
  <c r="BR12" i="52"/>
  <c r="BS12" i="52"/>
  <c r="BT12" i="52"/>
  <c r="BU12" i="52"/>
  <c r="BV12" i="52"/>
  <c r="BW12" i="52"/>
  <c r="BX12" i="52"/>
  <c r="BY12" i="52"/>
  <c r="BZ12" i="52"/>
  <c r="CA12" i="52"/>
  <c r="CB12" i="52"/>
  <c r="CC12" i="52"/>
  <c r="CD12" i="52"/>
  <c r="CE12" i="52"/>
  <c r="CF12" i="52"/>
  <c r="CG12" i="52"/>
  <c r="CH12" i="52"/>
  <c r="BI13" i="52"/>
  <c r="BJ13" i="52"/>
  <c r="BK13" i="52"/>
  <c r="BL13" i="52"/>
  <c r="BM13" i="52"/>
  <c r="BN13" i="52"/>
  <c r="BO13" i="52"/>
  <c r="BP13" i="52"/>
  <c r="BQ13" i="52"/>
  <c r="BR13" i="52"/>
  <c r="BS13" i="52"/>
  <c r="BT13" i="52"/>
  <c r="BU13" i="52"/>
  <c r="BV13" i="52"/>
  <c r="BW13" i="52"/>
  <c r="BX13" i="52"/>
  <c r="BY13" i="52"/>
  <c r="BZ13" i="52"/>
  <c r="CA13" i="52"/>
  <c r="CB13" i="52"/>
  <c r="CC13" i="52"/>
  <c r="CD13" i="52"/>
  <c r="CE13" i="52"/>
  <c r="CF13" i="52"/>
  <c r="CG13" i="52"/>
  <c r="CH13" i="52"/>
  <c r="BI14" i="52"/>
  <c r="BJ14" i="52"/>
  <c r="BK14" i="52"/>
  <c r="BL14" i="52"/>
  <c r="BM14" i="52"/>
  <c r="BN14" i="52"/>
  <c r="BO14" i="52"/>
  <c r="BP14" i="52"/>
  <c r="BQ14" i="52"/>
  <c r="BR14" i="52"/>
  <c r="BS14" i="52"/>
  <c r="BT14" i="52"/>
  <c r="BU14" i="52"/>
  <c r="BV14" i="52"/>
  <c r="BW14" i="52"/>
  <c r="BX14" i="52"/>
  <c r="BY14" i="52"/>
  <c r="BZ14" i="52"/>
  <c r="CA14" i="52"/>
  <c r="CB14" i="52"/>
  <c r="CC14" i="52"/>
  <c r="CD14" i="52"/>
  <c r="CE14" i="52"/>
  <c r="CF14" i="52"/>
  <c r="CG14" i="52"/>
  <c r="CH14" i="52"/>
  <c r="BI15" i="52"/>
  <c r="BJ15" i="52"/>
  <c r="BK15" i="52"/>
  <c r="BL15" i="52"/>
  <c r="BM15" i="52"/>
  <c r="BN15" i="52"/>
  <c r="BO15" i="52"/>
  <c r="BP15" i="52"/>
  <c r="BQ15" i="52"/>
  <c r="BR15" i="52"/>
  <c r="BS15" i="52"/>
  <c r="BT15" i="52"/>
  <c r="BU15" i="52"/>
  <c r="BV15" i="52"/>
  <c r="BW15" i="52"/>
  <c r="BX15" i="52"/>
  <c r="BY15" i="52"/>
  <c r="BZ15" i="52"/>
  <c r="CA15" i="52"/>
  <c r="CB15" i="52"/>
  <c r="CC15" i="52"/>
  <c r="CD15" i="52"/>
  <c r="CE15" i="52"/>
  <c r="CF15" i="52"/>
  <c r="CG15" i="52"/>
  <c r="CH15" i="52"/>
  <c r="BI16" i="52"/>
  <c r="BJ16" i="52"/>
  <c r="BK16" i="52"/>
  <c r="BL16" i="52"/>
  <c r="BM16" i="52"/>
  <c r="BN16" i="52"/>
  <c r="BO16" i="52"/>
  <c r="BP16" i="52"/>
  <c r="BQ16" i="52"/>
  <c r="BR16" i="52"/>
  <c r="BS16" i="52"/>
  <c r="BT16" i="52"/>
  <c r="BU16" i="52"/>
  <c r="BV16" i="52"/>
  <c r="BW16" i="52"/>
  <c r="BX16" i="52"/>
  <c r="BY16" i="52"/>
  <c r="BZ16" i="52"/>
  <c r="CA16" i="52"/>
  <c r="CB16" i="52"/>
  <c r="CC16" i="52"/>
  <c r="CD16" i="52"/>
  <c r="CE16" i="52"/>
  <c r="CF16" i="52"/>
  <c r="CG16" i="52"/>
  <c r="CH16" i="52"/>
  <c r="BI17" i="52"/>
  <c r="BJ17" i="52"/>
  <c r="BK17" i="52"/>
  <c r="BL17" i="52"/>
  <c r="BM17" i="52"/>
  <c r="BN17" i="52"/>
  <c r="BO17" i="52"/>
  <c r="BP17" i="52"/>
  <c r="BQ17" i="52"/>
  <c r="BR17" i="52"/>
  <c r="BS17" i="52"/>
  <c r="BT17" i="52"/>
  <c r="BU17" i="52"/>
  <c r="BV17" i="52"/>
  <c r="BW17" i="52"/>
  <c r="BX17" i="52"/>
  <c r="BY17" i="52"/>
  <c r="BZ17" i="52"/>
  <c r="CA17" i="52"/>
  <c r="CB17" i="52"/>
  <c r="CC17" i="52"/>
  <c r="CD17" i="52"/>
  <c r="CE17" i="52"/>
  <c r="CF17" i="52"/>
  <c r="CG17" i="52"/>
  <c r="CH17" i="52"/>
  <c r="BI18" i="52"/>
  <c r="BJ18" i="52"/>
  <c r="BK18" i="52"/>
  <c r="BL18" i="52"/>
  <c r="BM18" i="52"/>
  <c r="BN18" i="52"/>
  <c r="BO18" i="52"/>
  <c r="BP18" i="52"/>
  <c r="BQ18" i="52"/>
  <c r="BR18" i="52"/>
  <c r="BS18" i="52"/>
  <c r="BT18" i="52"/>
  <c r="BU18" i="52"/>
  <c r="BV18" i="52"/>
  <c r="BW18" i="52"/>
  <c r="BX18" i="52"/>
  <c r="BY18" i="52"/>
  <c r="BZ18" i="52"/>
  <c r="CA18" i="52"/>
  <c r="CB18" i="52"/>
  <c r="CC18" i="52"/>
  <c r="CD18" i="52"/>
  <c r="CE18" i="52"/>
  <c r="CF18" i="52"/>
  <c r="CG18" i="52"/>
  <c r="CH18" i="52"/>
  <c r="BI19" i="52"/>
  <c r="BJ19" i="52"/>
  <c r="BK19" i="52"/>
  <c r="BL19" i="52"/>
  <c r="BM19" i="52"/>
  <c r="BN19" i="52"/>
  <c r="BO19" i="52"/>
  <c r="BP19" i="52"/>
  <c r="BQ19" i="52"/>
  <c r="BR19" i="52"/>
  <c r="BS19" i="52"/>
  <c r="BT19" i="52"/>
  <c r="BU19" i="52"/>
  <c r="BV19" i="52"/>
  <c r="BW19" i="52"/>
  <c r="BX19" i="52"/>
  <c r="BY19" i="52"/>
  <c r="BZ19" i="52"/>
  <c r="CA19" i="52"/>
  <c r="CB19" i="52"/>
  <c r="CC19" i="52"/>
  <c r="CD19" i="52"/>
  <c r="CE19" i="52"/>
  <c r="CF19" i="52"/>
  <c r="CG19" i="52"/>
  <c r="CH19" i="52"/>
  <c r="BI20" i="52"/>
  <c r="BJ20" i="52"/>
  <c r="BK20" i="52"/>
  <c r="BL20" i="52"/>
  <c r="BM20" i="52"/>
  <c r="BN20" i="52"/>
  <c r="BO20" i="52"/>
  <c r="BP20" i="52"/>
  <c r="BQ20" i="52"/>
  <c r="BR20" i="52"/>
  <c r="BS20" i="52"/>
  <c r="BT20" i="52"/>
  <c r="BU20" i="52"/>
  <c r="BV20" i="52"/>
  <c r="BW20" i="52"/>
  <c r="BX20" i="52"/>
  <c r="BY20" i="52"/>
  <c r="BZ20" i="52"/>
  <c r="CA20" i="52"/>
  <c r="CB20" i="52"/>
  <c r="CC20" i="52"/>
  <c r="CD20" i="52"/>
  <c r="CE20" i="52"/>
  <c r="CF20" i="52"/>
  <c r="CG20" i="52"/>
  <c r="CH20" i="52"/>
  <c r="BI21" i="52"/>
  <c r="BJ21" i="52"/>
  <c r="BK21" i="52"/>
  <c r="BL21" i="52"/>
  <c r="BM21" i="52"/>
  <c r="BN21" i="52"/>
  <c r="BO21" i="52"/>
  <c r="BP21" i="52"/>
  <c r="BQ21" i="52"/>
  <c r="BR21" i="52"/>
  <c r="BS21" i="52"/>
  <c r="BT21" i="52"/>
  <c r="BU21" i="52"/>
  <c r="BV21" i="52"/>
  <c r="BW21" i="52"/>
  <c r="BX21" i="52"/>
  <c r="BY21" i="52"/>
  <c r="BZ21" i="52"/>
  <c r="CA21" i="52"/>
  <c r="CB21" i="52"/>
  <c r="CC21" i="52"/>
  <c r="CD21" i="52"/>
  <c r="CE21" i="52"/>
  <c r="CF21" i="52"/>
  <c r="CG21" i="52"/>
  <c r="CH21" i="52"/>
  <c r="BH6" i="52"/>
  <c r="BH7" i="52"/>
  <c r="BH8" i="52"/>
  <c r="BH9" i="52"/>
  <c r="BH10" i="52"/>
  <c r="BH11" i="52"/>
  <c r="BH12" i="52"/>
  <c r="BH13" i="52"/>
  <c r="BH14" i="52"/>
  <c r="BH15" i="52"/>
  <c r="BH16" i="52"/>
  <c r="BH17" i="52"/>
  <c r="BH18" i="52"/>
  <c r="BH19" i="52"/>
  <c r="BH20" i="52"/>
  <c r="BH21" i="52"/>
  <c r="BH5" i="52"/>
  <c r="G2" i="52"/>
  <c r="H2" i="52"/>
  <c r="I2" i="52"/>
  <c r="J2" i="52"/>
  <c r="K2" i="52"/>
  <c r="L2" i="52"/>
  <c r="M2" i="52"/>
  <c r="N2" i="52"/>
  <c r="O2" i="52"/>
  <c r="P2" i="52"/>
  <c r="Q2" i="52"/>
  <c r="R2" i="52"/>
  <c r="S2" i="52"/>
  <c r="T2" i="52"/>
  <c r="U2" i="52"/>
  <c r="V2" i="52"/>
  <c r="W2" i="52"/>
  <c r="X2" i="52"/>
  <c r="Y2" i="52"/>
  <c r="Z2" i="52"/>
  <c r="AA2" i="52"/>
  <c r="AB2" i="52"/>
  <c r="AC2" i="52"/>
  <c r="AD2" i="52"/>
  <c r="AE2" i="52"/>
  <c r="AF2" i="52"/>
  <c r="AG2" i="52"/>
  <c r="AH2" i="52"/>
  <c r="AI2" i="52"/>
  <c r="AJ2" i="52"/>
  <c r="AK2" i="52"/>
  <c r="AL2" i="52"/>
  <c r="AM2" i="52"/>
  <c r="AN2" i="52"/>
  <c r="AO2" i="52"/>
  <c r="AP2" i="52"/>
  <c r="AQ2" i="52"/>
  <c r="AR2" i="52"/>
  <c r="AS2" i="52"/>
  <c r="AT2" i="52"/>
  <c r="AU2" i="52"/>
  <c r="AV2" i="52"/>
  <c r="AW2" i="52"/>
  <c r="G3" i="52"/>
  <c r="H3" i="52"/>
  <c r="I3" i="52"/>
  <c r="J3" i="52"/>
  <c r="K3" i="52"/>
  <c r="L3" i="52"/>
  <c r="M3" i="52"/>
  <c r="N3" i="52"/>
  <c r="O3" i="52"/>
  <c r="P3" i="52"/>
  <c r="Q3" i="52"/>
  <c r="R3" i="52"/>
  <c r="S3" i="52"/>
  <c r="T3" i="52"/>
  <c r="U3" i="52"/>
  <c r="V3" i="52"/>
  <c r="W3" i="52"/>
  <c r="X3" i="52"/>
  <c r="Y3" i="52"/>
  <c r="Z3" i="52"/>
  <c r="AA3" i="52"/>
  <c r="AB3" i="52"/>
  <c r="AC3" i="52"/>
  <c r="AD3" i="52"/>
  <c r="AE3" i="52"/>
  <c r="AF3" i="52"/>
  <c r="AG3" i="52"/>
  <c r="AH3" i="52"/>
  <c r="AI3" i="52"/>
  <c r="AJ3" i="52"/>
  <c r="AK3" i="52"/>
  <c r="AL3" i="52"/>
  <c r="AM3" i="52"/>
  <c r="AN3" i="52"/>
  <c r="AO3" i="52"/>
  <c r="AP3" i="52"/>
  <c r="AQ3" i="52"/>
  <c r="AR3" i="52"/>
  <c r="AS3" i="52"/>
  <c r="AT3" i="52"/>
  <c r="AU3" i="52"/>
  <c r="AV3" i="52"/>
  <c r="AW3" i="52"/>
  <c r="G4" i="52"/>
  <c r="H4" i="52"/>
  <c r="I4" i="52"/>
  <c r="J4" i="52"/>
  <c r="K4" i="52"/>
  <c r="L4" i="52"/>
  <c r="M4" i="52"/>
  <c r="N4" i="52"/>
  <c r="O4" i="52"/>
  <c r="P4" i="52"/>
  <c r="Q4" i="52"/>
  <c r="R4" i="52"/>
  <c r="S4" i="52"/>
  <c r="T4" i="52"/>
  <c r="U4" i="52"/>
  <c r="V4" i="52"/>
  <c r="W4" i="52"/>
  <c r="X4" i="52"/>
  <c r="Y4" i="52"/>
  <c r="Z4" i="52"/>
  <c r="AA4" i="52"/>
  <c r="AB4" i="52"/>
  <c r="AC4" i="52"/>
  <c r="AD4" i="52"/>
  <c r="AE4" i="52"/>
  <c r="AF4" i="52"/>
  <c r="AG4" i="52"/>
  <c r="AH4" i="52"/>
  <c r="AI4" i="52"/>
  <c r="AJ4" i="52"/>
  <c r="AK4" i="52"/>
  <c r="AL4" i="52"/>
  <c r="AM4" i="52"/>
  <c r="AN4" i="52"/>
  <c r="AO4" i="52"/>
  <c r="AP4" i="52"/>
  <c r="AQ4" i="52"/>
  <c r="AR4" i="52"/>
  <c r="AS4" i="52"/>
  <c r="AT4" i="52"/>
  <c r="AU4" i="52"/>
  <c r="AV4" i="52"/>
  <c r="AW4" i="52"/>
  <c r="G5" i="52"/>
  <c r="H5" i="52"/>
  <c r="I5" i="52"/>
  <c r="J5" i="52"/>
  <c r="K5" i="52"/>
  <c r="L5" i="52"/>
  <c r="M5" i="52"/>
  <c r="N5" i="52"/>
  <c r="O5" i="52"/>
  <c r="P5" i="52"/>
  <c r="Q5" i="52"/>
  <c r="R5" i="52"/>
  <c r="S5" i="52"/>
  <c r="T5" i="52"/>
  <c r="U5" i="52"/>
  <c r="V5" i="52"/>
  <c r="W5" i="52"/>
  <c r="X5" i="52"/>
  <c r="Y5" i="52"/>
  <c r="Z5" i="52"/>
  <c r="AA5" i="52"/>
  <c r="AB5" i="52"/>
  <c r="AC5" i="52"/>
  <c r="AD5" i="52"/>
  <c r="AE5" i="52"/>
  <c r="AF5" i="52"/>
  <c r="AG5" i="52"/>
  <c r="AH5" i="52"/>
  <c r="AI5" i="52"/>
  <c r="AJ5" i="52"/>
  <c r="AK5" i="52"/>
  <c r="AL5" i="52"/>
  <c r="AM5" i="52"/>
  <c r="AN5" i="52"/>
  <c r="AO5" i="52"/>
  <c r="AP5" i="52"/>
  <c r="AQ5" i="52"/>
  <c r="AR5" i="52"/>
  <c r="AS5" i="52"/>
  <c r="AT5" i="52"/>
  <c r="AU5" i="52"/>
  <c r="AV5" i="52"/>
  <c r="AW5" i="52"/>
  <c r="G6" i="52"/>
  <c r="H6" i="52"/>
  <c r="I6" i="52"/>
  <c r="J6" i="52"/>
  <c r="K6" i="52"/>
  <c r="L6" i="52"/>
  <c r="M6" i="52"/>
  <c r="N6" i="52"/>
  <c r="O6" i="52"/>
  <c r="P6" i="52"/>
  <c r="Q6" i="52"/>
  <c r="R6" i="52"/>
  <c r="S6" i="52"/>
  <c r="T6" i="52"/>
  <c r="U6" i="52"/>
  <c r="V6" i="52"/>
  <c r="W6" i="52"/>
  <c r="X6" i="52"/>
  <c r="Y6" i="52"/>
  <c r="Z6" i="52"/>
  <c r="AA6" i="52"/>
  <c r="AB6" i="52"/>
  <c r="AC6" i="52"/>
  <c r="AD6" i="52"/>
  <c r="AE6" i="52"/>
  <c r="AF6" i="52"/>
  <c r="AG6" i="52"/>
  <c r="AH6" i="52"/>
  <c r="AI6" i="52"/>
  <c r="AJ6" i="52"/>
  <c r="AK6" i="52"/>
  <c r="AL6" i="52"/>
  <c r="AM6" i="52"/>
  <c r="AN6" i="52"/>
  <c r="AO6" i="52"/>
  <c r="AP6" i="52"/>
  <c r="AQ6" i="52"/>
  <c r="AR6" i="52"/>
  <c r="AS6" i="52"/>
  <c r="AT6" i="52"/>
  <c r="AU6" i="52"/>
  <c r="AV6" i="52"/>
  <c r="AW6" i="52"/>
  <c r="G7" i="52"/>
  <c r="H7" i="52"/>
  <c r="I7" i="52"/>
  <c r="J7" i="52"/>
  <c r="K7" i="52"/>
  <c r="L7" i="52"/>
  <c r="M7" i="52"/>
  <c r="N7" i="52"/>
  <c r="O7" i="52"/>
  <c r="P7" i="52"/>
  <c r="Q7" i="52"/>
  <c r="R7" i="52"/>
  <c r="S7" i="52"/>
  <c r="T7" i="52"/>
  <c r="U7" i="52"/>
  <c r="V7" i="52"/>
  <c r="W7" i="52"/>
  <c r="X7" i="52"/>
  <c r="Y7" i="52"/>
  <c r="Z7" i="52"/>
  <c r="AA7" i="52"/>
  <c r="AB7" i="52"/>
  <c r="AC7" i="52"/>
  <c r="AD7" i="52"/>
  <c r="AE7" i="52"/>
  <c r="AF7" i="52"/>
  <c r="AG7" i="52"/>
  <c r="AH7" i="52"/>
  <c r="AI7" i="52"/>
  <c r="AJ7" i="52"/>
  <c r="AK7" i="52"/>
  <c r="AL7" i="52"/>
  <c r="AM7" i="52"/>
  <c r="AN7" i="52"/>
  <c r="AO7" i="52"/>
  <c r="AP7" i="52"/>
  <c r="AQ7" i="52"/>
  <c r="AR7" i="52"/>
  <c r="AS7" i="52"/>
  <c r="AT7" i="52"/>
  <c r="AU7" i="52"/>
  <c r="AV7" i="52"/>
  <c r="AW7" i="52"/>
  <c r="G8" i="52"/>
  <c r="H8" i="52"/>
  <c r="I8" i="52"/>
  <c r="J8" i="52"/>
  <c r="K8" i="52"/>
  <c r="L8" i="52"/>
  <c r="M8" i="52"/>
  <c r="N8" i="52"/>
  <c r="O8" i="52"/>
  <c r="P8" i="52"/>
  <c r="Q8" i="52"/>
  <c r="R8" i="52"/>
  <c r="S8" i="52"/>
  <c r="T8" i="52"/>
  <c r="U8" i="52"/>
  <c r="V8" i="52"/>
  <c r="W8" i="52"/>
  <c r="X8" i="52"/>
  <c r="Y8" i="52"/>
  <c r="Z8" i="52"/>
  <c r="AA8" i="52"/>
  <c r="AB8" i="52"/>
  <c r="AC8" i="52"/>
  <c r="AD8" i="52"/>
  <c r="AE8" i="52"/>
  <c r="AF8" i="52"/>
  <c r="AG8" i="52"/>
  <c r="AH8" i="52"/>
  <c r="AI8" i="52"/>
  <c r="AJ8" i="52"/>
  <c r="AK8" i="52"/>
  <c r="AL8" i="52"/>
  <c r="AM8" i="52"/>
  <c r="AN8" i="52"/>
  <c r="AO8" i="52"/>
  <c r="AP8" i="52"/>
  <c r="AQ8" i="52"/>
  <c r="AR8" i="52"/>
  <c r="AS8" i="52"/>
  <c r="AT8" i="52"/>
  <c r="AU8" i="52"/>
  <c r="AV8" i="52"/>
  <c r="AW8" i="52"/>
  <c r="G9" i="52"/>
  <c r="H9" i="52"/>
  <c r="I9" i="52"/>
  <c r="J9" i="52"/>
  <c r="K9" i="52"/>
  <c r="L9" i="52"/>
  <c r="M9" i="52"/>
  <c r="N9" i="52"/>
  <c r="O9" i="52"/>
  <c r="P9" i="52"/>
  <c r="Q9" i="52"/>
  <c r="R9" i="52"/>
  <c r="S9" i="52"/>
  <c r="T9" i="52"/>
  <c r="U9" i="52"/>
  <c r="V9" i="52"/>
  <c r="W9" i="52"/>
  <c r="X9" i="52"/>
  <c r="Y9" i="52"/>
  <c r="Z9" i="52"/>
  <c r="AA9" i="52"/>
  <c r="AB9" i="52"/>
  <c r="AC9" i="52"/>
  <c r="AD9" i="52"/>
  <c r="AE9" i="52"/>
  <c r="AF9" i="52"/>
  <c r="AG9" i="52"/>
  <c r="AH9" i="52"/>
  <c r="AI9" i="52"/>
  <c r="AJ9" i="52"/>
  <c r="AK9" i="52"/>
  <c r="AL9" i="52"/>
  <c r="AM9" i="52"/>
  <c r="AN9" i="52"/>
  <c r="AO9" i="52"/>
  <c r="AP9" i="52"/>
  <c r="AQ9" i="52"/>
  <c r="AR9" i="52"/>
  <c r="AS9" i="52"/>
  <c r="AT9" i="52"/>
  <c r="AU9" i="52"/>
  <c r="AV9" i="52"/>
  <c r="AW9" i="52"/>
  <c r="G10" i="52"/>
  <c r="H10" i="52"/>
  <c r="I10" i="52"/>
  <c r="J10" i="52"/>
  <c r="K10" i="52"/>
  <c r="L10" i="52"/>
  <c r="M10" i="52"/>
  <c r="N10" i="52"/>
  <c r="O10" i="52"/>
  <c r="P10" i="52"/>
  <c r="Q10" i="52"/>
  <c r="R10" i="52"/>
  <c r="S10" i="52"/>
  <c r="T10" i="52"/>
  <c r="U10" i="52"/>
  <c r="V10" i="52"/>
  <c r="W10" i="52"/>
  <c r="X10" i="52"/>
  <c r="Y10" i="52"/>
  <c r="Z10" i="52"/>
  <c r="AA10" i="52"/>
  <c r="AB10" i="52"/>
  <c r="AC10" i="52"/>
  <c r="AD10" i="52"/>
  <c r="AE10" i="52"/>
  <c r="AF10" i="52"/>
  <c r="AG10" i="52"/>
  <c r="AH10" i="52"/>
  <c r="AI10" i="52"/>
  <c r="AJ10" i="52"/>
  <c r="AK10" i="52"/>
  <c r="AL10" i="52"/>
  <c r="AM10" i="52"/>
  <c r="AN10" i="52"/>
  <c r="AO10" i="52"/>
  <c r="AP10" i="52"/>
  <c r="AQ10" i="52"/>
  <c r="AR10" i="52"/>
  <c r="AS10" i="52"/>
  <c r="AT10" i="52"/>
  <c r="AU10" i="52"/>
  <c r="AV10" i="52"/>
  <c r="AW10" i="52"/>
  <c r="G11" i="52"/>
  <c r="H11" i="52"/>
  <c r="I11" i="52"/>
  <c r="J11" i="52"/>
  <c r="K11" i="52"/>
  <c r="L11" i="52"/>
  <c r="M11" i="52"/>
  <c r="N11" i="52"/>
  <c r="O11" i="52"/>
  <c r="P11" i="52"/>
  <c r="Q11" i="52"/>
  <c r="R11" i="52"/>
  <c r="S11" i="52"/>
  <c r="T11" i="52"/>
  <c r="U11" i="52"/>
  <c r="V11" i="52"/>
  <c r="W11" i="52"/>
  <c r="X11" i="52"/>
  <c r="Y11" i="52"/>
  <c r="Z11" i="52"/>
  <c r="AA11" i="52"/>
  <c r="AB11" i="52"/>
  <c r="AC11" i="52"/>
  <c r="AD11" i="52"/>
  <c r="AE11" i="52"/>
  <c r="AF11" i="52"/>
  <c r="AG11" i="52"/>
  <c r="AH11" i="52"/>
  <c r="AI11" i="52"/>
  <c r="AJ11" i="52"/>
  <c r="AK11" i="52"/>
  <c r="AL11" i="52"/>
  <c r="AM11" i="52"/>
  <c r="AN11" i="52"/>
  <c r="AO11" i="52"/>
  <c r="AP11" i="52"/>
  <c r="AQ11" i="52"/>
  <c r="AR11" i="52"/>
  <c r="AS11" i="52"/>
  <c r="AT11" i="52"/>
  <c r="AU11" i="52"/>
  <c r="AV11" i="52"/>
  <c r="AW11" i="52"/>
  <c r="G12" i="52"/>
  <c r="H12" i="52"/>
  <c r="I12" i="52"/>
  <c r="J12" i="52"/>
  <c r="K12" i="52"/>
  <c r="L12" i="52"/>
  <c r="M12" i="52"/>
  <c r="N12" i="52"/>
  <c r="O12" i="52"/>
  <c r="P12" i="52"/>
  <c r="Q12" i="52"/>
  <c r="R12" i="52"/>
  <c r="S12" i="52"/>
  <c r="T12" i="52"/>
  <c r="U12" i="52"/>
  <c r="V12" i="52"/>
  <c r="W12" i="52"/>
  <c r="X12" i="52"/>
  <c r="Y12" i="52"/>
  <c r="Z12" i="52"/>
  <c r="AA12" i="52"/>
  <c r="AB12" i="52"/>
  <c r="AC12" i="52"/>
  <c r="AD12" i="52"/>
  <c r="AE12" i="52"/>
  <c r="AF12" i="52"/>
  <c r="AG12" i="52"/>
  <c r="AH12" i="52"/>
  <c r="AI12" i="52"/>
  <c r="AJ12" i="52"/>
  <c r="AK12" i="52"/>
  <c r="AL12" i="52"/>
  <c r="AM12" i="52"/>
  <c r="AN12" i="52"/>
  <c r="AO12" i="52"/>
  <c r="AP12" i="52"/>
  <c r="AQ12" i="52"/>
  <c r="AR12" i="52"/>
  <c r="AS12" i="52"/>
  <c r="AT12" i="52"/>
  <c r="AU12" i="52"/>
  <c r="AV12" i="52"/>
  <c r="AW12" i="52"/>
  <c r="G13" i="52"/>
  <c r="H13" i="52"/>
  <c r="I13" i="52"/>
  <c r="J13" i="52"/>
  <c r="K13" i="52"/>
  <c r="L13" i="52"/>
  <c r="M13" i="52"/>
  <c r="N13" i="52"/>
  <c r="O13" i="52"/>
  <c r="P13" i="52"/>
  <c r="Q13" i="52"/>
  <c r="R13" i="52"/>
  <c r="S13" i="52"/>
  <c r="T13" i="52"/>
  <c r="U13" i="52"/>
  <c r="V13" i="52"/>
  <c r="W13" i="52"/>
  <c r="X13" i="52"/>
  <c r="Y13" i="52"/>
  <c r="Z13" i="52"/>
  <c r="AA13" i="52"/>
  <c r="AB13" i="52"/>
  <c r="AC13" i="52"/>
  <c r="AD13" i="52"/>
  <c r="AE13" i="52"/>
  <c r="AF13" i="52"/>
  <c r="AG13" i="52"/>
  <c r="AH13" i="52"/>
  <c r="AI13" i="52"/>
  <c r="AJ13" i="52"/>
  <c r="AK13" i="52"/>
  <c r="AL13" i="52"/>
  <c r="AM13" i="52"/>
  <c r="AN13" i="52"/>
  <c r="AO13" i="52"/>
  <c r="AP13" i="52"/>
  <c r="AQ13" i="52"/>
  <c r="AR13" i="52"/>
  <c r="AS13" i="52"/>
  <c r="AT13" i="52"/>
  <c r="AU13" i="52"/>
  <c r="AV13" i="52"/>
  <c r="AW13" i="52"/>
  <c r="G14" i="52"/>
  <c r="H14" i="52"/>
  <c r="I14" i="52"/>
  <c r="J14" i="52"/>
  <c r="K14" i="52"/>
  <c r="L14" i="52"/>
  <c r="M14" i="52"/>
  <c r="N14" i="52"/>
  <c r="O14" i="52"/>
  <c r="P14" i="52"/>
  <c r="Q14" i="52"/>
  <c r="R14" i="52"/>
  <c r="S14" i="52"/>
  <c r="T14" i="52"/>
  <c r="U14" i="52"/>
  <c r="V14" i="52"/>
  <c r="W14" i="52"/>
  <c r="X14" i="52"/>
  <c r="Y14" i="52"/>
  <c r="Z14" i="52"/>
  <c r="AA14" i="52"/>
  <c r="AB14" i="52"/>
  <c r="AC14" i="52"/>
  <c r="AD14" i="52"/>
  <c r="AE14" i="52"/>
  <c r="AF14" i="52"/>
  <c r="AG14" i="52"/>
  <c r="AH14" i="52"/>
  <c r="AI14" i="52"/>
  <c r="AJ14" i="52"/>
  <c r="AK14" i="52"/>
  <c r="AL14" i="52"/>
  <c r="AM14" i="52"/>
  <c r="AN14" i="52"/>
  <c r="AO14" i="52"/>
  <c r="AP14" i="52"/>
  <c r="AQ14" i="52"/>
  <c r="AR14" i="52"/>
  <c r="AS14" i="52"/>
  <c r="AT14" i="52"/>
  <c r="AU14" i="52"/>
  <c r="AV14" i="52"/>
  <c r="AW14" i="52"/>
  <c r="G15" i="52"/>
  <c r="H15" i="52"/>
  <c r="I15" i="52"/>
  <c r="J15" i="52"/>
  <c r="K15" i="52"/>
  <c r="L15" i="52"/>
  <c r="M15" i="52"/>
  <c r="N15" i="52"/>
  <c r="O15" i="52"/>
  <c r="P15" i="52"/>
  <c r="Q15" i="52"/>
  <c r="R15" i="52"/>
  <c r="S15" i="52"/>
  <c r="T15" i="52"/>
  <c r="U15" i="52"/>
  <c r="V15" i="52"/>
  <c r="W15" i="52"/>
  <c r="X15" i="52"/>
  <c r="Y15" i="52"/>
  <c r="Z15" i="52"/>
  <c r="AA15" i="52"/>
  <c r="AB15" i="52"/>
  <c r="AC15" i="52"/>
  <c r="AD15" i="52"/>
  <c r="AE15" i="52"/>
  <c r="AF15" i="52"/>
  <c r="AG15" i="52"/>
  <c r="AH15" i="52"/>
  <c r="AI15" i="52"/>
  <c r="AJ15" i="52"/>
  <c r="AK15" i="52"/>
  <c r="AL15" i="52"/>
  <c r="AM15" i="52"/>
  <c r="AN15" i="52"/>
  <c r="AO15" i="52"/>
  <c r="AP15" i="52"/>
  <c r="AQ15" i="52"/>
  <c r="AR15" i="52"/>
  <c r="AS15" i="52"/>
  <c r="AT15" i="52"/>
  <c r="AU15" i="52"/>
  <c r="AV15" i="52"/>
  <c r="AW15" i="52"/>
  <c r="G16" i="52"/>
  <c r="H16" i="52"/>
  <c r="I16" i="52"/>
  <c r="J16" i="52"/>
  <c r="K16" i="52"/>
  <c r="L16" i="52"/>
  <c r="M16" i="52"/>
  <c r="N16" i="52"/>
  <c r="O16" i="52"/>
  <c r="P16" i="52"/>
  <c r="Q16" i="52"/>
  <c r="R16" i="52"/>
  <c r="S16" i="52"/>
  <c r="T16" i="52"/>
  <c r="U16" i="52"/>
  <c r="V16" i="52"/>
  <c r="W16" i="52"/>
  <c r="X16" i="52"/>
  <c r="Y16" i="52"/>
  <c r="Z16" i="52"/>
  <c r="AA16" i="52"/>
  <c r="AB16" i="52"/>
  <c r="AC16" i="52"/>
  <c r="AD16" i="52"/>
  <c r="AE16" i="52"/>
  <c r="AF16" i="52"/>
  <c r="AG16" i="52"/>
  <c r="AH16" i="52"/>
  <c r="AI16" i="52"/>
  <c r="AJ16" i="52"/>
  <c r="AK16" i="52"/>
  <c r="AL16" i="52"/>
  <c r="AM16" i="52"/>
  <c r="AN16" i="52"/>
  <c r="AO16" i="52"/>
  <c r="AP16" i="52"/>
  <c r="AQ16" i="52"/>
  <c r="AR16" i="52"/>
  <c r="AS16" i="52"/>
  <c r="AT16" i="52"/>
  <c r="AU16" i="52"/>
  <c r="AV16" i="52"/>
  <c r="AW16" i="52"/>
  <c r="G17" i="52"/>
  <c r="H17" i="52"/>
  <c r="I17" i="52"/>
  <c r="J17" i="52"/>
  <c r="K17" i="52"/>
  <c r="L17" i="52"/>
  <c r="M17" i="52"/>
  <c r="N17" i="52"/>
  <c r="O17" i="52"/>
  <c r="P17" i="52"/>
  <c r="Q17" i="52"/>
  <c r="R17" i="52"/>
  <c r="S17" i="52"/>
  <c r="T17" i="52"/>
  <c r="U17" i="52"/>
  <c r="V17" i="52"/>
  <c r="W17" i="52"/>
  <c r="X17" i="52"/>
  <c r="Y17" i="52"/>
  <c r="Z17" i="52"/>
  <c r="AA17" i="52"/>
  <c r="AB17" i="52"/>
  <c r="AC17" i="52"/>
  <c r="AD17" i="52"/>
  <c r="AE17" i="52"/>
  <c r="AF17" i="52"/>
  <c r="AG17" i="52"/>
  <c r="AH17" i="52"/>
  <c r="AI17" i="52"/>
  <c r="AJ17" i="52"/>
  <c r="AK17" i="52"/>
  <c r="AL17" i="52"/>
  <c r="AM17" i="52"/>
  <c r="AN17" i="52"/>
  <c r="AO17" i="52"/>
  <c r="AP17" i="52"/>
  <c r="AQ17" i="52"/>
  <c r="AR17" i="52"/>
  <c r="AS17" i="52"/>
  <c r="AT17" i="52"/>
  <c r="AU17" i="52"/>
  <c r="AV17" i="52"/>
  <c r="AW17" i="52"/>
  <c r="G18" i="52"/>
  <c r="H18" i="52"/>
  <c r="I18" i="52"/>
  <c r="J18" i="52"/>
  <c r="K18" i="52"/>
  <c r="L18" i="52"/>
  <c r="M18" i="52"/>
  <c r="N18" i="52"/>
  <c r="O18" i="52"/>
  <c r="P18" i="52"/>
  <c r="Q18" i="52"/>
  <c r="R18" i="52"/>
  <c r="S18" i="52"/>
  <c r="T18" i="52"/>
  <c r="U18" i="52"/>
  <c r="V18" i="52"/>
  <c r="W18" i="52"/>
  <c r="X18" i="52"/>
  <c r="Y18" i="52"/>
  <c r="Z18" i="52"/>
  <c r="AA18" i="52"/>
  <c r="AB18" i="52"/>
  <c r="AC18" i="52"/>
  <c r="AD18" i="52"/>
  <c r="AE18" i="52"/>
  <c r="AF18" i="52"/>
  <c r="AG18" i="52"/>
  <c r="AH18" i="52"/>
  <c r="AI18" i="52"/>
  <c r="AJ18" i="52"/>
  <c r="AK18" i="52"/>
  <c r="AL18" i="52"/>
  <c r="AM18" i="52"/>
  <c r="AN18" i="52"/>
  <c r="AO18" i="52"/>
  <c r="AP18" i="52"/>
  <c r="AQ18" i="52"/>
  <c r="AR18" i="52"/>
  <c r="AS18" i="52"/>
  <c r="AT18" i="52"/>
  <c r="AU18" i="52"/>
  <c r="AV18" i="52"/>
  <c r="AW18" i="52"/>
  <c r="G19" i="52"/>
  <c r="H19" i="52"/>
  <c r="I19" i="52"/>
  <c r="J19" i="52"/>
  <c r="K19" i="52"/>
  <c r="L19" i="52"/>
  <c r="M19" i="52"/>
  <c r="N19" i="52"/>
  <c r="O19" i="52"/>
  <c r="P19" i="52"/>
  <c r="Q19" i="52"/>
  <c r="R19" i="52"/>
  <c r="S19" i="52"/>
  <c r="T19" i="52"/>
  <c r="U19" i="52"/>
  <c r="V19" i="52"/>
  <c r="W19" i="52"/>
  <c r="X19" i="52"/>
  <c r="Y19" i="52"/>
  <c r="Z19" i="52"/>
  <c r="AA19" i="52"/>
  <c r="AB19" i="52"/>
  <c r="AC19" i="52"/>
  <c r="AD19" i="52"/>
  <c r="AE19" i="52"/>
  <c r="AF19" i="52"/>
  <c r="AG19" i="52"/>
  <c r="AH19" i="52"/>
  <c r="AI19" i="52"/>
  <c r="AJ19" i="52"/>
  <c r="AK19" i="52"/>
  <c r="AL19" i="52"/>
  <c r="AM19" i="52"/>
  <c r="AN19" i="52"/>
  <c r="AO19" i="52"/>
  <c r="AP19" i="52"/>
  <c r="AQ19" i="52"/>
  <c r="AR19" i="52"/>
  <c r="AS19" i="52"/>
  <c r="AT19" i="52"/>
  <c r="AU19" i="52"/>
  <c r="AV19" i="52"/>
  <c r="AW19" i="52"/>
  <c r="G20" i="52"/>
  <c r="H20" i="52"/>
  <c r="I20" i="52"/>
  <c r="J20" i="52"/>
  <c r="K20" i="52"/>
  <c r="L20" i="52"/>
  <c r="M20" i="52"/>
  <c r="N20" i="52"/>
  <c r="O20" i="52"/>
  <c r="P20" i="52"/>
  <c r="Q20" i="52"/>
  <c r="R20" i="52"/>
  <c r="S20" i="52"/>
  <c r="T20" i="52"/>
  <c r="U20" i="52"/>
  <c r="V20" i="52"/>
  <c r="W20" i="52"/>
  <c r="X20" i="52"/>
  <c r="Y20" i="52"/>
  <c r="Z20" i="52"/>
  <c r="AA20" i="52"/>
  <c r="AB20" i="52"/>
  <c r="AC20" i="52"/>
  <c r="AD20" i="52"/>
  <c r="AE20" i="52"/>
  <c r="AF20" i="52"/>
  <c r="AG20" i="52"/>
  <c r="AH20" i="52"/>
  <c r="AI20" i="52"/>
  <c r="AJ20" i="52"/>
  <c r="AK20" i="52"/>
  <c r="AL20" i="52"/>
  <c r="AM20" i="52"/>
  <c r="AN20" i="52"/>
  <c r="AO20" i="52"/>
  <c r="AP20" i="52"/>
  <c r="AQ20" i="52"/>
  <c r="AR20" i="52"/>
  <c r="AS20" i="52"/>
  <c r="AT20" i="52"/>
  <c r="AU20" i="52"/>
  <c r="AV20" i="52"/>
  <c r="AW20" i="52"/>
  <c r="G21" i="52"/>
  <c r="H21" i="52"/>
  <c r="I21" i="52"/>
  <c r="J21" i="52"/>
  <c r="K21" i="52"/>
  <c r="L21" i="52"/>
  <c r="M21" i="52"/>
  <c r="N21" i="52"/>
  <c r="O21" i="52"/>
  <c r="P21" i="52"/>
  <c r="Q21" i="52"/>
  <c r="R21" i="52"/>
  <c r="S21" i="52"/>
  <c r="T21" i="52"/>
  <c r="U21" i="52"/>
  <c r="V21" i="52"/>
  <c r="W21" i="52"/>
  <c r="X21" i="52"/>
  <c r="Y21" i="52"/>
  <c r="Z21" i="52"/>
  <c r="AA21" i="52"/>
  <c r="AB21" i="52"/>
  <c r="AC21" i="52"/>
  <c r="AD21" i="52"/>
  <c r="AE21" i="52"/>
  <c r="AF21" i="52"/>
  <c r="AG21" i="52"/>
  <c r="AH21" i="52"/>
  <c r="AI21" i="52"/>
  <c r="AJ21" i="52"/>
  <c r="AK21" i="52"/>
  <c r="AL21" i="52"/>
  <c r="AM21" i="52"/>
  <c r="AN21" i="52"/>
  <c r="AO21" i="52"/>
  <c r="AP21" i="52"/>
  <c r="AQ21" i="52"/>
  <c r="AR21" i="52"/>
  <c r="AS21" i="52"/>
  <c r="AT21" i="52"/>
  <c r="AU21" i="52"/>
  <c r="AV21" i="52"/>
  <c r="AW21" i="52"/>
  <c r="G22" i="52"/>
  <c r="H22" i="52"/>
  <c r="I22" i="52"/>
  <c r="J22" i="52"/>
  <c r="K22" i="52"/>
  <c r="L22" i="52"/>
  <c r="M22" i="52"/>
  <c r="N22" i="52"/>
  <c r="O22" i="52"/>
  <c r="P22" i="52"/>
  <c r="Q22" i="52"/>
  <c r="R22" i="52"/>
  <c r="S22" i="52"/>
  <c r="T22" i="52"/>
  <c r="U22" i="52"/>
  <c r="V22" i="52"/>
  <c r="W22" i="52"/>
  <c r="X22" i="52"/>
  <c r="Y22" i="52"/>
  <c r="Z22" i="52"/>
  <c r="AA22" i="52"/>
  <c r="AB22" i="52"/>
  <c r="AC22" i="52"/>
  <c r="AD22" i="52"/>
  <c r="AE22" i="52"/>
  <c r="AF22" i="52"/>
  <c r="AG22" i="52"/>
  <c r="AH22" i="52"/>
  <c r="AI22" i="52"/>
  <c r="AJ22" i="52"/>
  <c r="AK22" i="52"/>
  <c r="AL22" i="52"/>
  <c r="AM22" i="52"/>
  <c r="AN22" i="52"/>
  <c r="AO22" i="52"/>
  <c r="AP22" i="52"/>
  <c r="AQ22" i="52"/>
  <c r="AR22" i="52"/>
  <c r="AS22" i="52"/>
  <c r="AT22" i="52"/>
  <c r="AU22" i="52"/>
  <c r="AV22" i="52"/>
  <c r="AW22" i="52"/>
  <c r="G23" i="52"/>
  <c r="H23" i="52"/>
  <c r="I23" i="52"/>
  <c r="J23" i="52"/>
  <c r="K23" i="52"/>
  <c r="L23" i="52"/>
  <c r="M23" i="52"/>
  <c r="N23" i="52"/>
  <c r="O23" i="52"/>
  <c r="P23" i="52"/>
  <c r="Q23" i="52"/>
  <c r="R23" i="52"/>
  <c r="S23" i="52"/>
  <c r="T23" i="52"/>
  <c r="U23" i="52"/>
  <c r="V23" i="52"/>
  <c r="W23" i="52"/>
  <c r="X23" i="52"/>
  <c r="Y23" i="52"/>
  <c r="Z23" i="52"/>
  <c r="AA23" i="52"/>
  <c r="AB23" i="52"/>
  <c r="AC23" i="52"/>
  <c r="AD23" i="52"/>
  <c r="AE23" i="52"/>
  <c r="AF23" i="52"/>
  <c r="AG23" i="52"/>
  <c r="AH23" i="52"/>
  <c r="AI23" i="52"/>
  <c r="AJ23" i="52"/>
  <c r="AK23" i="52"/>
  <c r="AL23" i="52"/>
  <c r="AM23" i="52"/>
  <c r="AN23" i="52"/>
  <c r="AO23" i="52"/>
  <c r="AP23" i="52"/>
  <c r="AQ23" i="52"/>
  <c r="AR23" i="52"/>
  <c r="AS23" i="52"/>
  <c r="AT23" i="52"/>
  <c r="AU23" i="52"/>
  <c r="AV23" i="52"/>
  <c r="AW23" i="52"/>
  <c r="G24" i="52"/>
  <c r="H24" i="52"/>
  <c r="I24" i="52"/>
  <c r="J24" i="52"/>
  <c r="K24" i="52"/>
  <c r="L24" i="52"/>
  <c r="M24" i="52"/>
  <c r="N24" i="52"/>
  <c r="O24" i="52"/>
  <c r="P24" i="52"/>
  <c r="Q24" i="52"/>
  <c r="R24" i="52"/>
  <c r="S24" i="52"/>
  <c r="T24" i="52"/>
  <c r="U24" i="52"/>
  <c r="V24" i="52"/>
  <c r="W24" i="52"/>
  <c r="X24" i="52"/>
  <c r="Y24" i="52"/>
  <c r="Z24" i="52"/>
  <c r="AA24" i="52"/>
  <c r="AB24" i="52"/>
  <c r="AC24" i="52"/>
  <c r="AD24" i="52"/>
  <c r="AE24" i="52"/>
  <c r="AF24" i="52"/>
  <c r="AG24" i="52"/>
  <c r="AH24" i="52"/>
  <c r="AI24" i="52"/>
  <c r="AJ24" i="52"/>
  <c r="AK24" i="52"/>
  <c r="AL24" i="52"/>
  <c r="AM24" i="52"/>
  <c r="AN24" i="52"/>
  <c r="AO24" i="52"/>
  <c r="AP24" i="52"/>
  <c r="AQ24" i="52"/>
  <c r="AR24" i="52"/>
  <c r="AS24" i="52"/>
  <c r="AT24" i="52"/>
  <c r="AU24" i="52"/>
  <c r="AV24" i="52"/>
  <c r="AW24" i="52"/>
  <c r="G25" i="52"/>
  <c r="H25" i="52"/>
  <c r="I25" i="52"/>
  <c r="J25" i="52"/>
  <c r="K25" i="52"/>
  <c r="L25" i="52"/>
  <c r="M25" i="52"/>
  <c r="N25" i="52"/>
  <c r="O25" i="52"/>
  <c r="P25" i="52"/>
  <c r="Q25" i="52"/>
  <c r="R25" i="52"/>
  <c r="S25" i="52"/>
  <c r="T25" i="52"/>
  <c r="U25" i="52"/>
  <c r="V25" i="52"/>
  <c r="W25" i="52"/>
  <c r="X25" i="52"/>
  <c r="Y25" i="52"/>
  <c r="Z25" i="52"/>
  <c r="AA25" i="52"/>
  <c r="AB25" i="52"/>
  <c r="AC25" i="52"/>
  <c r="AD25" i="52"/>
  <c r="AE25" i="52"/>
  <c r="AF25" i="52"/>
  <c r="AG25" i="52"/>
  <c r="AH25" i="52"/>
  <c r="AI25" i="52"/>
  <c r="AJ25" i="52"/>
  <c r="AK25" i="52"/>
  <c r="AL25" i="52"/>
  <c r="AM25" i="52"/>
  <c r="AN25" i="52"/>
  <c r="AO25" i="52"/>
  <c r="AP25" i="52"/>
  <c r="AQ25" i="52"/>
  <c r="AR25" i="52"/>
  <c r="AS25" i="52"/>
  <c r="AT25" i="52"/>
  <c r="AU25" i="52"/>
  <c r="AV25" i="52"/>
  <c r="AW25" i="52"/>
  <c r="G26" i="52"/>
  <c r="H26" i="52"/>
  <c r="I26" i="52"/>
  <c r="J26" i="52"/>
  <c r="K26" i="52"/>
  <c r="L26" i="52"/>
  <c r="M26" i="52"/>
  <c r="N26" i="52"/>
  <c r="O26" i="52"/>
  <c r="P26" i="52"/>
  <c r="Q26" i="52"/>
  <c r="R26" i="52"/>
  <c r="S26" i="52"/>
  <c r="T26" i="52"/>
  <c r="U26" i="52"/>
  <c r="V26" i="52"/>
  <c r="W26" i="52"/>
  <c r="X26" i="52"/>
  <c r="Y26" i="52"/>
  <c r="Z26" i="52"/>
  <c r="AA26" i="52"/>
  <c r="AB26" i="52"/>
  <c r="AC26" i="52"/>
  <c r="AD26" i="52"/>
  <c r="AE26" i="52"/>
  <c r="AF26" i="52"/>
  <c r="AG26" i="52"/>
  <c r="AH26" i="52"/>
  <c r="AI26" i="52"/>
  <c r="AJ26" i="52"/>
  <c r="AK26" i="52"/>
  <c r="AL26" i="52"/>
  <c r="AM26" i="52"/>
  <c r="AN26" i="52"/>
  <c r="AO26" i="52"/>
  <c r="AP26" i="52"/>
  <c r="AQ26" i="52"/>
  <c r="AR26" i="52"/>
  <c r="AS26" i="52"/>
  <c r="AT26" i="52"/>
  <c r="AU26" i="52"/>
  <c r="AV26" i="52"/>
  <c r="AW26" i="52"/>
  <c r="G27" i="52"/>
  <c r="H27" i="52"/>
  <c r="I27" i="52"/>
  <c r="J27" i="52"/>
  <c r="K27" i="52"/>
  <c r="L27" i="52"/>
  <c r="M27" i="52"/>
  <c r="N27" i="52"/>
  <c r="O27" i="52"/>
  <c r="P27" i="52"/>
  <c r="Q27" i="52"/>
  <c r="R27" i="52"/>
  <c r="S27" i="52"/>
  <c r="T27" i="52"/>
  <c r="U27" i="52"/>
  <c r="V27" i="52"/>
  <c r="W27" i="52"/>
  <c r="X27" i="52"/>
  <c r="Y27" i="52"/>
  <c r="Z27" i="52"/>
  <c r="AA27" i="52"/>
  <c r="AB27" i="52"/>
  <c r="AC27" i="52"/>
  <c r="AD27" i="52"/>
  <c r="AE27" i="52"/>
  <c r="AF27" i="52"/>
  <c r="AG27" i="52"/>
  <c r="AH27" i="52"/>
  <c r="AI27" i="52"/>
  <c r="AJ27" i="52"/>
  <c r="AK27" i="52"/>
  <c r="AL27" i="52"/>
  <c r="AM27" i="52"/>
  <c r="AN27" i="52"/>
  <c r="AO27" i="52"/>
  <c r="AP27" i="52"/>
  <c r="AQ27" i="52"/>
  <c r="AR27" i="52"/>
  <c r="AS27" i="52"/>
  <c r="AT27" i="52"/>
  <c r="AU27" i="52"/>
  <c r="AV27" i="52"/>
  <c r="AW27" i="52"/>
  <c r="G28" i="52"/>
  <c r="H28" i="52"/>
  <c r="I28" i="52"/>
  <c r="J28" i="52"/>
  <c r="K28" i="52"/>
  <c r="L28" i="52"/>
  <c r="M28" i="52"/>
  <c r="N28" i="52"/>
  <c r="O28" i="52"/>
  <c r="P28" i="52"/>
  <c r="Q28" i="52"/>
  <c r="R28" i="52"/>
  <c r="S28" i="52"/>
  <c r="T28" i="52"/>
  <c r="U28" i="52"/>
  <c r="V28" i="52"/>
  <c r="W28" i="52"/>
  <c r="X28" i="52"/>
  <c r="Y28" i="52"/>
  <c r="Z28" i="52"/>
  <c r="AA28" i="52"/>
  <c r="AB28" i="52"/>
  <c r="AC28" i="52"/>
  <c r="AD28" i="52"/>
  <c r="AE28" i="52"/>
  <c r="AF28" i="52"/>
  <c r="AG28" i="52"/>
  <c r="AH28" i="52"/>
  <c r="AI28" i="52"/>
  <c r="AJ28" i="52"/>
  <c r="AK28" i="52"/>
  <c r="AL28" i="52"/>
  <c r="AM28" i="52"/>
  <c r="AN28" i="52"/>
  <c r="AO28" i="52"/>
  <c r="AP28" i="52"/>
  <c r="AQ28" i="52"/>
  <c r="AR28" i="52"/>
  <c r="AS28" i="52"/>
  <c r="AT28" i="52"/>
  <c r="AU28" i="52"/>
  <c r="AV28" i="52"/>
  <c r="AW28" i="52"/>
  <c r="G29" i="52"/>
  <c r="H29" i="52"/>
  <c r="I29" i="52"/>
  <c r="J29" i="52"/>
  <c r="K29" i="52"/>
  <c r="L29" i="52"/>
  <c r="M29" i="52"/>
  <c r="N29" i="52"/>
  <c r="O29" i="52"/>
  <c r="P29" i="52"/>
  <c r="Q29" i="52"/>
  <c r="R29" i="52"/>
  <c r="S29" i="52"/>
  <c r="T29" i="52"/>
  <c r="U29" i="52"/>
  <c r="V29" i="52"/>
  <c r="W29" i="52"/>
  <c r="X29" i="52"/>
  <c r="Y29" i="52"/>
  <c r="Z29" i="52"/>
  <c r="AA29" i="52"/>
  <c r="AB29" i="52"/>
  <c r="AC29" i="52"/>
  <c r="AD29" i="52"/>
  <c r="AE29" i="52"/>
  <c r="AF29" i="52"/>
  <c r="AG29" i="52"/>
  <c r="AH29" i="52"/>
  <c r="AI29" i="52"/>
  <c r="AJ29" i="52"/>
  <c r="AK29" i="52"/>
  <c r="AL29" i="52"/>
  <c r="AM29" i="52"/>
  <c r="AN29" i="52"/>
  <c r="AO29" i="52"/>
  <c r="AP29" i="52"/>
  <c r="AQ29" i="52"/>
  <c r="AR29" i="52"/>
  <c r="AS29" i="52"/>
  <c r="AT29" i="52"/>
  <c r="AU29" i="52"/>
  <c r="AV29" i="52"/>
  <c r="AW29" i="52"/>
  <c r="G30" i="52"/>
  <c r="H30" i="52"/>
  <c r="I30" i="52"/>
  <c r="J30" i="52"/>
  <c r="K30" i="52"/>
  <c r="L30" i="52"/>
  <c r="M30" i="52"/>
  <c r="N30" i="52"/>
  <c r="O30" i="52"/>
  <c r="P30" i="52"/>
  <c r="Q30" i="52"/>
  <c r="R30" i="52"/>
  <c r="S30" i="52"/>
  <c r="T30" i="52"/>
  <c r="U30" i="52"/>
  <c r="V30" i="52"/>
  <c r="W30" i="52"/>
  <c r="X30" i="52"/>
  <c r="Y30" i="52"/>
  <c r="Z30" i="52"/>
  <c r="AA30" i="52"/>
  <c r="AB30" i="52"/>
  <c r="AC30" i="52"/>
  <c r="AD30" i="52"/>
  <c r="AE30" i="52"/>
  <c r="AF30" i="52"/>
  <c r="AG30" i="52"/>
  <c r="AH30" i="52"/>
  <c r="AI30" i="52"/>
  <c r="AJ30" i="52"/>
  <c r="AK30" i="52"/>
  <c r="AL30" i="52"/>
  <c r="AM30" i="52"/>
  <c r="AN30" i="52"/>
  <c r="AO30" i="52"/>
  <c r="AP30" i="52"/>
  <c r="AQ30" i="52"/>
  <c r="AR30" i="52"/>
  <c r="AS30" i="52"/>
  <c r="AT30" i="52"/>
  <c r="AU30" i="52"/>
  <c r="AV30" i="52"/>
  <c r="AW30" i="52"/>
  <c r="G31" i="52"/>
  <c r="H31" i="52"/>
  <c r="I31" i="52"/>
  <c r="J31" i="52"/>
  <c r="K31" i="52"/>
  <c r="L31" i="52"/>
  <c r="M31" i="52"/>
  <c r="N31" i="52"/>
  <c r="O31" i="52"/>
  <c r="P31" i="52"/>
  <c r="Q31" i="52"/>
  <c r="R31" i="52"/>
  <c r="S31" i="52"/>
  <c r="T31" i="52"/>
  <c r="U31" i="52"/>
  <c r="V31" i="52"/>
  <c r="W31" i="52"/>
  <c r="X31" i="52"/>
  <c r="Y31" i="52"/>
  <c r="Z31" i="52"/>
  <c r="AA31" i="52"/>
  <c r="AB31" i="52"/>
  <c r="AC31" i="52"/>
  <c r="AD31" i="52"/>
  <c r="AE31" i="52"/>
  <c r="AF31" i="52"/>
  <c r="AG31" i="52"/>
  <c r="AH31" i="52"/>
  <c r="AI31" i="52"/>
  <c r="AJ31" i="52"/>
  <c r="AK31" i="52"/>
  <c r="AL31" i="52"/>
  <c r="AM31" i="52"/>
  <c r="AN31" i="52"/>
  <c r="AO31" i="52"/>
  <c r="AP31" i="52"/>
  <c r="AQ31" i="52"/>
  <c r="AR31" i="52"/>
  <c r="AS31" i="52"/>
  <c r="AT31" i="52"/>
  <c r="AU31" i="52"/>
  <c r="AV31" i="52"/>
  <c r="AW31" i="52"/>
  <c r="G32" i="52"/>
  <c r="H32" i="52"/>
  <c r="I32" i="52"/>
  <c r="J32" i="52"/>
  <c r="K32" i="52"/>
  <c r="L32" i="52"/>
  <c r="M32" i="52"/>
  <c r="N32" i="52"/>
  <c r="O32" i="52"/>
  <c r="P32" i="52"/>
  <c r="Q32" i="52"/>
  <c r="R32" i="52"/>
  <c r="S32" i="52"/>
  <c r="T32" i="52"/>
  <c r="U32" i="52"/>
  <c r="V32" i="52"/>
  <c r="W32" i="52"/>
  <c r="X32" i="52"/>
  <c r="Y32" i="52"/>
  <c r="Z32" i="52"/>
  <c r="AA32" i="52"/>
  <c r="AB32" i="52"/>
  <c r="AC32" i="52"/>
  <c r="AD32" i="52"/>
  <c r="AE32" i="52"/>
  <c r="AF32" i="52"/>
  <c r="AG32" i="52"/>
  <c r="AH32" i="52"/>
  <c r="AI32" i="52"/>
  <c r="AJ32" i="52"/>
  <c r="AK32" i="52"/>
  <c r="AL32" i="52"/>
  <c r="AM32" i="52"/>
  <c r="AN32" i="52"/>
  <c r="AO32" i="52"/>
  <c r="AP32" i="52"/>
  <c r="AQ32" i="52"/>
  <c r="AR32" i="52"/>
  <c r="AS32" i="52"/>
  <c r="AT32" i="52"/>
  <c r="AU32" i="52"/>
  <c r="AV32" i="52"/>
  <c r="AW32" i="52"/>
  <c r="G33" i="52"/>
  <c r="H33" i="52"/>
  <c r="I33" i="52"/>
  <c r="J33" i="52"/>
  <c r="K33" i="52"/>
  <c r="L33" i="52"/>
  <c r="M33" i="52"/>
  <c r="N33" i="52"/>
  <c r="O33" i="52"/>
  <c r="P33" i="52"/>
  <c r="Q33" i="52"/>
  <c r="R33" i="52"/>
  <c r="S33" i="52"/>
  <c r="T33" i="52"/>
  <c r="U33" i="52"/>
  <c r="V33" i="52"/>
  <c r="W33" i="52"/>
  <c r="X33" i="52"/>
  <c r="Y33" i="52"/>
  <c r="Z33" i="52"/>
  <c r="AA33" i="52"/>
  <c r="AB33" i="52"/>
  <c r="AC33" i="52"/>
  <c r="AD33" i="52"/>
  <c r="AE33" i="52"/>
  <c r="AF33" i="52"/>
  <c r="AG33" i="52"/>
  <c r="AH33" i="52"/>
  <c r="AI33" i="52"/>
  <c r="AJ33" i="52"/>
  <c r="AK33" i="52"/>
  <c r="AL33" i="52"/>
  <c r="AM33" i="52"/>
  <c r="AN33" i="52"/>
  <c r="AO33" i="52"/>
  <c r="AP33" i="52"/>
  <c r="AQ33" i="52"/>
  <c r="AR33" i="52"/>
  <c r="AS33" i="52"/>
  <c r="AT33" i="52"/>
  <c r="AU33" i="52"/>
  <c r="AV33" i="52"/>
  <c r="AW33" i="52"/>
  <c r="G34" i="52"/>
  <c r="H34" i="52"/>
  <c r="I34" i="52"/>
  <c r="J34" i="52"/>
  <c r="K34" i="52"/>
  <c r="L34" i="52"/>
  <c r="M34" i="52"/>
  <c r="N34" i="52"/>
  <c r="O34" i="52"/>
  <c r="P34" i="52"/>
  <c r="Q34" i="52"/>
  <c r="R34" i="52"/>
  <c r="S34" i="52"/>
  <c r="T34" i="52"/>
  <c r="U34" i="52"/>
  <c r="V34" i="52"/>
  <c r="W34" i="52"/>
  <c r="X34" i="52"/>
  <c r="Y34" i="52"/>
  <c r="Z34" i="52"/>
  <c r="AA34" i="52"/>
  <c r="AB34" i="52"/>
  <c r="AC34" i="52"/>
  <c r="AD34" i="52"/>
  <c r="AE34" i="52"/>
  <c r="AF34" i="52"/>
  <c r="AG34" i="52"/>
  <c r="AH34" i="52"/>
  <c r="AI34" i="52"/>
  <c r="AJ34" i="52"/>
  <c r="AK34" i="52"/>
  <c r="AL34" i="52"/>
  <c r="AM34" i="52"/>
  <c r="AN34" i="52"/>
  <c r="AO34" i="52"/>
  <c r="AP34" i="52"/>
  <c r="AQ34" i="52"/>
  <c r="AR34" i="52"/>
  <c r="AS34" i="52"/>
  <c r="AT34" i="52"/>
  <c r="AU34" i="52"/>
  <c r="AV34" i="52"/>
  <c r="AW34" i="52"/>
  <c r="G35" i="52"/>
  <c r="H35" i="52"/>
  <c r="I35" i="52"/>
  <c r="J35" i="52"/>
  <c r="K35" i="52"/>
  <c r="L35" i="52"/>
  <c r="M35" i="52"/>
  <c r="N35" i="52"/>
  <c r="O35" i="52"/>
  <c r="P35" i="52"/>
  <c r="Q35" i="52"/>
  <c r="R35" i="52"/>
  <c r="S35" i="52"/>
  <c r="T35" i="52"/>
  <c r="U35" i="52"/>
  <c r="V35" i="52"/>
  <c r="W35" i="52"/>
  <c r="X35" i="52"/>
  <c r="Y35" i="52"/>
  <c r="Z35" i="52"/>
  <c r="AA35" i="52"/>
  <c r="AB35" i="52"/>
  <c r="AC35" i="52"/>
  <c r="AD35" i="52"/>
  <c r="AE35" i="52"/>
  <c r="AF35" i="52"/>
  <c r="AG35" i="52"/>
  <c r="AH35" i="52"/>
  <c r="AI35" i="52"/>
  <c r="AJ35" i="52"/>
  <c r="AK35" i="52"/>
  <c r="AL35" i="52"/>
  <c r="AM35" i="52"/>
  <c r="AN35" i="52"/>
  <c r="AO35" i="52"/>
  <c r="AP35" i="52"/>
  <c r="AQ35" i="52"/>
  <c r="AR35" i="52"/>
  <c r="AS35" i="52"/>
  <c r="AT35" i="52"/>
  <c r="AU35" i="52"/>
  <c r="AV35" i="52"/>
  <c r="AW35" i="52"/>
  <c r="G36" i="52"/>
  <c r="H36" i="52"/>
  <c r="I36" i="52"/>
  <c r="J36" i="52"/>
  <c r="K36" i="52"/>
  <c r="L36" i="52"/>
  <c r="M36" i="52"/>
  <c r="N36" i="52"/>
  <c r="O36" i="52"/>
  <c r="P36" i="52"/>
  <c r="Q36" i="52"/>
  <c r="R36" i="52"/>
  <c r="S36" i="52"/>
  <c r="T36" i="52"/>
  <c r="U36" i="52"/>
  <c r="V36" i="52"/>
  <c r="W36" i="52"/>
  <c r="X36" i="52"/>
  <c r="Y36" i="52"/>
  <c r="Z36" i="52"/>
  <c r="AA36" i="52"/>
  <c r="AB36" i="52"/>
  <c r="AC36" i="52"/>
  <c r="AD36" i="52"/>
  <c r="AE36" i="52"/>
  <c r="AF36" i="52"/>
  <c r="AG36" i="52"/>
  <c r="AH36" i="52"/>
  <c r="AI36" i="52"/>
  <c r="AJ36" i="52"/>
  <c r="AK36" i="52"/>
  <c r="AL36" i="52"/>
  <c r="AM36" i="52"/>
  <c r="AN36" i="52"/>
  <c r="AO36" i="52"/>
  <c r="AP36" i="52"/>
  <c r="AQ36" i="52"/>
  <c r="AR36" i="52"/>
  <c r="AS36" i="52"/>
  <c r="AT36" i="52"/>
  <c r="AU36" i="52"/>
  <c r="AV36" i="52"/>
  <c r="AW36" i="52"/>
  <c r="G37" i="52"/>
  <c r="H37" i="52"/>
  <c r="I37" i="52"/>
  <c r="J37" i="52"/>
  <c r="K37" i="52"/>
  <c r="L37" i="52"/>
  <c r="M37" i="52"/>
  <c r="N37" i="52"/>
  <c r="O37" i="52"/>
  <c r="P37" i="52"/>
  <c r="Q37" i="52"/>
  <c r="R37" i="52"/>
  <c r="S37" i="52"/>
  <c r="T37" i="52"/>
  <c r="U37" i="52"/>
  <c r="V37" i="52"/>
  <c r="W37" i="52"/>
  <c r="X37" i="52"/>
  <c r="Y37" i="52"/>
  <c r="Z37" i="52"/>
  <c r="AA37" i="52"/>
  <c r="AB37" i="52"/>
  <c r="AC37" i="52"/>
  <c r="AD37" i="52"/>
  <c r="AE37" i="52"/>
  <c r="AF37" i="52"/>
  <c r="AG37" i="52"/>
  <c r="AH37" i="52"/>
  <c r="AI37" i="52"/>
  <c r="AJ37" i="52"/>
  <c r="AK37" i="52"/>
  <c r="AL37" i="52"/>
  <c r="AM37" i="52"/>
  <c r="AN37" i="52"/>
  <c r="AO37" i="52"/>
  <c r="AP37" i="52"/>
  <c r="AQ37" i="52"/>
  <c r="AR37" i="52"/>
  <c r="AS37" i="52"/>
  <c r="AT37" i="52"/>
  <c r="AU37" i="52"/>
  <c r="AV37" i="52"/>
  <c r="AW37" i="52"/>
  <c r="G38" i="52"/>
  <c r="H38" i="52"/>
  <c r="I38" i="52"/>
  <c r="J38" i="52"/>
  <c r="K38" i="52"/>
  <c r="L38" i="52"/>
  <c r="M38" i="52"/>
  <c r="N38" i="52"/>
  <c r="O38" i="52"/>
  <c r="P38" i="52"/>
  <c r="Q38" i="52"/>
  <c r="R38" i="52"/>
  <c r="S38" i="52"/>
  <c r="T38" i="52"/>
  <c r="U38" i="52"/>
  <c r="V38" i="52"/>
  <c r="W38" i="52"/>
  <c r="X38" i="52"/>
  <c r="Y38" i="52"/>
  <c r="Z38" i="52"/>
  <c r="AA38" i="52"/>
  <c r="AB38" i="52"/>
  <c r="AC38" i="52"/>
  <c r="AD38" i="52"/>
  <c r="AE38" i="52"/>
  <c r="AF38" i="52"/>
  <c r="AG38" i="52"/>
  <c r="AH38" i="52"/>
  <c r="AI38" i="52"/>
  <c r="AJ38" i="52"/>
  <c r="AK38" i="52"/>
  <c r="AL38" i="52"/>
  <c r="AM38" i="52"/>
  <c r="AN38" i="52"/>
  <c r="AO38" i="52"/>
  <c r="AP38" i="52"/>
  <c r="AQ38" i="52"/>
  <c r="AR38" i="52"/>
  <c r="AS38" i="52"/>
  <c r="AT38" i="52"/>
  <c r="AU38" i="52"/>
  <c r="AV38" i="52"/>
  <c r="AW38" i="52"/>
  <c r="G39" i="52"/>
  <c r="H39" i="52"/>
  <c r="I39" i="52"/>
  <c r="J39" i="52"/>
  <c r="K39" i="52"/>
  <c r="L39" i="52"/>
  <c r="M39" i="52"/>
  <c r="N39" i="52"/>
  <c r="O39" i="52"/>
  <c r="P39" i="52"/>
  <c r="Q39" i="52"/>
  <c r="R39" i="52"/>
  <c r="S39" i="52"/>
  <c r="T39" i="52"/>
  <c r="U39" i="52"/>
  <c r="V39" i="52"/>
  <c r="W39" i="52"/>
  <c r="X39" i="52"/>
  <c r="Y39" i="52"/>
  <c r="Z39" i="52"/>
  <c r="AA39" i="52"/>
  <c r="AB39" i="52"/>
  <c r="AC39" i="52"/>
  <c r="AD39" i="52"/>
  <c r="AE39" i="52"/>
  <c r="AF39" i="52"/>
  <c r="AG39" i="52"/>
  <c r="AH39" i="52"/>
  <c r="AI39" i="52"/>
  <c r="AJ39" i="52"/>
  <c r="AK39" i="52"/>
  <c r="AL39" i="52"/>
  <c r="AM39" i="52"/>
  <c r="AN39" i="52"/>
  <c r="AO39" i="52"/>
  <c r="AP39" i="52"/>
  <c r="AQ39" i="52"/>
  <c r="AR39" i="52"/>
  <c r="AS39" i="52"/>
  <c r="AT39" i="52"/>
  <c r="AU39" i="52"/>
  <c r="AV39" i="52"/>
  <c r="AW39" i="52"/>
  <c r="G40" i="52"/>
  <c r="H40" i="52"/>
  <c r="I40" i="52"/>
  <c r="J40" i="52"/>
  <c r="K40" i="52"/>
  <c r="L40" i="52"/>
  <c r="M40" i="52"/>
  <c r="N40" i="52"/>
  <c r="O40" i="52"/>
  <c r="P40" i="52"/>
  <c r="Q40" i="52"/>
  <c r="R40" i="52"/>
  <c r="S40" i="52"/>
  <c r="T40" i="52"/>
  <c r="U40" i="52"/>
  <c r="V40" i="52"/>
  <c r="W40" i="52"/>
  <c r="X40" i="52"/>
  <c r="Y40" i="52"/>
  <c r="Z40" i="52"/>
  <c r="AA40" i="52"/>
  <c r="AB40" i="52"/>
  <c r="AC40" i="52"/>
  <c r="AD40" i="52"/>
  <c r="AE40" i="52"/>
  <c r="AF40" i="52"/>
  <c r="AG40" i="52"/>
  <c r="AH40" i="52"/>
  <c r="AI40" i="52"/>
  <c r="AJ40" i="52"/>
  <c r="AK40" i="52"/>
  <c r="AL40" i="52"/>
  <c r="AM40" i="52"/>
  <c r="AN40" i="52"/>
  <c r="AO40" i="52"/>
  <c r="AP40" i="52"/>
  <c r="AQ40" i="52"/>
  <c r="AR40" i="52"/>
  <c r="AS40" i="52"/>
  <c r="AT40" i="52"/>
  <c r="AU40" i="52"/>
  <c r="AV40" i="52"/>
  <c r="AW40" i="52"/>
  <c r="G41" i="52"/>
  <c r="H41" i="52"/>
  <c r="I41" i="52"/>
  <c r="J41" i="52"/>
  <c r="K41" i="52"/>
  <c r="L41" i="52"/>
  <c r="M41" i="52"/>
  <c r="N41" i="52"/>
  <c r="O41" i="52"/>
  <c r="P41" i="52"/>
  <c r="Q41" i="52"/>
  <c r="R41" i="52"/>
  <c r="S41" i="52"/>
  <c r="T41" i="52"/>
  <c r="U41" i="52"/>
  <c r="V41" i="52"/>
  <c r="W41" i="52"/>
  <c r="X41" i="52"/>
  <c r="Y41" i="52"/>
  <c r="Z41" i="52"/>
  <c r="AA41" i="52"/>
  <c r="AB41" i="52"/>
  <c r="AC41" i="52"/>
  <c r="AD41" i="52"/>
  <c r="AE41" i="52"/>
  <c r="AF41" i="52"/>
  <c r="AG41" i="52"/>
  <c r="AH41" i="52"/>
  <c r="AI41" i="52"/>
  <c r="AJ41" i="52"/>
  <c r="AK41" i="52"/>
  <c r="AL41" i="52"/>
  <c r="AM41" i="52"/>
  <c r="AN41" i="52"/>
  <c r="AO41" i="52"/>
  <c r="AP41" i="52"/>
  <c r="AQ41" i="52"/>
  <c r="AR41" i="52"/>
  <c r="AS41" i="52"/>
  <c r="AT41" i="52"/>
  <c r="AU41" i="52"/>
  <c r="AV41" i="52"/>
  <c r="AW41" i="52"/>
  <c r="G42" i="52"/>
  <c r="H42" i="52"/>
  <c r="I42" i="52"/>
  <c r="J42" i="52"/>
  <c r="K42" i="52"/>
  <c r="L42" i="52"/>
  <c r="M42" i="52"/>
  <c r="N42" i="52"/>
  <c r="O42" i="52"/>
  <c r="P42" i="52"/>
  <c r="Q42" i="52"/>
  <c r="R42" i="52"/>
  <c r="S42" i="52"/>
  <c r="T42" i="52"/>
  <c r="U42" i="52"/>
  <c r="V42" i="52"/>
  <c r="W42" i="52"/>
  <c r="X42" i="52"/>
  <c r="Y42" i="52"/>
  <c r="Z42" i="52"/>
  <c r="AA42" i="52"/>
  <c r="AB42" i="52"/>
  <c r="AC42" i="52"/>
  <c r="AD42" i="52"/>
  <c r="AE42" i="52"/>
  <c r="AF42" i="52"/>
  <c r="AG42" i="52"/>
  <c r="AH42" i="52"/>
  <c r="AI42" i="52"/>
  <c r="AJ42" i="52"/>
  <c r="AK42" i="52"/>
  <c r="AL42" i="52"/>
  <c r="AM42" i="52"/>
  <c r="AN42" i="52"/>
  <c r="AO42" i="52"/>
  <c r="AP42" i="52"/>
  <c r="AQ42" i="52"/>
  <c r="AR42" i="52"/>
  <c r="AS42" i="52"/>
  <c r="AT42" i="52"/>
  <c r="AU42" i="52"/>
  <c r="AV42" i="52"/>
  <c r="AW42" i="52"/>
  <c r="G43" i="52"/>
  <c r="H43" i="52"/>
  <c r="I43" i="52"/>
  <c r="J43" i="52"/>
  <c r="K43" i="52"/>
  <c r="L43" i="52"/>
  <c r="M43" i="52"/>
  <c r="N43" i="52"/>
  <c r="O43" i="52"/>
  <c r="P43" i="52"/>
  <c r="Q43" i="52"/>
  <c r="R43" i="52"/>
  <c r="S43" i="52"/>
  <c r="T43" i="52"/>
  <c r="U43" i="52"/>
  <c r="V43" i="52"/>
  <c r="W43" i="52"/>
  <c r="X43" i="52"/>
  <c r="Y43" i="52"/>
  <c r="Z43" i="52"/>
  <c r="AA43" i="52"/>
  <c r="AB43" i="52"/>
  <c r="AC43" i="52"/>
  <c r="AD43" i="52"/>
  <c r="AE43" i="52"/>
  <c r="AF43" i="52"/>
  <c r="AG43" i="52"/>
  <c r="AH43" i="52"/>
  <c r="AI43" i="52"/>
  <c r="AJ43" i="52"/>
  <c r="AK43" i="52"/>
  <c r="AL43" i="52"/>
  <c r="AM43" i="52"/>
  <c r="AN43" i="52"/>
  <c r="AO43" i="52"/>
  <c r="AP43" i="52"/>
  <c r="AQ43" i="52"/>
  <c r="AR43" i="52"/>
  <c r="AS43" i="52"/>
  <c r="AT43" i="52"/>
  <c r="AU43" i="52"/>
  <c r="AV43" i="52"/>
  <c r="AW43" i="52"/>
  <c r="G44" i="52"/>
  <c r="H44" i="52"/>
  <c r="I44" i="52"/>
  <c r="J44" i="52"/>
  <c r="K44" i="52"/>
  <c r="L44" i="52"/>
  <c r="M44" i="52"/>
  <c r="N44" i="52"/>
  <c r="O44" i="52"/>
  <c r="P44" i="52"/>
  <c r="Q44" i="52"/>
  <c r="R44" i="52"/>
  <c r="S44" i="52"/>
  <c r="T44" i="52"/>
  <c r="U44" i="52"/>
  <c r="V44" i="52"/>
  <c r="W44" i="52"/>
  <c r="X44" i="52"/>
  <c r="Y44" i="52"/>
  <c r="Z44" i="52"/>
  <c r="AA44" i="52"/>
  <c r="AB44" i="52"/>
  <c r="AC44" i="52"/>
  <c r="AD44" i="52"/>
  <c r="AE44" i="52"/>
  <c r="AF44" i="52"/>
  <c r="AG44" i="52"/>
  <c r="AH44" i="52"/>
  <c r="AI44" i="52"/>
  <c r="AJ44" i="52"/>
  <c r="AK44" i="52"/>
  <c r="AL44" i="52"/>
  <c r="AM44" i="52"/>
  <c r="AN44" i="52"/>
  <c r="AO44" i="52"/>
  <c r="AP44" i="52"/>
  <c r="AQ44" i="52"/>
  <c r="AR44" i="52"/>
  <c r="AS44" i="52"/>
  <c r="AT44" i="52"/>
  <c r="AU44" i="52"/>
  <c r="AV44" i="52"/>
  <c r="AW44" i="52"/>
  <c r="G45" i="52"/>
  <c r="H45" i="52"/>
  <c r="I45" i="52"/>
  <c r="J45" i="52"/>
  <c r="K45" i="52"/>
  <c r="L45" i="52"/>
  <c r="M45" i="52"/>
  <c r="N45" i="52"/>
  <c r="O45" i="52"/>
  <c r="P45" i="52"/>
  <c r="Q45" i="52"/>
  <c r="R45" i="52"/>
  <c r="S45" i="52"/>
  <c r="T45" i="52"/>
  <c r="U45" i="52"/>
  <c r="V45" i="52"/>
  <c r="W45" i="52"/>
  <c r="X45" i="52"/>
  <c r="Y45" i="52"/>
  <c r="Z45" i="52"/>
  <c r="AA45" i="52"/>
  <c r="AB45" i="52"/>
  <c r="AC45" i="52"/>
  <c r="AD45" i="52"/>
  <c r="AE45" i="52"/>
  <c r="AF45" i="52"/>
  <c r="AG45" i="52"/>
  <c r="AH45" i="52"/>
  <c r="AI45" i="52"/>
  <c r="AJ45" i="52"/>
  <c r="AK45" i="52"/>
  <c r="AL45" i="52"/>
  <c r="AM45" i="52"/>
  <c r="AN45" i="52"/>
  <c r="AO45" i="52"/>
  <c r="AP45" i="52"/>
  <c r="AQ45" i="52"/>
  <c r="AR45" i="52"/>
  <c r="AS45" i="52"/>
  <c r="AT45" i="52"/>
  <c r="AU45" i="52"/>
  <c r="AV45" i="52"/>
  <c r="AW45" i="52"/>
  <c r="F3" i="52"/>
  <c r="F4" i="52"/>
  <c r="F5" i="52"/>
  <c r="F6" i="52"/>
  <c r="F7" i="52"/>
  <c r="F8" i="52"/>
  <c r="F9" i="52"/>
  <c r="F10" i="52"/>
  <c r="F11" i="52"/>
  <c r="F12" i="52"/>
  <c r="F13" i="52"/>
  <c r="F14" i="52"/>
  <c r="F15" i="52"/>
  <c r="F16" i="52"/>
  <c r="F17" i="52"/>
  <c r="F18" i="52"/>
  <c r="F19" i="52"/>
  <c r="F20" i="52"/>
  <c r="F21" i="52"/>
  <c r="F22" i="52"/>
  <c r="F23" i="52"/>
  <c r="F24" i="52"/>
  <c r="F25" i="52"/>
  <c r="F26" i="52"/>
  <c r="F27" i="52"/>
  <c r="F28" i="52"/>
  <c r="F29" i="52"/>
  <c r="F30" i="52"/>
  <c r="F31" i="52"/>
  <c r="F32" i="52"/>
  <c r="F33" i="52"/>
  <c r="F34" i="52"/>
  <c r="F35" i="52"/>
  <c r="F36" i="52"/>
  <c r="F37" i="52"/>
  <c r="F38" i="52"/>
  <c r="F39" i="52"/>
  <c r="F40" i="52"/>
  <c r="F41" i="52"/>
  <c r="F42" i="52"/>
  <c r="F43" i="52"/>
  <c r="F44" i="52"/>
  <c r="F45" i="52"/>
  <c r="F2" i="52"/>
  <c r="A3" i="52"/>
  <c r="A4" i="52"/>
  <c r="A5" i="52"/>
  <c r="A6" i="52"/>
  <c r="A7" i="52"/>
  <c r="A8" i="52"/>
  <c r="A9" i="52"/>
  <c r="A10" i="52"/>
  <c r="A11" i="52"/>
  <c r="A12" i="52"/>
  <c r="A13" i="52"/>
  <c r="A14" i="52"/>
  <c r="A15" i="52"/>
  <c r="A16" i="52"/>
  <c r="A17" i="52"/>
  <c r="A18" i="52"/>
  <c r="A19" i="52"/>
  <c r="A20" i="52"/>
  <c r="A21" i="52"/>
  <c r="A22" i="52"/>
  <c r="A23" i="52"/>
  <c r="A24" i="52"/>
  <c r="A25" i="52"/>
  <c r="A26" i="52"/>
  <c r="A27" i="52"/>
  <c r="A28" i="52"/>
  <c r="A29" i="52"/>
  <c r="A30" i="52"/>
  <c r="A31" i="52"/>
  <c r="A32" i="52"/>
  <c r="A33" i="52"/>
  <c r="A34" i="52"/>
  <c r="A35" i="52"/>
  <c r="A36" i="52"/>
  <c r="A37" i="52"/>
  <c r="A38" i="52"/>
  <c r="A39" i="52"/>
  <c r="A40" i="52"/>
  <c r="A41" i="52"/>
  <c r="A42" i="52"/>
  <c r="A43" i="52"/>
  <c r="A44" i="52"/>
  <c r="A45" i="52"/>
  <c r="A2" i="52"/>
  <c r="C4" i="51"/>
  <c r="D4" i="51"/>
  <c r="E4" i="51"/>
  <c r="F4" i="51"/>
  <c r="G4" i="51"/>
  <c r="H4" i="51"/>
  <c r="I4" i="51"/>
  <c r="J4" i="51"/>
  <c r="K4" i="51"/>
  <c r="L4" i="51"/>
  <c r="M4" i="51"/>
  <c r="N4" i="51"/>
  <c r="O4" i="51"/>
  <c r="P4" i="51"/>
  <c r="Q4" i="51"/>
  <c r="R4" i="51"/>
  <c r="S4" i="51"/>
  <c r="T4" i="51"/>
  <c r="U4" i="51"/>
  <c r="V4" i="51"/>
  <c r="W4" i="51"/>
  <c r="X4" i="51"/>
  <c r="Y4" i="51"/>
  <c r="Z4" i="51"/>
  <c r="AA4" i="51"/>
  <c r="AB4" i="51"/>
  <c r="AC4" i="51"/>
  <c r="AD4" i="51"/>
  <c r="AE4" i="51"/>
  <c r="AF4" i="51"/>
  <c r="AG4" i="51"/>
  <c r="AH4" i="51"/>
  <c r="AI4" i="51"/>
  <c r="AJ4" i="51"/>
  <c r="AK4" i="51"/>
  <c r="AL4" i="51"/>
  <c r="AM4" i="51"/>
  <c r="AN4" i="51"/>
  <c r="AO4" i="51"/>
  <c r="AP4" i="51"/>
  <c r="AQ4" i="51"/>
  <c r="AR4" i="51"/>
  <c r="AS4" i="51"/>
  <c r="C5" i="51"/>
  <c r="D5" i="51"/>
  <c r="E5" i="51"/>
  <c r="F5" i="51"/>
  <c r="G5" i="51"/>
  <c r="H5" i="51"/>
  <c r="I5" i="51"/>
  <c r="J5" i="51"/>
  <c r="K5" i="51"/>
  <c r="L5" i="51"/>
  <c r="M5" i="51"/>
  <c r="N5" i="51"/>
  <c r="O5" i="51"/>
  <c r="P5" i="51"/>
  <c r="Q5" i="51"/>
  <c r="R5" i="51"/>
  <c r="S5" i="51"/>
  <c r="T5" i="51"/>
  <c r="U5" i="51"/>
  <c r="V5" i="51"/>
  <c r="W5" i="51"/>
  <c r="X5" i="51"/>
  <c r="Y5" i="51"/>
  <c r="Z5" i="51"/>
  <c r="AA5" i="51"/>
  <c r="AB5" i="51"/>
  <c r="AC5" i="51"/>
  <c r="AD5" i="51"/>
  <c r="AE5" i="51"/>
  <c r="AF5" i="51"/>
  <c r="AG5" i="51"/>
  <c r="AH5" i="51"/>
  <c r="AI5" i="51"/>
  <c r="AJ5" i="51"/>
  <c r="AK5" i="51"/>
  <c r="AL5" i="51"/>
  <c r="AM5" i="51"/>
  <c r="AN5" i="51"/>
  <c r="AO5" i="51"/>
  <c r="AP5" i="51"/>
  <c r="AQ5" i="51"/>
  <c r="AR5" i="51"/>
  <c r="AS5" i="51"/>
  <c r="C6" i="51"/>
  <c r="D6" i="51"/>
  <c r="E6" i="51"/>
  <c r="F6" i="51"/>
  <c r="G6" i="51"/>
  <c r="H6" i="51"/>
  <c r="I6" i="51"/>
  <c r="J6" i="51"/>
  <c r="K6" i="51"/>
  <c r="L6" i="51"/>
  <c r="M6" i="51"/>
  <c r="N6" i="51"/>
  <c r="O6" i="51"/>
  <c r="P6" i="51"/>
  <c r="Q6" i="51"/>
  <c r="R6" i="51"/>
  <c r="S6" i="51"/>
  <c r="T6" i="51"/>
  <c r="U6" i="51"/>
  <c r="V6" i="51"/>
  <c r="W6" i="51"/>
  <c r="X6" i="51"/>
  <c r="Y6" i="51"/>
  <c r="Z6" i="51"/>
  <c r="AA6" i="51"/>
  <c r="AB6" i="51"/>
  <c r="AC6" i="51"/>
  <c r="AD6" i="51"/>
  <c r="AE6" i="51"/>
  <c r="AF6" i="51"/>
  <c r="AG6" i="51"/>
  <c r="AH6" i="51"/>
  <c r="AI6" i="51"/>
  <c r="AJ6" i="51"/>
  <c r="AK6" i="51"/>
  <c r="AL6" i="51"/>
  <c r="AM6" i="51"/>
  <c r="AN6" i="51"/>
  <c r="AO6" i="51"/>
  <c r="AP6" i="51"/>
  <c r="AQ6" i="51"/>
  <c r="AR6" i="51"/>
  <c r="AS6" i="51"/>
  <c r="C7" i="51"/>
  <c r="D7" i="51"/>
  <c r="E7" i="51"/>
  <c r="F7" i="51"/>
  <c r="G7" i="51"/>
  <c r="H7" i="51"/>
  <c r="I7" i="51"/>
  <c r="J7" i="51"/>
  <c r="K7" i="51"/>
  <c r="L7" i="51"/>
  <c r="M7" i="51"/>
  <c r="N7" i="51"/>
  <c r="O7" i="51"/>
  <c r="P7" i="51"/>
  <c r="Q7" i="51"/>
  <c r="R7" i="51"/>
  <c r="S7" i="51"/>
  <c r="T7" i="51"/>
  <c r="U7" i="51"/>
  <c r="V7" i="51"/>
  <c r="W7" i="51"/>
  <c r="X7" i="51"/>
  <c r="Y7" i="51"/>
  <c r="Z7" i="51"/>
  <c r="AA7" i="51"/>
  <c r="AB7" i="51"/>
  <c r="AC7" i="51"/>
  <c r="AD7" i="51"/>
  <c r="AE7" i="51"/>
  <c r="AF7" i="51"/>
  <c r="AG7" i="51"/>
  <c r="AH7" i="51"/>
  <c r="AI7" i="51"/>
  <c r="AJ7" i="51"/>
  <c r="AK7" i="51"/>
  <c r="AL7" i="51"/>
  <c r="AM7" i="51"/>
  <c r="AN7" i="51"/>
  <c r="AO7" i="51"/>
  <c r="AP7" i="51"/>
  <c r="AQ7" i="51"/>
  <c r="AR7" i="51"/>
  <c r="AS7" i="51"/>
  <c r="C8" i="51"/>
  <c r="D8" i="51"/>
  <c r="E8" i="51"/>
  <c r="F8" i="51"/>
  <c r="G8" i="51"/>
  <c r="H8" i="51"/>
  <c r="I8" i="51"/>
  <c r="J8" i="51"/>
  <c r="K8" i="51"/>
  <c r="L8" i="51"/>
  <c r="M8" i="51"/>
  <c r="N8" i="51"/>
  <c r="O8" i="51"/>
  <c r="P8" i="51"/>
  <c r="Q8" i="51"/>
  <c r="R8" i="51"/>
  <c r="S8" i="51"/>
  <c r="T8" i="51"/>
  <c r="U8" i="51"/>
  <c r="V8" i="51"/>
  <c r="W8" i="51"/>
  <c r="X8" i="51"/>
  <c r="Y8" i="51"/>
  <c r="Z8" i="51"/>
  <c r="AA8" i="51"/>
  <c r="AB8" i="51"/>
  <c r="AC8" i="51"/>
  <c r="AD8" i="51"/>
  <c r="AE8" i="51"/>
  <c r="AF8" i="51"/>
  <c r="AG8" i="51"/>
  <c r="AH8" i="51"/>
  <c r="AI8" i="51"/>
  <c r="AJ8" i="51"/>
  <c r="AK8" i="51"/>
  <c r="AL8" i="51"/>
  <c r="AM8" i="51"/>
  <c r="AN8" i="51"/>
  <c r="AO8" i="51"/>
  <c r="AP8" i="51"/>
  <c r="AQ8" i="51"/>
  <c r="AR8" i="51"/>
  <c r="AS8" i="51"/>
  <c r="C9" i="51"/>
  <c r="D9" i="51"/>
  <c r="E9" i="51"/>
  <c r="F9" i="51"/>
  <c r="G9" i="51"/>
  <c r="H9" i="51"/>
  <c r="I9" i="51"/>
  <c r="J9" i="51"/>
  <c r="K9" i="51"/>
  <c r="L9" i="51"/>
  <c r="M9" i="51"/>
  <c r="N9" i="51"/>
  <c r="O9" i="51"/>
  <c r="P9" i="51"/>
  <c r="Q9" i="51"/>
  <c r="R9" i="51"/>
  <c r="S9" i="51"/>
  <c r="T9" i="51"/>
  <c r="U9" i="51"/>
  <c r="V9" i="51"/>
  <c r="W9" i="51"/>
  <c r="X9" i="51"/>
  <c r="Y9" i="51"/>
  <c r="Z9" i="51"/>
  <c r="AA9" i="51"/>
  <c r="AB9" i="51"/>
  <c r="AC9" i="51"/>
  <c r="AD9" i="51"/>
  <c r="AE9" i="51"/>
  <c r="AF9" i="51"/>
  <c r="AG9" i="51"/>
  <c r="AH9" i="51"/>
  <c r="AI9" i="51"/>
  <c r="AJ9" i="51"/>
  <c r="AK9" i="51"/>
  <c r="AL9" i="51"/>
  <c r="AM9" i="51"/>
  <c r="AN9" i="51"/>
  <c r="AO9" i="51"/>
  <c r="AP9" i="51"/>
  <c r="AQ9" i="51"/>
  <c r="AR9" i="51"/>
  <c r="AS9" i="51"/>
  <c r="C10" i="51"/>
  <c r="D10" i="51"/>
  <c r="E10" i="51"/>
  <c r="F10" i="51"/>
  <c r="G10" i="51"/>
  <c r="H10" i="51"/>
  <c r="I10" i="51"/>
  <c r="J10" i="51"/>
  <c r="K10" i="51"/>
  <c r="L10" i="51"/>
  <c r="M10" i="51"/>
  <c r="N10" i="51"/>
  <c r="O10" i="51"/>
  <c r="P10" i="51"/>
  <c r="Q10" i="51"/>
  <c r="R10" i="51"/>
  <c r="S10" i="51"/>
  <c r="T10" i="51"/>
  <c r="U10" i="51"/>
  <c r="V10" i="51"/>
  <c r="W10" i="51"/>
  <c r="X10" i="51"/>
  <c r="Y10" i="51"/>
  <c r="Z10" i="51"/>
  <c r="AA10" i="51"/>
  <c r="AB10" i="51"/>
  <c r="AC10" i="51"/>
  <c r="AD10" i="51"/>
  <c r="AE10" i="51"/>
  <c r="AF10" i="51"/>
  <c r="AG10" i="51"/>
  <c r="AH10" i="51"/>
  <c r="AI10" i="51"/>
  <c r="AJ10" i="51"/>
  <c r="AK10" i="51"/>
  <c r="AL10" i="51"/>
  <c r="AM10" i="51"/>
  <c r="AN10" i="51"/>
  <c r="AO10" i="51"/>
  <c r="AP10" i="51"/>
  <c r="AQ10" i="51"/>
  <c r="AR10" i="51"/>
  <c r="AS10" i="51"/>
  <c r="C11" i="51"/>
  <c r="D11" i="51"/>
  <c r="E11" i="51"/>
  <c r="F11" i="51"/>
  <c r="G11" i="51"/>
  <c r="H11" i="51"/>
  <c r="I11" i="51"/>
  <c r="J11" i="51"/>
  <c r="K11" i="51"/>
  <c r="L11" i="51"/>
  <c r="M11" i="51"/>
  <c r="N11" i="51"/>
  <c r="O11" i="51"/>
  <c r="P11" i="51"/>
  <c r="Q11" i="51"/>
  <c r="R11" i="51"/>
  <c r="S11" i="51"/>
  <c r="T11" i="51"/>
  <c r="U11" i="51"/>
  <c r="V11" i="51"/>
  <c r="W11" i="51"/>
  <c r="X11" i="51"/>
  <c r="Y11" i="51"/>
  <c r="Z11" i="51"/>
  <c r="AA11" i="51"/>
  <c r="AB11" i="51"/>
  <c r="AC11" i="51"/>
  <c r="AD11" i="51"/>
  <c r="AE11" i="51"/>
  <c r="AF11" i="51"/>
  <c r="AG11" i="51"/>
  <c r="AH11" i="51"/>
  <c r="AI11" i="51"/>
  <c r="AJ11" i="51"/>
  <c r="AK11" i="51"/>
  <c r="AL11" i="51"/>
  <c r="AM11" i="51"/>
  <c r="AN11" i="51"/>
  <c r="AO11" i="51"/>
  <c r="AP11" i="51"/>
  <c r="AQ11" i="51"/>
  <c r="AR11" i="51"/>
  <c r="AS11" i="51"/>
  <c r="C12" i="51"/>
  <c r="D12" i="51"/>
  <c r="E12" i="51"/>
  <c r="F12" i="51"/>
  <c r="G12" i="51"/>
  <c r="H12" i="51"/>
  <c r="I12" i="51"/>
  <c r="J12" i="51"/>
  <c r="K12" i="51"/>
  <c r="L12" i="51"/>
  <c r="M12" i="51"/>
  <c r="N12" i="51"/>
  <c r="O12" i="51"/>
  <c r="P12" i="51"/>
  <c r="Q12" i="51"/>
  <c r="R12" i="51"/>
  <c r="S12" i="51"/>
  <c r="T12" i="51"/>
  <c r="U12" i="51"/>
  <c r="V12" i="51"/>
  <c r="W12" i="51"/>
  <c r="X12" i="51"/>
  <c r="Y12" i="51"/>
  <c r="Z12" i="51"/>
  <c r="AA12" i="51"/>
  <c r="AB12" i="51"/>
  <c r="AC12" i="51"/>
  <c r="AD12" i="51"/>
  <c r="AE12" i="51"/>
  <c r="AF12" i="51"/>
  <c r="AG12" i="51"/>
  <c r="AH12" i="51"/>
  <c r="AI12" i="51"/>
  <c r="AJ12" i="51"/>
  <c r="AK12" i="51"/>
  <c r="AL12" i="51"/>
  <c r="AM12" i="51"/>
  <c r="AN12" i="51"/>
  <c r="AO12" i="51"/>
  <c r="AP12" i="51"/>
  <c r="AQ12" i="51"/>
  <c r="AR12" i="51"/>
  <c r="AS12" i="51"/>
  <c r="C13" i="51"/>
  <c r="D13" i="51"/>
  <c r="E13" i="51"/>
  <c r="F13" i="51"/>
  <c r="G13" i="51"/>
  <c r="H13" i="51"/>
  <c r="I13" i="51"/>
  <c r="J13" i="51"/>
  <c r="K13" i="51"/>
  <c r="L13" i="51"/>
  <c r="M13" i="51"/>
  <c r="N13" i="51"/>
  <c r="O13" i="51"/>
  <c r="P13" i="51"/>
  <c r="Q13" i="51"/>
  <c r="R13" i="51"/>
  <c r="S13" i="51"/>
  <c r="T13" i="51"/>
  <c r="U13" i="51"/>
  <c r="V13" i="51"/>
  <c r="W13" i="51"/>
  <c r="X13" i="51"/>
  <c r="Y13" i="51"/>
  <c r="Z13" i="51"/>
  <c r="AA13" i="51"/>
  <c r="AB13" i="51"/>
  <c r="AC13" i="51"/>
  <c r="AD13" i="51"/>
  <c r="AE13" i="51"/>
  <c r="AF13" i="51"/>
  <c r="AG13" i="51"/>
  <c r="AH13" i="51"/>
  <c r="AI13" i="51"/>
  <c r="AJ13" i="51"/>
  <c r="AK13" i="51"/>
  <c r="AL13" i="51"/>
  <c r="AM13" i="51"/>
  <c r="AN13" i="51"/>
  <c r="AO13" i="51"/>
  <c r="AP13" i="51"/>
  <c r="AQ13" i="51"/>
  <c r="AR13" i="51"/>
  <c r="AS13" i="51"/>
  <c r="C14" i="51"/>
  <c r="D14" i="51"/>
  <c r="E14" i="51"/>
  <c r="F14" i="51"/>
  <c r="G14" i="51"/>
  <c r="H14" i="51"/>
  <c r="I14" i="51"/>
  <c r="J14" i="51"/>
  <c r="K14" i="51"/>
  <c r="L14" i="51"/>
  <c r="M14" i="51"/>
  <c r="N14" i="51"/>
  <c r="O14" i="51"/>
  <c r="P14" i="51"/>
  <c r="Q14" i="51"/>
  <c r="R14" i="51"/>
  <c r="S14" i="51"/>
  <c r="T14" i="51"/>
  <c r="U14" i="51"/>
  <c r="V14" i="51"/>
  <c r="W14" i="51"/>
  <c r="X14" i="51"/>
  <c r="Y14" i="51"/>
  <c r="Z14" i="51"/>
  <c r="AA14" i="51"/>
  <c r="AB14" i="51"/>
  <c r="AC14" i="51"/>
  <c r="AD14" i="51"/>
  <c r="AE14" i="51"/>
  <c r="AF14" i="51"/>
  <c r="AG14" i="51"/>
  <c r="AH14" i="51"/>
  <c r="AI14" i="51"/>
  <c r="AJ14" i="51"/>
  <c r="AK14" i="51"/>
  <c r="AL14" i="51"/>
  <c r="AM14" i="51"/>
  <c r="AN14" i="51"/>
  <c r="AO14" i="51"/>
  <c r="AP14" i="51"/>
  <c r="AQ14" i="51"/>
  <c r="AR14" i="51"/>
  <c r="AS14" i="51"/>
  <c r="C15" i="51"/>
  <c r="D15" i="51"/>
  <c r="E15" i="51"/>
  <c r="F15" i="51"/>
  <c r="G15" i="51"/>
  <c r="H15" i="51"/>
  <c r="I15" i="51"/>
  <c r="J15" i="51"/>
  <c r="K15" i="51"/>
  <c r="L15" i="51"/>
  <c r="M15" i="51"/>
  <c r="N15" i="51"/>
  <c r="O15" i="51"/>
  <c r="P15" i="51"/>
  <c r="Q15" i="51"/>
  <c r="R15" i="51"/>
  <c r="S15" i="51"/>
  <c r="T15" i="51"/>
  <c r="U15" i="51"/>
  <c r="V15" i="51"/>
  <c r="W15" i="51"/>
  <c r="X15" i="51"/>
  <c r="Y15" i="51"/>
  <c r="Z15" i="51"/>
  <c r="AA15" i="51"/>
  <c r="AB15" i="51"/>
  <c r="AC15" i="51"/>
  <c r="AD15" i="51"/>
  <c r="AE15" i="51"/>
  <c r="AF15" i="51"/>
  <c r="AG15" i="51"/>
  <c r="AH15" i="51"/>
  <c r="AI15" i="51"/>
  <c r="AJ15" i="51"/>
  <c r="AK15" i="51"/>
  <c r="AL15" i="51"/>
  <c r="AM15" i="51"/>
  <c r="AN15" i="51"/>
  <c r="AO15" i="51"/>
  <c r="AP15" i="51"/>
  <c r="AQ15" i="51"/>
  <c r="AR15" i="51"/>
  <c r="AS15" i="51"/>
  <c r="C16" i="51"/>
  <c r="D16" i="51"/>
  <c r="E16" i="51"/>
  <c r="F16" i="51"/>
  <c r="G16" i="51"/>
  <c r="H16" i="51"/>
  <c r="I16" i="51"/>
  <c r="J16" i="51"/>
  <c r="K16" i="51"/>
  <c r="L16" i="51"/>
  <c r="M16" i="51"/>
  <c r="N16" i="51"/>
  <c r="O16" i="51"/>
  <c r="P16" i="51"/>
  <c r="Q16" i="51"/>
  <c r="R16" i="51"/>
  <c r="S16" i="51"/>
  <c r="T16" i="51"/>
  <c r="U16" i="51"/>
  <c r="V16" i="51"/>
  <c r="W16" i="51"/>
  <c r="X16" i="51"/>
  <c r="Y16" i="51"/>
  <c r="Z16" i="51"/>
  <c r="AA16" i="51"/>
  <c r="AB16" i="51"/>
  <c r="AC16" i="51"/>
  <c r="AD16" i="51"/>
  <c r="AE16" i="51"/>
  <c r="AF16" i="51"/>
  <c r="AG16" i="51"/>
  <c r="AH16" i="51"/>
  <c r="AI16" i="51"/>
  <c r="AJ16" i="51"/>
  <c r="AK16" i="51"/>
  <c r="AL16" i="51"/>
  <c r="AM16" i="51"/>
  <c r="AN16" i="51"/>
  <c r="AO16" i="51"/>
  <c r="AP16" i="51"/>
  <c r="AQ16" i="51"/>
  <c r="AR16" i="51"/>
  <c r="AS16" i="51"/>
  <c r="C17" i="51"/>
  <c r="D17" i="51"/>
  <c r="E17" i="51"/>
  <c r="F17" i="51"/>
  <c r="G17" i="51"/>
  <c r="H17" i="51"/>
  <c r="I17" i="51"/>
  <c r="J17" i="51"/>
  <c r="K17" i="51"/>
  <c r="L17" i="51"/>
  <c r="M17" i="51"/>
  <c r="N17" i="51"/>
  <c r="O17" i="51"/>
  <c r="P17" i="51"/>
  <c r="Q17" i="51"/>
  <c r="R17" i="51"/>
  <c r="S17" i="51"/>
  <c r="T17" i="51"/>
  <c r="U17" i="51"/>
  <c r="V17" i="51"/>
  <c r="W17" i="51"/>
  <c r="X17" i="51"/>
  <c r="Y17" i="51"/>
  <c r="Z17" i="51"/>
  <c r="AA17" i="51"/>
  <c r="AB17" i="51"/>
  <c r="AC17" i="51"/>
  <c r="AD17" i="51"/>
  <c r="AE17" i="51"/>
  <c r="AF17" i="51"/>
  <c r="AG17" i="51"/>
  <c r="AH17" i="51"/>
  <c r="AI17" i="51"/>
  <c r="AJ17" i="51"/>
  <c r="AK17" i="51"/>
  <c r="AL17" i="51"/>
  <c r="AM17" i="51"/>
  <c r="AN17" i="51"/>
  <c r="AO17" i="51"/>
  <c r="AP17" i="51"/>
  <c r="AQ17" i="51"/>
  <c r="AR17" i="51"/>
  <c r="AS17" i="51"/>
  <c r="C18" i="51"/>
  <c r="D18" i="51"/>
  <c r="E18" i="51"/>
  <c r="F18" i="51"/>
  <c r="G18" i="51"/>
  <c r="H18" i="51"/>
  <c r="I18" i="51"/>
  <c r="J18" i="51"/>
  <c r="K18" i="51"/>
  <c r="L18" i="51"/>
  <c r="M18" i="51"/>
  <c r="N18" i="51"/>
  <c r="O18" i="51"/>
  <c r="P18" i="51"/>
  <c r="Q18" i="51"/>
  <c r="R18" i="51"/>
  <c r="S18" i="51"/>
  <c r="T18" i="51"/>
  <c r="U18" i="51"/>
  <c r="V18" i="51"/>
  <c r="W18" i="51"/>
  <c r="X18" i="51"/>
  <c r="Y18" i="51"/>
  <c r="Z18" i="51"/>
  <c r="AA18" i="51"/>
  <c r="AB18" i="51"/>
  <c r="AC18" i="51"/>
  <c r="AD18" i="51"/>
  <c r="AE18" i="51"/>
  <c r="AF18" i="51"/>
  <c r="AG18" i="51"/>
  <c r="AH18" i="51"/>
  <c r="AI18" i="51"/>
  <c r="AJ18" i="51"/>
  <c r="AK18" i="51"/>
  <c r="AL18" i="51"/>
  <c r="AM18" i="51"/>
  <c r="AN18" i="51"/>
  <c r="AO18" i="51"/>
  <c r="AP18" i="51"/>
  <c r="AQ18" i="51"/>
  <c r="AR18" i="51"/>
  <c r="AS18" i="51"/>
  <c r="C19" i="51"/>
  <c r="D19" i="51"/>
  <c r="E19" i="51"/>
  <c r="F19" i="51"/>
  <c r="G19" i="51"/>
  <c r="H19" i="51"/>
  <c r="I19" i="51"/>
  <c r="J19" i="51"/>
  <c r="K19" i="51"/>
  <c r="L19" i="51"/>
  <c r="M19" i="51"/>
  <c r="N19" i="51"/>
  <c r="O19" i="51"/>
  <c r="P19" i="51"/>
  <c r="Q19" i="51"/>
  <c r="R19" i="51"/>
  <c r="S19" i="51"/>
  <c r="T19" i="51"/>
  <c r="U19" i="51"/>
  <c r="V19" i="51"/>
  <c r="W19" i="51"/>
  <c r="X19" i="51"/>
  <c r="Y19" i="51"/>
  <c r="Z19" i="51"/>
  <c r="AA19" i="51"/>
  <c r="AB19" i="51"/>
  <c r="AC19" i="51"/>
  <c r="AD19" i="51"/>
  <c r="AE19" i="51"/>
  <c r="AF19" i="51"/>
  <c r="AG19" i="51"/>
  <c r="AH19" i="51"/>
  <c r="AI19" i="51"/>
  <c r="AJ19" i="51"/>
  <c r="AK19" i="51"/>
  <c r="AL19" i="51"/>
  <c r="AM19" i="51"/>
  <c r="AN19" i="51"/>
  <c r="AO19" i="51"/>
  <c r="AP19" i="51"/>
  <c r="AQ19" i="51"/>
  <c r="AR19" i="51"/>
  <c r="AS19" i="51"/>
  <c r="C20" i="51"/>
  <c r="D20" i="51"/>
  <c r="E20" i="51"/>
  <c r="F20" i="51"/>
  <c r="G20" i="51"/>
  <c r="H20" i="51"/>
  <c r="I20" i="51"/>
  <c r="J20" i="51"/>
  <c r="K20" i="51"/>
  <c r="L20" i="51"/>
  <c r="M20" i="51"/>
  <c r="N20" i="51"/>
  <c r="O20" i="51"/>
  <c r="P20" i="51"/>
  <c r="Q20" i="51"/>
  <c r="R20" i="51"/>
  <c r="S20" i="51"/>
  <c r="T20" i="51"/>
  <c r="U20" i="51"/>
  <c r="V20" i="51"/>
  <c r="W20" i="51"/>
  <c r="X20" i="51"/>
  <c r="Y20" i="51"/>
  <c r="Z20" i="51"/>
  <c r="AA20" i="51"/>
  <c r="AB20" i="51"/>
  <c r="AC20" i="51"/>
  <c r="AD20" i="51"/>
  <c r="AE20" i="51"/>
  <c r="AF20" i="51"/>
  <c r="AG20" i="51"/>
  <c r="AH20" i="51"/>
  <c r="AI20" i="51"/>
  <c r="AJ20" i="51"/>
  <c r="AK20" i="51"/>
  <c r="AL20" i="51"/>
  <c r="AM20" i="51"/>
  <c r="AN20" i="51"/>
  <c r="AO20" i="51"/>
  <c r="AP20" i="51"/>
  <c r="AQ20" i="51"/>
  <c r="AR20" i="51"/>
  <c r="AS20" i="51"/>
  <c r="C21" i="51"/>
  <c r="D21" i="51"/>
  <c r="E21" i="51"/>
  <c r="F21" i="51"/>
  <c r="G21" i="51"/>
  <c r="H21" i="51"/>
  <c r="I21" i="51"/>
  <c r="J21" i="51"/>
  <c r="K21" i="51"/>
  <c r="L21" i="51"/>
  <c r="M21" i="51"/>
  <c r="N21" i="51"/>
  <c r="O21" i="51"/>
  <c r="P21" i="51"/>
  <c r="Q21" i="51"/>
  <c r="R21" i="51"/>
  <c r="S21" i="51"/>
  <c r="T21" i="51"/>
  <c r="U21" i="51"/>
  <c r="V21" i="51"/>
  <c r="W21" i="51"/>
  <c r="X21" i="51"/>
  <c r="Y21" i="51"/>
  <c r="Z21" i="51"/>
  <c r="AA21" i="51"/>
  <c r="AB21" i="51"/>
  <c r="AC21" i="51"/>
  <c r="AD21" i="51"/>
  <c r="AE21" i="51"/>
  <c r="AF21" i="51"/>
  <c r="AG21" i="51"/>
  <c r="AH21" i="51"/>
  <c r="AI21" i="51"/>
  <c r="AJ21" i="51"/>
  <c r="AK21" i="51"/>
  <c r="AL21" i="51"/>
  <c r="AM21" i="51"/>
  <c r="AN21" i="51"/>
  <c r="AO21" i="51"/>
  <c r="AP21" i="51"/>
  <c r="AQ21" i="51"/>
  <c r="AR21" i="51"/>
  <c r="AS21" i="51"/>
  <c r="C22" i="51"/>
  <c r="D22" i="51"/>
  <c r="E22" i="51"/>
  <c r="F22" i="51"/>
  <c r="G22" i="51"/>
  <c r="H22" i="51"/>
  <c r="I22" i="51"/>
  <c r="J22" i="51"/>
  <c r="K22" i="51"/>
  <c r="L22" i="51"/>
  <c r="M22" i="51"/>
  <c r="N22" i="51"/>
  <c r="O22" i="51"/>
  <c r="P22" i="51"/>
  <c r="Q22" i="51"/>
  <c r="R22" i="51"/>
  <c r="S22" i="51"/>
  <c r="T22" i="51"/>
  <c r="U22" i="51"/>
  <c r="V22" i="51"/>
  <c r="W22" i="51"/>
  <c r="X22" i="51"/>
  <c r="Y22" i="51"/>
  <c r="Z22" i="51"/>
  <c r="AA22" i="51"/>
  <c r="AB22" i="51"/>
  <c r="AC22" i="51"/>
  <c r="AD22" i="51"/>
  <c r="AE22" i="51"/>
  <c r="AF22" i="51"/>
  <c r="AG22" i="51"/>
  <c r="AH22" i="51"/>
  <c r="AI22" i="51"/>
  <c r="AJ22" i="51"/>
  <c r="AK22" i="51"/>
  <c r="AL22" i="51"/>
  <c r="AM22" i="51"/>
  <c r="AN22" i="51"/>
  <c r="AO22" i="51"/>
  <c r="AP22" i="51"/>
  <c r="AQ22" i="51"/>
  <c r="AR22" i="51"/>
  <c r="AS22" i="51"/>
  <c r="C23" i="51"/>
  <c r="D23" i="51"/>
  <c r="E23" i="51"/>
  <c r="F23" i="51"/>
  <c r="G23" i="51"/>
  <c r="H23" i="51"/>
  <c r="I23" i="51"/>
  <c r="J23" i="51"/>
  <c r="K23" i="51"/>
  <c r="L23" i="51"/>
  <c r="M23" i="51"/>
  <c r="N23" i="51"/>
  <c r="O23" i="51"/>
  <c r="P23" i="51"/>
  <c r="Q23" i="51"/>
  <c r="R23" i="51"/>
  <c r="S23" i="51"/>
  <c r="T23" i="51"/>
  <c r="U23" i="51"/>
  <c r="V23" i="51"/>
  <c r="W23" i="51"/>
  <c r="X23" i="51"/>
  <c r="Y23" i="51"/>
  <c r="Z23" i="51"/>
  <c r="AA23" i="51"/>
  <c r="AB23" i="51"/>
  <c r="AC23" i="51"/>
  <c r="AD23" i="51"/>
  <c r="AE23" i="51"/>
  <c r="AF23" i="51"/>
  <c r="AG23" i="51"/>
  <c r="AH23" i="51"/>
  <c r="AI23" i="51"/>
  <c r="AJ23" i="51"/>
  <c r="AK23" i="51"/>
  <c r="AL23" i="51"/>
  <c r="AM23" i="51"/>
  <c r="AN23" i="51"/>
  <c r="AO23" i="51"/>
  <c r="AP23" i="51"/>
  <c r="AQ23" i="51"/>
  <c r="AR23" i="51"/>
  <c r="AS23" i="51"/>
  <c r="C24" i="51"/>
  <c r="D24" i="51"/>
  <c r="E24" i="51"/>
  <c r="F24" i="51"/>
  <c r="G24" i="51"/>
  <c r="H24" i="51"/>
  <c r="I24" i="51"/>
  <c r="J24" i="51"/>
  <c r="K24" i="51"/>
  <c r="L24" i="51"/>
  <c r="M24" i="51"/>
  <c r="N24" i="51"/>
  <c r="O24" i="51"/>
  <c r="P24" i="51"/>
  <c r="Q24" i="51"/>
  <c r="R24" i="51"/>
  <c r="S24" i="51"/>
  <c r="T24" i="51"/>
  <c r="U24" i="51"/>
  <c r="V24" i="51"/>
  <c r="W24" i="51"/>
  <c r="X24" i="51"/>
  <c r="Y24" i="51"/>
  <c r="Z24" i="51"/>
  <c r="AA24" i="51"/>
  <c r="AB24" i="51"/>
  <c r="AC24" i="51"/>
  <c r="AD24" i="51"/>
  <c r="AE24" i="51"/>
  <c r="AF24" i="51"/>
  <c r="AG24" i="51"/>
  <c r="AH24" i="51"/>
  <c r="AI24" i="51"/>
  <c r="AJ24" i="51"/>
  <c r="AK24" i="51"/>
  <c r="AL24" i="51"/>
  <c r="AM24" i="51"/>
  <c r="AN24" i="51"/>
  <c r="AO24" i="51"/>
  <c r="AP24" i="51"/>
  <c r="AQ24" i="51"/>
  <c r="AR24" i="51"/>
  <c r="AS24" i="51"/>
  <c r="C25" i="51"/>
  <c r="D25" i="51"/>
  <c r="E25" i="51"/>
  <c r="F25" i="51"/>
  <c r="G25" i="51"/>
  <c r="H25" i="51"/>
  <c r="I25" i="51"/>
  <c r="J25" i="51"/>
  <c r="K25" i="51"/>
  <c r="L25" i="51"/>
  <c r="M25" i="51"/>
  <c r="N25" i="51"/>
  <c r="O25" i="51"/>
  <c r="P25" i="51"/>
  <c r="Q25" i="51"/>
  <c r="R25" i="51"/>
  <c r="S25" i="51"/>
  <c r="T25" i="51"/>
  <c r="U25" i="51"/>
  <c r="V25" i="51"/>
  <c r="W25" i="51"/>
  <c r="X25" i="51"/>
  <c r="Y25" i="51"/>
  <c r="Z25" i="51"/>
  <c r="AA25" i="51"/>
  <c r="AB25" i="51"/>
  <c r="AC25" i="51"/>
  <c r="AD25" i="51"/>
  <c r="AE25" i="51"/>
  <c r="AF25" i="51"/>
  <c r="AG25" i="51"/>
  <c r="AH25" i="51"/>
  <c r="AI25" i="51"/>
  <c r="AJ25" i="51"/>
  <c r="AK25" i="51"/>
  <c r="AL25" i="51"/>
  <c r="AM25" i="51"/>
  <c r="AN25" i="51"/>
  <c r="AO25" i="51"/>
  <c r="AP25" i="51"/>
  <c r="AQ25" i="51"/>
  <c r="AR25" i="51"/>
  <c r="AS25" i="51"/>
  <c r="C26" i="51"/>
  <c r="D26" i="51"/>
  <c r="E26" i="51"/>
  <c r="F26" i="51"/>
  <c r="G26" i="51"/>
  <c r="H26" i="51"/>
  <c r="I26" i="51"/>
  <c r="J26" i="51"/>
  <c r="K26" i="51"/>
  <c r="L26" i="51"/>
  <c r="M26" i="51"/>
  <c r="N26" i="51"/>
  <c r="O26" i="51"/>
  <c r="P26" i="51"/>
  <c r="Q26" i="51"/>
  <c r="R26" i="51"/>
  <c r="S26" i="51"/>
  <c r="T26" i="51"/>
  <c r="U26" i="51"/>
  <c r="V26" i="51"/>
  <c r="W26" i="51"/>
  <c r="X26" i="51"/>
  <c r="Y26" i="51"/>
  <c r="Z26" i="51"/>
  <c r="AA26" i="51"/>
  <c r="AB26" i="51"/>
  <c r="AC26" i="51"/>
  <c r="AD26" i="51"/>
  <c r="AE26" i="51"/>
  <c r="AF26" i="51"/>
  <c r="AG26" i="51"/>
  <c r="AH26" i="51"/>
  <c r="AI26" i="51"/>
  <c r="AJ26" i="51"/>
  <c r="AK26" i="51"/>
  <c r="AL26" i="51"/>
  <c r="AM26" i="51"/>
  <c r="AN26" i="51"/>
  <c r="AO26" i="51"/>
  <c r="AP26" i="51"/>
  <c r="AQ26" i="51"/>
  <c r="AR26" i="51"/>
  <c r="AS26" i="51"/>
  <c r="C27" i="51"/>
  <c r="D27" i="51"/>
  <c r="E27" i="51"/>
  <c r="F27" i="51"/>
  <c r="G27" i="51"/>
  <c r="H27" i="51"/>
  <c r="I27" i="51"/>
  <c r="J27" i="51"/>
  <c r="K27" i="51"/>
  <c r="L27" i="51"/>
  <c r="M27" i="51"/>
  <c r="N27" i="51"/>
  <c r="O27" i="51"/>
  <c r="P27" i="51"/>
  <c r="Q27" i="51"/>
  <c r="R27" i="51"/>
  <c r="S27" i="51"/>
  <c r="T27" i="51"/>
  <c r="U27" i="51"/>
  <c r="V27" i="51"/>
  <c r="W27" i="51"/>
  <c r="X27" i="51"/>
  <c r="Y27" i="51"/>
  <c r="Z27" i="51"/>
  <c r="AA27" i="51"/>
  <c r="AB27" i="51"/>
  <c r="AC27" i="51"/>
  <c r="AD27" i="51"/>
  <c r="AE27" i="51"/>
  <c r="AF27" i="51"/>
  <c r="AG27" i="51"/>
  <c r="AH27" i="51"/>
  <c r="AI27" i="51"/>
  <c r="AJ27" i="51"/>
  <c r="AK27" i="51"/>
  <c r="AL27" i="51"/>
  <c r="AM27" i="51"/>
  <c r="AN27" i="51"/>
  <c r="AO27" i="51"/>
  <c r="AP27" i="51"/>
  <c r="AQ27" i="51"/>
  <c r="AR27" i="51"/>
  <c r="AS27" i="51"/>
  <c r="C28" i="51"/>
  <c r="D28" i="51"/>
  <c r="E28" i="51"/>
  <c r="F28" i="51"/>
  <c r="G28" i="51"/>
  <c r="H28" i="51"/>
  <c r="I28" i="51"/>
  <c r="J28" i="51"/>
  <c r="K28" i="51"/>
  <c r="L28" i="51"/>
  <c r="M28" i="51"/>
  <c r="N28" i="51"/>
  <c r="O28" i="51"/>
  <c r="P28" i="51"/>
  <c r="Q28" i="51"/>
  <c r="R28" i="51"/>
  <c r="S28" i="51"/>
  <c r="T28" i="51"/>
  <c r="U28" i="51"/>
  <c r="V28" i="51"/>
  <c r="W28" i="51"/>
  <c r="X28" i="51"/>
  <c r="Y28" i="51"/>
  <c r="Z28" i="51"/>
  <c r="AA28" i="51"/>
  <c r="AB28" i="51"/>
  <c r="AC28" i="51"/>
  <c r="AD28" i="51"/>
  <c r="AE28" i="51"/>
  <c r="AF28" i="51"/>
  <c r="AG28" i="51"/>
  <c r="AH28" i="51"/>
  <c r="AI28" i="51"/>
  <c r="AJ28" i="51"/>
  <c r="AK28" i="51"/>
  <c r="AL28" i="51"/>
  <c r="AM28" i="51"/>
  <c r="AN28" i="51"/>
  <c r="AO28" i="51"/>
  <c r="AP28" i="51"/>
  <c r="AQ28" i="51"/>
  <c r="AR28" i="51"/>
  <c r="AS28" i="51"/>
  <c r="C29" i="51"/>
  <c r="D29" i="51"/>
  <c r="E29" i="51"/>
  <c r="F29" i="51"/>
  <c r="G29" i="51"/>
  <c r="H29" i="51"/>
  <c r="I29" i="51"/>
  <c r="J29" i="51"/>
  <c r="K29" i="51"/>
  <c r="L29" i="51"/>
  <c r="M29" i="51"/>
  <c r="N29" i="51"/>
  <c r="O29" i="51"/>
  <c r="P29" i="51"/>
  <c r="Q29" i="51"/>
  <c r="R29" i="51"/>
  <c r="S29" i="51"/>
  <c r="T29" i="51"/>
  <c r="U29" i="51"/>
  <c r="V29" i="51"/>
  <c r="W29" i="51"/>
  <c r="X29" i="51"/>
  <c r="Y29" i="51"/>
  <c r="Z29" i="51"/>
  <c r="AA29" i="51"/>
  <c r="AB29" i="51"/>
  <c r="AC29" i="51"/>
  <c r="AD29" i="51"/>
  <c r="AE29" i="51"/>
  <c r="AF29" i="51"/>
  <c r="AG29" i="51"/>
  <c r="AH29" i="51"/>
  <c r="AI29" i="51"/>
  <c r="AJ29" i="51"/>
  <c r="AK29" i="51"/>
  <c r="AL29" i="51"/>
  <c r="AM29" i="51"/>
  <c r="AN29" i="51"/>
  <c r="AO29" i="51"/>
  <c r="AP29" i="51"/>
  <c r="AQ29" i="51"/>
  <c r="AR29" i="51"/>
  <c r="AS29" i="51"/>
  <c r="C30" i="51"/>
  <c r="D30" i="51"/>
  <c r="E30" i="51"/>
  <c r="F30" i="51"/>
  <c r="G30" i="51"/>
  <c r="H30" i="51"/>
  <c r="I30" i="51"/>
  <c r="J30" i="51"/>
  <c r="K30" i="51"/>
  <c r="L30" i="51"/>
  <c r="M30" i="51"/>
  <c r="N30" i="51"/>
  <c r="O30" i="51"/>
  <c r="P30" i="51"/>
  <c r="Q30" i="51"/>
  <c r="R30" i="51"/>
  <c r="S30" i="51"/>
  <c r="T30" i="51"/>
  <c r="U30" i="51"/>
  <c r="V30" i="51"/>
  <c r="W30" i="51"/>
  <c r="X30" i="51"/>
  <c r="Y30" i="51"/>
  <c r="Z30" i="51"/>
  <c r="AA30" i="51"/>
  <c r="AB30" i="51"/>
  <c r="AC30" i="51"/>
  <c r="AD30" i="51"/>
  <c r="AE30" i="51"/>
  <c r="AF30" i="51"/>
  <c r="AG30" i="51"/>
  <c r="AH30" i="51"/>
  <c r="AI30" i="51"/>
  <c r="AJ30" i="51"/>
  <c r="AK30" i="51"/>
  <c r="AL30" i="51"/>
  <c r="AM30" i="51"/>
  <c r="AN30" i="51"/>
  <c r="AO30" i="51"/>
  <c r="AP30" i="51"/>
  <c r="AQ30" i="51"/>
  <c r="AR30" i="51"/>
  <c r="AS30" i="51"/>
  <c r="C31" i="51"/>
  <c r="D31" i="51"/>
  <c r="E31" i="51"/>
  <c r="F31" i="51"/>
  <c r="G31" i="51"/>
  <c r="H31" i="51"/>
  <c r="I31" i="51"/>
  <c r="J31" i="51"/>
  <c r="K31" i="51"/>
  <c r="L31" i="51"/>
  <c r="M31" i="51"/>
  <c r="N31" i="51"/>
  <c r="O31" i="51"/>
  <c r="P31" i="51"/>
  <c r="Q31" i="51"/>
  <c r="R31" i="51"/>
  <c r="S31" i="51"/>
  <c r="T31" i="51"/>
  <c r="U31" i="51"/>
  <c r="V31" i="51"/>
  <c r="W31" i="51"/>
  <c r="X31" i="51"/>
  <c r="Y31" i="51"/>
  <c r="Z31" i="51"/>
  <c r="AA31" i="51"/>
  <c r="AB31" i="51"/>
  <c r="AC31" i="51"/>
  <c r="AD31" i="51"/>
  <c r="AE31" i="51"/>
  <c r="AF31" i="51"/>
  <c r="AG31" i="51"/>
  <c r="AH31" i="51"/>
  <c r="AI31" i="51"/>
  <c r="AJ31" i="51"/>
  <c r="AK31" i="51"/>
  <c r="AL31" i="51"/>
  <c r="AM31" i="51"/>
  <c r="AN31" i="51"/>
  <c r="AO31" i="51"/>
  <c r="AP31" i="51"/>
  <c r="AQ31" i="51"/>
  <c r="AR31" i="51"/>
  <c r="AS31" i="51"/>
  <c r="C32" i="51"/>
  <c r="D32" i="51"/>
  <c r="E32" i="51"/>
  <c r="F32" i="51"/>
  <c r="G32" i="51"/>
  <c r="H32" i="51"/>
  <c r="I32" i="51"/>
  <c r="J32" i="51"/>
  <c r="K32" i="51"/>
  <c r="L32" i="51"/>
  <c r="M32" i="51"/>
  <c r="N32" i="51"/>
  <c r="O32" i="51"/>
  <c r="P32" i="51"/>
  <c r="Q32" i="51"/>
  <c r="R32" i="51"/>
  <c r="S32" i="51"/>
  <c r="T32" i="51"/>
  <c r="U32" i="51"/>
  <c r="V32" i="51"/>
  <c r="W32" i="51"/>
  <c r="X32" i="51"/>
  <c r="Y32" i="51"/>
  <c r="Z32" i="51"/>
  <c r="AA32" i="51"/>
  <c r="AB32" i="51"/>
  <c r="AC32" i="51"/>
  <c r="AD32" i="51"/>
  <c r="AE32" i="51"/>
  <c r="AF32" i="51"/>
  <c r="AG32" i="51"/>
  <c r="AH32" i="51"/>
  <c r="AI32" i="51"/>
  <c r="AJ32" i="51"/>
  <c r="AK32" i="51"/>
  <c r="AL32" i="51"/>
  <c r="AM32" i="51"/>
  <c r="AN32" i="51"/>
  <c r="AO32" i="51"/>
  <c r="AP32" i="51"/>
  <c r="AQ32" i="51"/>
  <c r="AR32" i="51"/>
  <c r="AS32" i="51"/>
  <c r="C33" i="51"/>
  <c r="D33" i="51"/>
  <c r="E33" i="51"/>
  <c r="F33" i="51"/>
  <c r="G33" i="51"/>
  <c r="H33" i="51"/>
  <c r="I33" i="51"/>
  <c r="J33" i="51"/>
  <c r="K33" i="51"/>
  <c r="L33" i="51"/>
  <c r="M33" i="51"/>
  <c r="N33" i="51"/>
  <c r="O33" i="51"/>
  <c r="P33" i="51"/>
  <c r="Q33" i="51"/>
  <c r="R33" i="51"/>
  <c r="S33" i="51"/>
  <c r="T33" i="51"/>
  <c r="U33" i="51"/>
  <c r="V33" i="51"/>
  <c r="W33" i="51"/>
  <c r="X33" i="51"/>
  <c r="Y33" i="51"/>
  <c r="Z33" i="51"/>
  <c r="AA33" i="51"/>
  <c r="AB33" i="51"/>
  <c r="AC33" i="51"/>
  <c r="AD33" i="51"/>
  <c r="AE33" i="51"/>
  <c r="AF33" i="51"/>
  <c r="AG33" i="51"/>
  <c r="AH33" i="51"/>
  <c r="AI33" i="51"/>
  <c r="AJ33" i="51"/>
  <c r="AK33" i="51"/>
  <c r="AL33" i="51"/>
  <c r="AM33" i="51"/>
  <c r="AN33" i="51"/>
  <c r="AO33" i="51"/>
  <c r="AP33" i="51"/>
  <c r="AQ33" i="51"/>
  <c r="AR33" i="51"/>
  <c r="AS33" i="51"/>
  <c r="C34" i="51"/>
  <c r="D34" i="51"/>
  <c r="E34" i="51"/>
  <c r="F34" i="51"/>
  <c r="G34" i="51"/>
  <c r="H34" i="51"/>
  <c r="I34" i="51"/>
  <c r="J34" i="51"/>
  <c r="K34" i="51"/>
  <c r="L34" i="51"/>
  <c r="M34" i="51"/>
  <c r="N34" i="51"/>
  <c r="O34" i="51"/>
  <c r="P34" i="51"/>
  <c r="Q34" i="51"/>
  <c r="R34" i="51"/>
  <c r="S34" i="51"/>
  <c r="T34" i="51"/>
  <c r="U34" i="51"/>
  <c r="V34" i="51"/>
  <c r="W34" i="51"/>
  <c r="X34" i="51"/>
  <c r="Y34" i="51"/>
  <c r="Z34" i="51"/>
  <c r="AA34" i="51"/>
  <c r="AB34" i="51"/>
  <c r="AC34" i="51"/>
  <c r="AD34" i="51"/>
  <c r="AE34" i="51"/>
  <c r="AF34" i="51"/>
  <c r="AG34" i="51"/>
  <c r="AH34" i="51"/>
  <c r="AI34" i="51"/>
  <c r="AJ34" i="51"/>
  <c r="AK34" i="51"/>
  <c r="AL34" i="51"/>
  <c r="AM34" i="51"/>
  <c r="AN34" i="51"/>
  <c r="AO34" i="51"/>
  <c r="AP34" i="51"/>
  <c r="AQ34" i="51"/>
  <c r="AR34" i="51"/>
  <c r="AS34" i="51"/>
  <c r="C35" i="51"/>
  <c r="D35" i="51"/>
  <c r="E35" i="51"/>
  <c r="F35" i="51"/>
  <c r="G35" i="51"/>
  <c r="H35" i="51"/>
  <c r="I35" i="51"/>
  <c r="J35" i="51"/>
  <c r="K35" i="51"/>
  <c r="L35" i="51"/>
  <c r="M35" i="51"/>
  <c r="N35" i="51"/>
  <c r="O35" i="51"/>
  <c r="P35" i="51"/>
  <c r="Q35" i="51"/>
  <c r="R35" i="51"/>
  <c r="S35" i="51"/>
  <c r="T35" i="51"/>
  <c r="U35" i="51"/>
  <c r="V35" i="51"/>
  <c r="W35" i="51"/>
  <c r="X35" i="51"/>
  <c r="Y35" i="51"/>
  <c r="Z35" i="51"/>
  <c r="AA35" i="51"/>
  <c r="AB35" i="51"/>
  <c r="AC35" i="51"/>
  <c r="AD35" i="51"/>
  <c r="AE35" i="51"/>
  <c r="AF35" i="51"/>
  <c r="AG35" i="51"/>
  <c r="AH35" i="51"/>
  <c r="AI35" i="51"/>
  <c r="AJ35" i="51"/>
  <c r="AK35" i="51"/>
  <c r="AL35" i="51"/>
  <c r="AM35" i="51"/>
  <c r="AN35" i="51"/>
  <c r="AO35" i="51"/>
  <c r="AP35" i="51"/>
  <c r="AQ35" i="51"/>
  <c r="AR35" i="51"/>
  <c r="AS35" i="51"/>
  <c r="C36" i="51"/>
  <c r="D36" i="51"/>
  <c r="E36" i="51"/>
  <c r="F36" i="51"/>
  <c r="G36" i="51"/>
  <c r="H36" i="51"/>
  <c r="I36" i="51"/>
  <c r="J36" i="51"/>
  <c r="K36" i="51"/>
  <c r="L36" i="51"/>
  <c r="M36" i="51"/>
  <c r="N36" i="51"/>
  <c r="O36" i="51"/>
  <c r="P36" i="51"/>
  <c r="Q36" i="51"/>
  <c r="R36" i="51"/>
  <c r="S36" i="51"/>
  <c r="T36" i="51"/>
  <c r="U36" i="51"/>
  <c r="V36" i="51"/>
  <c r="W36" i="51"/>
  <c r="X36" i="51"/>
  <c r="Y36" i="51"/>
  <c r="Z36" i="51"/>
  <c r="AA36" i="51"/>
  <c r="AB36" i="51"/>
  <c r="AC36" i="51"/>
  <c r="AD36" i="51"/>
  <c r="AE36" i="51"/>
  <c r="AF36" i="51"/>
  <c r="AG36" i="51"/>
  <c r="AH36" i="51"/>
  <c r="AI36" i="51"/>
  <c r="AJ36" i="51"/>
  <c r="AK36" i="51"/>
  <c r="AL36" i="51"/>
  <c r="AM36" i="51"/>
  <c r="AN36" i="51"/>
  <c r="AO36" i="51"/>
  <c r="AP36" i="51"/>
  <c r="AQ36" i="51"/>
  <c r="AR36" i="51"/>
  <c r="AS36" i="51"/>
  <c r="C37" i="51"/>
  <c r="D37" i="51"/>
  <c r="E37" i="51"/>
  <c r="F37" i="51"/>
  <c r="G37" i="51"/>
  <c r="H37" i="51"/>
  <c r="I37" i="51"/>
  <c r="J37" i="51"/>
  <c r="K37" i="51"/>
  <c r="L37" i="51"/>
  <c r="M37" i="51"/>
  <c r="N37" i="51"/>
  <c r="O37" i="51"/>
  <c r="P37" i="51"/>
  <c r="Q37" i="51"/>
  <c r="R37" i="51"/>
  <c r="S37" i="51"/>
  <c r="T37" i="51"/>
  <c r="U37" i="51"/>
  <c r="V37" i="51"/>
  <c r="W37" i="51"/>
  <c r="X37" i="51"/>
  <c r="Y37" i="51"/>
  <c r="Z37" i="51"/>
  <c r="AA37" i="51"/>
  <c r="AB37" i="51"/>
  <c r="AC37" i="51"/>
  <c r="AD37" i="51"/>
  <c r="AE37" i="51"/>
  <c r="AF37" i="51"/>
  <c r="AG37" i="51"/>
  <c r="AH37" i="51"/>
  <c r="AI37" i="51"/>
  <c r="AJ37" i="51"/>
  <c r="AK37" i="51"/>
  <c r="AL37" i="51"/>
  <c r="AM37" i="51"/>
  <c r="AN37" i="51"/>
  <c r="AO37" i="51"/>
  <c r="AP37" i="51"/>
  <c r="AQ37" i="51"/>
  <c r="AR37" i="51"/>
  <c r="AS37" i="51"/>
  <c r="C38" i="51"/>
  <c r="D38" i="51"/>
  <c r="E38" i="51"/>
  <c r="F38" i="51"/>
  <c r="G38" i="51"/>
  <c r="H38" i="51"/>
  <c r="I38" i="51"/>
  <c r="J38" i="51"/>
  <c r="K38" i="51"/>
  <c r="L38" i="51"/>
  <c r="M38" i="51"/>
  <c r="N38" i="51"/>
  <c r="O38" i="51"/>
  <c r="P38" i="51"/>
  <c r="Q38" i="51"/>
  <c r="R38" i="51"/>
  <c r="S38" i="51"/>
  <c r="T38" i="51"/>
  <c r="U38" i="51"/>
  <c r="V38" i="51"/>
  <c r="W38" i="51"/>
  <c r="X38" i="51"/>
  <c r="Y38" i="51"/>
  <c r="Z38" i="51"/>
  <c r="AA38" i="51"/>
  <c r="AB38" i="51"/>
  <c r="AC38" i="51"/>
  <c r="AD38" i="51"/>
  <c r="AE38" i="51"/>
  <c r="AF38" i="51"/>
  <c r="AG38" i="51"/>
  <c r="AH38" i="51"/>
  <c r="AI38" i="51"/>
  <c r="AJ38" i="51"/>
  <c r="AK38" i="51"/>
  <c r="AL38" i="51"/>
  <c r="AM38" i="51"/>
  <c r="AN38" i="51"/>
  <c r="AO38" i="51"/>
  <c r="AP38" i="51"/>
  <c r="AQ38" i="51"/>
  <c r="AR38" i="51"/>
  <c r="AS38" i="51"/>
  <c r="C39" i="51"/>
  <c r="D39" i="51"/>
  <c r="E39" i="51"/>
  <c r="F39" i="51"/>
  <c r="G39" i="51"/>
  <c r="H39" i="51"/>
  <c r="I39" i="51"/>
  <c r="J39" i="51"/>
  <c r="K39" i="51"/>
  <c r="L39" i="51"/>
  <c r="M39" i="51"/>
  <c r="N39" i="51"/>
  <c r="O39" i="51"/>
  <c r="P39" i="51"/>
  <c r="Q39" i="51"/>
  <c r="R39" i="51"/>
  <c r="S39" i="51"/>
  <c r="T39" i="51"/>
  <c r="U39" i="51"/>
  <c r="V39" i="51"/>
  <c r="W39" i="51"/>
  <c r="X39" i="51"/>
  <c r="Y39" i="51"/>
  <c r="Z39" i="51"/>
  <c r="AA39" i="51"/>
  <c r="AB39" i="51"/>
  <c r="AC39" i="51"/>
  <c r="AD39" i="51"/>
  <c r="AE39" i="51"/>
  <c r="AF39" i="51"/>
  <c r="AG39" i="51"/>
  <c r="AH39" i="51"/>
  <c r="AI39" i="51"/>
  <c r="AJ39" i="51"/>
  <c r="AK39" i="51"/>
  <c r="AL39" i="51"/>
  <c r="AM39" i="51"/>
  <c r="AN39" i="51"/>
  <c r="AO39" i="51"/>
  <c r="AP39" i="51"/>
  <c r="AQ39" i="51"/>
  <c r="AR39" i="51"/>
  <c r="AS39" i="51"/>
  <c r="C40" i="51"/>
  <c r="D40" i="51"/>
  <c r="E40" i="51"/>
  <c r="F40" i="51"/>
  <c r="G40" i="51"/>
  <c r="H40" i="51"/>
  <c r="I40" i="51"/>
  <c r="J40" i="51"/>
  <c r="K40" i="51"/>
  <c r="L40" i="51"/>
  <c r="M40" i="51"/>
  <c r="N40" i="51"/>
  <c r="O40" i="51"/>
  <c r="P40" i="51"/>
  <c r="Q40" i="51"/>
  <c r="R40" i="51"/>
  <c r="S40" i="51"/>
  <c r="T40" i="51"/>
  <c r="U40" i="51"/>
  <c r="V40" i="51"/>
  <c r="W40" i="51"/>
  <c r="X40" i="51"/>
  <c r="Y40" i="51"/>
  <c r="Z40" i="51"/>
  <c r="AA40" i="51"/>
  <c r="AB40" i="51"/>
  <c r="AC40" i="51"/>
  <c r="AD40" i="51"/>
  <c r="AE40" i="51"/>
  <c r="AF40" i="51"/>
  <c r="AG40" i="51"/>
  <c r="AH40" i="51"/>
  <c r="AI40" i="51"/>
  <c r="AJ40" i="51"/>
  <c r="AK40" i="51"/>
  <c r="AL40" i="51"/>
  <c r="AM40" i="51"/>
  <c r="AN40" i="51"/>
  <c r="AO40" i="51"/>
  <c r="AP40" i="51"/>
  <c r="AQ40" i="51"/>
  <c r="AR40" i="51"/>
  <c r="AS40" i="51"/>
  <c r="C41" i="51"/>
  <c r="D41" i="51"/>
  <c r="E41" i="51"/>
  <c r="F41" i="51"/>
  <c r="G41" i="51"/>
  <c r="H41" i="51"/>
  <c r="I41" i="51"/>
  <c r="J41" i="51"/>
  <c r="K41" i="51"/>
  <c r="L41" i="51"/>
  <c r="M41" i="51"/>
  <c r="N41" i="51"/>
  <c r="O41" i="51"/>
  <c r="P41" i="51"/>
  <c r="Q41" i="51"/>
  <c r="R41" i="51"/>
  <c r="S41" i="51"/>
  <c r="T41" i="51"/>
  <c r="U41" i="51"/>
  <c r="V41" i="51"/>
  <c r="W41" i="51"/>
  <c r="X41" i="51"/>
  <c r="Y41" i="51"/>
  <c r="Z41" i="51"/>
  <c r="AA41" i="51"/>
  <c r="AB41" i="51"/>
  <c r="AC41" i="51"/>
  <c r="AD41" i="51"/>
  <c r="AE41" i="51"/>
  <c r="AF41" i="51"/>
  <c r="AG41" i="51"/>
  <c r="AH41" i="51"/>
  <c r="AI41" i="51"/>
  <c r="AJ41" i="51"/>
  <c r="AK41" i="51"/>
  <c r="AL41" i="51"/>
  <c r="AM41" i="51"/>
  <c r="AN41" i="51"/>
  <c r="AO41" i="51"/>
  <c r="AP41" i="51"/>
  <c r="AQ41" i="51"/>
  <c r="AR41" i="51"/>
  <c r="AS41" i="51"/>
  <c r="C42" i="51"/>
  <c r="D42" i="51"/>
  <c r="E42" i="51"/>
  <c r="F42" i="51"/>
  <c r="G42" i="51"/>
  <c r="H42" i="51"/>
  <c r="I42" i="51"/>
  <c r="J42" i="51"/>
  <c r="K42" i="51"/>
  <c r="L42" i="51"/>
  <c r="M42" i="51"/>
  <c r="N42" i="51"/>
  <c r="O42" i="51"/>
  <c r="P42" i="51"/>
  <c r="Q42" i="51"/>
  <c r="R42" i="51"/>
  <c r="S42" i="51"/>
  <c r="T42" i="51"/>
  <c r="U42" i="51"/>
  <c r="V42" i="51"/>
  <c r="W42" i="51"/>
  <c r="X42" i="51"/>
  <c r="Y42" i="51"/>
  <c r="Z42" i="51"/>
  <c r="AA42" i="51"/>
  <c r="AB42" i="51"/>
  <c r="AC42" i="51"/>
  <c r="AD42" i="51"/>
  <c r="AE42" i="51"/>
  <c r="AF42" i="51"/>
  <c r="AG42" i="51"/>
  <c r="AH42" i="51"/>
  <c r="AI42" i="51"/>
  <c r="AJ42" i="51"/>
  <c r="AK42" i="51"/>
  <c r="AL42" i="51"/>
  <c r="AM42" i="51"/>
  <c r="AN42" i="51"/>
  <c r="AO42" i="51"/>
  <c r="AP42" i="51"/>
  <c r="AQ42" i="51"/>
  <c r="AR42" i="51"/>
  <c r="AS42" i="51"/>
  <c r="C43" i="51"/>
  <c r="D43" i="51"/>
  <c r="E43" i="51"/>
  <c r="F43" i="51"/>
  <c r="G43" i="51"/>
  <c r="H43" i="51"/>
  <c r="I43" i="51"/>
  <c r="J43" i="51"/>
  <c r="K43" i="51"/>
  <c r="L43" i="51"/>
  <c r="M43" i="51"/>
  <c r="N43" i="51"/>
  <c r="O43" i="51"/>
  <c r="P43" i="51"/>
  <c r="Q43" i="51"/>
  <c r="R43" i="51"/>
  <c r="S43" i="51"/>
  <c r="T43" i="51"/>
  <c r="U43" i="51"/>
  <c r="V43" i="51"/>
  <c r="W43" i="51"/>
  <c r="X43" i="51"/>
  <c r="Y43" i="51"/>
  <c r="Z43" i="51"/>
  <c r="AA43" i="51"/>
  <c r="AB43" i="51"/>
  <c r="AC43" i="51"/>
  <c r="AD43" i="51"/>
  <c r="AE43" i="51"/>
  <c r="AF43" i="51"/>
  <c r="AG43" i="51"/>
  <c r="AH43" i="51"/>
  <c r="AI43" i="51"/>
  <c r="AJ43" i="51"/>
  <c r="AK43" i="51"/>
  <c r="AL43" i="51"/>
  <c r="AM43" i="51"/>
  <c r="AN43" i="51"/>
  <c r="AO43" i="51"/>
  <c r="AP43" i="51"/>
  <c r="AQ43" i="51"/>
  <c r="AR43" i="51"/>
  <c r="AS43" i="51"/>
  <c r="C44" i="51"/>
  <c r="D44" i="51"/>
  <c r="E44" i="51"/>
  <c r="F44" i="51"/>
  <c r="G44" i="51"/>
  <c r="H44" i="51"/>
  <c r="I44" i="51"/>
  <c r="J44" i="51"/>
  <c r="K44" i="51"/>
  <c r="L44" i="51"/>
  <c r="M44" i="51"/>
  <c r="N44" i="51"/>
  <c r="O44" i="51"/>
  <c r="P44" i="51"/>
  <c r="Q44" i="51"/>
  <c r="R44" i="51"/>
  <c r="S44" i="51"/>
  <c r="T44" i="51"/>
  <c r="U44" i="51"/>
  <c r="V44" i="51"/>
  <c r="W44" i="51"/>
  <c r="X44" i="51"/>
  <c r="Y44" i="51"/>
  <c r="Z44" i="51"/>
  <c r="AA44" i="51"/>
  <c r="AB44" i="51"/>
  <c r="AC44" i="51"/>
  <c r="AD44" i="51"/>
  <c r="AE44" i="51"/>
  <c r="AF44" i="51"/>
  <c r="AG44" i="51"/>
  <c r="AH44" i="51"/>
  <c r="AI44" i="51"/>
  <c r="AJ44" i="51"/>
  <c r="AK44" i="51"/>
  <c r="AL44" i="51"/>
  <c r="AM44" i="51"/>
  <c r="AN44" i="51"/>
  <c r="AO44" i="51"/>
  <c r="AP44" i="51"/>
  <c r="AQ44" i="51"/>
  <c r="AR44" i="51"/>
  <c r="AS44" i="51"/>
  <c r="C45" i="51"/>
  <c r="D45" i="51"/>
  <c r="E45" i="51"/>
  <c r="F45" i="51"/>
  <c r="G45" i="51"/>
  <c r="H45" i="51"/>
  <c r="I45" i="51"/>
  <c r="J45" i="51"/>
  <c r="K45" i="51"/>
  <c r="L45" i="51"/>
  <c r="M45" i="51"/>
  <c r="N45" i="51"/>
  <c r="O45" i="51"/>
  <c r="P45" i="51"/>
  <c r="Q45" i="51"/>
  <c r="R45" i="51"/>
  <c r="S45" i="51"/>
  <c r="T45" i="51"/>
  <c r="U45" i="51"/>
  <c r="V45" i="51"/>
  <c r="W45" i="51"/>
  <c r="X45" i="51"/>
  <c r="Y45" i="51"/>
  <c r="Z45" i="51"/>
  <c r="AA45" i="51"/>
  <c r="AB45" i="51"/>
  <c r="AC45" i="51"/>
  <c r="AD45" i="51"/>
  <c r="AE45" i="51"/>
  <c r="AF45" i="51"/>
  <c r="AG45" i="51"/>
  <c r="AH45" i="51"/>
  <c r="AI45" i="51"/>
  <c r="AJ45" i="51"/>
  <c r="AK45" i="51"/>
  <c r="AL45" i="51"/>
  <c r="AM45" i="51"/>
  <c r="AN45" i="51"/>
  <c r="AO45" i="51"/>
  <c r="AP45" i="51"/>
  <c r="AQ45" i="51"/>
  <c r="AR45" i="51"/>
  <c r="AS45" i="51"/>
  <c r="C46" i="51"/>
  <c r="D46" i="51"/>
  <c r="E46" i="51"/>
  <c r="F46" i="51"/>
  <c r="G46" i="51"/>
  <c r="H46" i="51"/>
  <c r="I46" i="51"/>
  <c r="J46" i="51"/>
  <c r="K46" i="51"/>
  <c r="L46" i="51"/>
  <c r="M46" i="51"/>
  <c r="N46" i="51"/>
  <c r="O46" i="51"/>
  <c r="P46" i="51"/>
  <c r="Q46" i="51"/>
  <c r="R46" i="51"/>
  <c r="S46" i="51"/>
  <c r="T46" i="51"/>
  <c r="U46" i="51"/>
  <c r="V46" i="51"/>
  <c r="W46" i="51"/>
  <c r="X46" i="51"/>
  <c r="Y46" i="51"/>
  <c r="Z46" i="51"/>
  <c r="AA46" i="51"/>
  <c r="AB46" i="51"/>
  <c r="AC46" i="51"/>
  <c r="AD46" i="51"/>
  <c r="AE46" i="51"/>
  <c r="AF46" i="51"/>
  <c r="AG46" i="51"/>
  <c r="AH46" i="51"/>
  <c r="AI46" i="51"/>
  <c r="AJ46" i="51"/>
  <c r="AK46" i="51"/>
  <c r="AL46" i="51"/>
  <c r="AM46" i="51"/>
  <c r="AN46" i="51"/>
  <c r="AO46" i="51"/>
  <c r="AP46" i="51"/>
  <c r="AQ46" i="51"/>
  <c r="AR46" i="51"/>
  <c r="AS46" i="51"/>
  <c r="C47" i="51"/>
  <c r="D47" i="51"/>
  <c r="E47" i="51"/>
  <c r="F47" i="51"/>
  <c r="G47" i="51"/>
  <c r="H47" i="51"/>
  <c r="I47" i="51"/>
  <c r="J47" i="51"/>
  <c r="K47" i="51"/>
  <c r="L47" i="51"/>
  <c r="M47" i="51"/>
  <c r="N47" i="51"/>
  <c r="O47" i="51"/>
  <c r="P47" i="51"/>
  <c r="Q47" i="51"/>
  <c r="R47" i="51"/>
  <c r="S47" i="51"/>
  <c r="T47" i="51"/>
  <c r="U47" i="51"/>
  <c r="V47" i="51"/>
  <c r="W47" i="51"/>
  <c r="X47" i="51"/>
  <c r="Y47" i="51"/>
  <c r="Z47" i="51"/>
  <c r="AA47" i="51"/>
  <c r="AB47" i="51"/>
  <c r="AC47" i="51"/>
  <c r="AD47" i="51"/>
  <c r="AE47" i="51"/>
  <c r="AF47" i="51"/>
  <c r="AG47" i="51"/>
  <c r="AH47" i="51"/>
  <c r="AI47" i="51"/>
  <c r="AJ47" i="51"/>
  <c r="AK47" i="51"/>
  <c r="AL47" i="51"/>
  <c r="AM47" i="51"/>
  <c r="AN47" i="51"/>
  <c r="AO47" i="51"/>
  <c r="AP47" i="51"/>
  <c r="AQ47" i="51"/>
  <c r="AR47" i="51"/>
  <c r="AS47" i="51"/>
  <c r="B5" i="51"/>
  <c r="B6" i="51"/>
  <c r="B7" i="51"/>
  <c r="B8" i="51"/>
  <c r="B9" i="51"/>
  <c r="B10" i="51"/>
  <c r="B11" i="51"/>
  <c r="B12" i="51"/>
  <c r="B13" i="51"/>
  <c r="B14" i="51"/>
  <c r="B15" i="51"/>
  <c r="B16" i="51"/>
  <c r="B17" i="51"/>
  <c r="B18" i="51"/>
  <c r="B19" i="51"/>
  <c r="B20" i="51"/>
  <c r="B21" i="51"/>
  <c r="B22" i="51"/>
  <c r="B23" i="51"/>
  <c r="B24" i="51"/>
  <c r="B25" i="51"/>
  <c r="B26" i="51"/>
  <c r="B27" i="51"/>
  <c r="B28" i="51"/>
  <c r="B29" i="51"/>
  <c r="B30" i="51"/>
  <c r="B31" i="51"/>
  <c r="B32" i="51"/>
  <c r="B33" i="51"/>
  <c r="B34" i="51"/>
  <c r="B35" i="51"/>
  <c r="B36" i="51"/>
  <c r="B37" i="51"/>
  <c r="B38" i="51"/>
  <c r="B39" i="51"/>
  <c r="B40" i="51"/>
  <c r="B41" i="51"/>
  <c r="B42" i="51"/>
  <c r="B43" i="51"/>
  <c r="B44" i="51"/>
  <c r="B45" i="51"/>
  <c r="B46" i="51"/>
  <c r="B47" i="51"/>
  <c r="B4" i="51"/>
  <c r="C4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Q4" i="49"/>
  <c r="R4" i="49"/>
  <c r="S4" i="49"/>
  <c r="T4" i="49"/>
  <c r="U4" i="49"/>
  <c r="V4" i="49"/>
  <c r="W4" i="49"/>
  <c r="X4" i="49"/>
  <c r="Y4" i="49"/>
  <c r="Z4" i="49"/>
  <c r="AA4" i="49"/>
  <c r="AB4" i="49"/>
  <c r="AC4" i="49"/>
  <c r="AD4" i="49"/>
  <c r="AE4" i="49"/>
  <c r="AF4" i="49"/>
  <c r="AG4" i="49"/>
  <c r="AH4" i="49"/>
  <c r="AI4" i="49"/>
  <c r="AJ4" i="49"/>
  <c r="AK4" i="49"/>
  <c r="AL4" i="49"/>
  <c r="AM4" i="49"/>
  <c r="AN4" i="49"/>
  <c r="AO4" i="49"/>
  <c r="AP4" i="49"/>
  <c r="AQ4" i="49"/>
  <c r="AR4" i="49"/>
  <c r="AS4" i="49"/>
  <c r="C5" i="49"/>
  <c r="D5" i="49"/>
  <c r="E5" i="49"/>
  <c r="F5" i="49"/>
  <c r="G5" i="49"/>
  <c r="H5" i="49"/>
  <c r="I5" i="49"/>
  <c r="J5" i="49"/>
  <c r="K5" i="49"/>
  <c r="L5" i="49"/>
  <c r="M5" i="49"/>
  <c r="N5" i="49"/>
  <c r="O5" i="49"/>
  <c r="P5" i="49"/>
  <c r="Q5" i="49"/>
  <c r="R5" i="49"/>
  <c r="S5" i="49"/>
  <c r="T5" i="49"/>
  <c r="U5" i="49"/>
  <c r="V5" i="49"/>
  <c r="W5" i="49"/>
  <c r="X5" i="49"/>
  <c r="Y5" i="49"/>
  <c r="Z5" i="49"/>
  <c r="AA5" i="49"/>
  <c r="AB5" i="49"/>
  <c r="AC5" i="49"/>
  <c r="AD5" i="49"/>
  <c r="AE5" i="49"/>
  <c r="AF5" i="49"/>
  <c r="AG5" i="49"/>
  <c r="AH5" i="49"/>
  <c r="AI5" i="49"/>
  <c r="AJ5" i="49"/>
  <c r="AK5" i="49"/>
  <c r="AL5" i="49"/>
  <c r="AM5" i="49"/>
  <c r="AN5" i="49"/>
  <c r="AO5" i="49"/>
  <c r="AP5" i="49"/>
  <c r="AQ5" i="49"/>
  <c r="AR5" i="49"/>
  <c r="AS5" i="49"/>
  <c r="C6" i="49"/>
  <c r="D6" i="49"/>
  <c r="E6" i="49"/>
  <c r="F6" i="49"/>
  <c r="G6" i="49"/>
  <c r="H6" i="49"/>
  <c r="I6" i="49"/>
  <c r="J6" i="49"/>
  <c r="K6" i="49"/>
  <c r="L6" i="49"/>
  <c r="M6" i="49"/>
  <c r="N6" i="49"/>
  <c r="O6" i="49"/>
  <c r="P6" i="49"/>
  <c r="Q6" i="49"/>
  <c r="R6" i="49"/>
  <c r="S6" i="49"/>
  <c r="T6" i="49"/>
  <c r="U6" i="49"/>
  <c r="V6" i="49"/>
  <c r="W6" i="49"/>
  <c r="X6" i="49"/>
  <c r="Y6" i="49"/>
  <c r="Z6" i="49"/>
  <c r="AA6" i="49"/>
  <c r="AB6" i="49"/>
  <c r="AC6" i="49"/>
  <c r="AD6" i="49"/>
  <c r="AE6" i="49"/>
  <c r="AF6" i="49"/>
  <c r="AG6" i="49"/>
  <c r="AH6" i="49"/>
  <c r="AI6" i="49"/>
  <c r="AJ6" i="49"/>
  <c r="AK6" i="49"/>
  <c r="AL6" i="49"/>
  <c r="AM6" i="49"/>
  <c r="AN6" i="49"/>
  <c r="AO6" i="49"/>
  <c r="AP6" i="49"/>
  <c r="AQ6" i="49"/>
  <c r="AR6" i="49"/>
  <c r="AS6" i="49"/>
  <c r="C7" i="49"/>
  <c r="D7" i="49"/>
  <c r="E7" i="49"/>
  <c r="F7" i="49"/>
  <c r="G7" i="49"/>
  <c r="H7" i="49"/>
  <c r="I7" i="49"/>
  <c r="J7" i="49"/>
  <c r="K7" i="49"/>
  <c r="L7" i="49"/>
  <c r="M7" i="49"/>
  <c r="N7" i="49"/>
  <c r="O7" i="49"/>
  <c r="P7" i="49"/>
  <c r="Q7" i="49"/>
  <c r="R7" i="49"/>
  <c r="S7" i="49"/>
  <c r="T7" i="49"/>
  <c r="U7" i="49"/>
  <c r="V7" i="49"/>
  <c r="W7" i="49"/>
  <c r="X7" i="49"/>
  <c r="Y7" i="49"/>
  <c r="Z7" i="49"/>
  <c r="AA7" i="49"/>
  <c r="AB7" i="49"/>
  <c r="AC7" i="49"/>
  <c r="AD7" i="49"/>
  <c r="AE7" i="49"/>
  <c r="AF7" i="49"/>
  <c r="AG7" i="49"/>
  <c r="AH7" i="49"/>
  <c r="AI7" i="49"/>
  <c r="AJ7" i="49"/>
  <c r="AK7" i="49"/>
  <c r="AL7" i="49"/>
  <c r="AM7" i="49"/>
  <c r="AN7" i="49"/>
  <c r="AO7" i="49"/>
  <c r="AP7" i="49"/>
  <c r="AQ7" i="49"/>
  <c r="AR7" i="49"/>
  <c r="AS7" i="49"/>
  <c r="C8" i="49"/>
  <c r="D8" i="49"/>
  <c r="E8" i="49"/>
  <c r="F8" i="49"/>
  <c r="G8" i="49"/>
  <c r="H8" i="49"/>
  <c r="I8" i="49"/>
  <c r="J8" i="49"/>
  <c r="K8" i="49"/>
  <c r="L8" i="49"/>
  <c r="M8" i="49"/>
  <c r="N8" i="49"/>
  <c r="O8" i="49"/>
  <c r="P8" i="49"/>
  <c r="Q8" i="49"/>
  <c r="R8" i="49"/>
  <c r="S8" i="49"/>
  <c r="T8" i="49"/>
  <c r="U8" i="49"/>
  <c r="V8" i="49"/>
  <c r="W8" i="49"/>
  <c r="X8" i="49"/>
  <c r="Y8" i="49"/>
  <c r="Z8" i="49"/>
  <c r="AA8" i="49"/>
  <c r="AB8" i="49"/>
  <c r="AC8" i="49"/>
  <c r="AD8" i="49"/>
  <c r="AE8" i="49"/>
  <c r="AF8" i="49"/>
  <c r="AG8" i="49"/>
  <c r="AH8" i="49"/>
  <c r="AI8" i="49"/>
  <c r="AJ8" i="49"/>
  <c r="AK8" i="49"/>
  <c r="AL8" i="49"/>
  <c r="AM8" i="49"/>
  <c r="AN8" i="49"/>
  <c r="AO8" i="49"/>
  <c r="AP8" i="49"/>
  <c r="AQ8" i="49"/>
  <c r="AR8" i="49"/>
  <c r="AS8" i="49"/>
  <c r="C9" i="49"/>
  <c r="D9" i="49"/>
  <c r="E9" i="49"/>
  <c r="F9" i="49"/>
  <c r="G9" i="49"/>
  <c r="H9" i="49"/>
  <c r="I9" i="49"/>
  <c r="J9" i="49"/>
  <c r="K9" i="49"/>
  <c r="L9" i="49"/>
  <c r="M9" i="49"/>
  <c r="N9" i="49"/>
  <c r="O9" i="49"/>
  <c r="P9" i="49"/>
  <c r="Q9" i="49"/>
  <c r="R9" i="49"/>
  <c r="S9" i="49"/>
  <c r="T9" i="49"/>
  <c r="U9" i="49"/>
  <c r="V9" i="49"/>
  <c r="W9" i="49"/>
  <c r="X9" i="49"/>
  <c r="Y9" i="49"/>
  <c r="Z9" i="49"/>
  <c r="AA9" i="49"/>
  <c r="AB9" i="49"/>
  <c r="AC9" i="49"/>
  <c r="AD9" i="49"/>
  <c r="AE9" i="49"/>
  <c r="AF9" i="49"/>
  <c r="AG9" i="49"/>
  <c r="AH9" i="49"/>
  <c r="AI9" i="49"/>
  <c r="AJ9" i="49"/>
  <c r="AK9" i="49"/>
  <c r="AL9" i="49"/>
  <c r="AM9" i="49"/>
  <c r="AN9" i="49"/>
  <c r="AO9" i="49"/>
  <c r="AP9" i="49"/>
  <c r="AQ9" i="49"/>
  <c r="AR9" i="49"/>
  <c r="AS9" i="49"/>
  <c r="C10" i="49"/>
  <c r="D10" i="49"/>
  <c r="E10" i="49"/>
  <c r="F10" i="49"/>
  <c r="G10" i="49"/>
  <c r="H10" i="49"/>
  <c r="I10" i="49"/>
  <c r="J10" i="49"/>
  <c r="K10" i="49"/>
  <c r="L10" i="49"/>
  <c r="M10" i="49"/>
  <c r="N10" i="49"/>
  <c r="O10" i="49"/>
  <c r="P10" i="49"/>
  <c r="Q10" i="49"/>
  <c r="R10" i="49"/>
  <c r="S10" i="49"/>
  <c r="T10" i="49"/>
  <c r="U10" i="49"/>
  <c r="V10" i="49"/>
  <c r="W10" i="49"/>
  <c r="X10" i="49"/>
  <c r="Y10" i="49"/>
  <c r="Z10" i="49"/>
  <c r="AA10" i="49"/>
  <c r="AB10" i="49"/>
  <c r="AC10" i="49"/>
  <c r="AD10" i="49"/>
  <c r="AE10" i="49"/>
  <c r="AF10" i="49"/>
  <c r="AG10" i="49"/>
  <c r="AH10" i="49"/>
  <c r="AI10" i="49"/>
  <c r="AJ10" i="49"/>
  <c r="AK10" i="49"/>
  <c r="AL10" i="49"/>
  <c r="AM10" i="49"/>
  <c r="AN10" i="49"/>
  <c r="AO10" i="49"/>
  <c r="AP10" i="49"/>
  <c r="AQ10" i="49"/>
  <c r="AR10" i="49"/>
  <c r="AS10" i="49"/>
  <c r="C11" i="49"/>
  <c r="D11" i="49"/>
  <c r="E11" i="49"/>
  <c r="F11" i="49"/>
  <c r="G11" i="49"/>
  <c r="H11" i="49"/>
  <c r="I11" i="49"/>
  <c r="J11" i="49"/>
  <c r="K11" i="49"/>
  <c r="L11" i="49"/>
  <c r="M11" i="49"/>
  <c r="N11" i="49"/>
  <c r="O11" i="49"/>
  <c r="P11" i="49"/>
  <c r="Q11" i="49"/>
  <c r="R11" i="49"/>
  <c r="S11" i="49"/>
  <c r="T11" i="49"/>
  <c r="U11" i="49"/>
  <c r="V11" i="49"/>
  <c r="W11" i="49"/>
  <c r="X11" i="49"/>
  <c r="Y11" i="49"/>
  <c r="Z11" i="49"/>
  <c r="AA11" i="49"/>
  <c r="AB11" i="49"/>
  <c r="AC11" i="49"/>
  <c r="AD11" i="49"/>
  <c r="AE11" i="49"/>
  <c r="AF11" i="49"/>
  <c r="AG11" i="49"/>
  <c r="AH11" i="49"/>
  <c r="AI11" i="49"/>
  <c r="AJ11" i="49"/>
  <c r="AK11" i="49"/>
  <c r="AL11" i="49"/>
  <c r="AM11" i="49"/>
  <c r="AN11" i="49"/>
  <c r="AO11" i="49"/>
  <c r="AP11" i="49"/>
  <c r="AQ11" i="49"/>
  <c r="AR11" i="49"/>
  <c r="AS11" i="49"/>
  <c r="C12" i="49"/>
  <c r="D12" i="49"/>
  <c r="E12" i="49"/>
  <c r="F12" i="49"/>
  <c r="G12" i="49"/>
  <c r="H12" i="49"/>
  <c r="I12" i="49"/>
  <c r="J12" i="49"/>
  <c r="K12" i="49"/>
  <c r="L12" i="49"/>
  <c r="M12" i="49"/>
  <c r="N12" i="49"/>
  <c r="O12" i="49"/>
  <c r="P12" i="49"/>
  <c r="Q12" i="49"/>
  <c r="R12" i="49"/>
  <c r="S12" i="49"/>
  <c r="T12" i="49"/>
  <c r="U12" i="49"/>
  <c r="V12" i="49"/>
  <c r="W12" i="49"/>
  <c r="X12" i="49"/>
  <c r="Y12" i="49"/>
  <c r="Z12" i="49"/>
  <c r="AA12" i="49"/>
  <c r="AB12" i="49"/>
  <c r="AC12" i="49"/>
  <c r="AD12" i="49"/>
  <c r="AE12" i="49"/>
  <c r="AF12" i="49"/>
  <c r="AG12" i="49"/>
  <c r="AH12" i="49"/>
  <c r="AI12" i="49"/>
  <c r="AJ12" i="49"/>
  <c r="AK12" i="49"/>
  <c r="AL12" i="49"/>
  <c r="AM12" i="49"/>
  <c r="AN12" i="49"/>
  <c r="AO12" i="49"/>
  <c r="AP12" i="49"/>
  <c r="AQ12" i="49"/>
  <c r="AR12" i="49"/>
  <c r="AS12" i="49"/>
  <c r="C13" i="49"/>
  <c r="D13" i="49"/>
  <c r="E13" i="49"/>
  <c r="F13" i="49"/>
  <c r="G13" i="49"/>
  <c r="H13" i="49"/>
  <c r="I13" i="49"/>
  <c r="J13" i="49"/>
  <c r="K13" i="49"/>
  <c r="L13" i="49"/>
  <c r="M13" i="49"/>
  <c r="N13" i="49"/>
  <c r="O13" i="49"/>
  <c r="P13" i="49"/>
  <c r="Q13" i="49"/>
  <c r="R13" i="49"/>
  <c r="S13" i="49"/>
  <c r="T13" i="49"/>
  <c r="U13" i="49"/>
  <c r="V13" i="49"/>
  <c r="W13" i="49"/>
  <c r="X13" i="49"/>
  <c r="Y13" i="49"/>
  <c r="Z13" i="49"/>
  <c r="AA13" i="49"/>
  <c r="AB13" i="49"/>
  <c r="AC13" i="49"/>
  <c r="AD13" i="49"/>
  <c r="AE13" i="49"/>
  <c r="AF13" i="49"/>
  <c r="AG13" i="49"/>
  <c r="AH13" i="49"/>
  <c r="AI13" i="49"/>
  <c r="AJ13" i="49"/>
  <c r="AK13" i="49"/>
  <c r="AL13" i="49"/>
  <c r="AM13" i="49"/>
  <c r="AN13" i="49"/>
  <c r="AO13" i="49"/>
  <c r="AP13" i="49"/>
  <c r="AQ13" i="49"/>
  <c r="AR13" i="49"/>
  <c r="AS13" i="49"/>
  <c r="C14" i="49"/>
  <c r="D14" i="49"/>
  <c r="E14" i="49"/>
  <c r="F14" i="49"/>
  <c r="G14" i="49"/>
  <c r="H14" i="49"/>
  <c r="I14" i="49"/>
  <c r="J14" i="49"/>
  <c r="K14" i="49"/>
  <c r="L14" i="49"/>
  <c r="M14" i="49"/>
  <c r="N14" i="49"/>
  <c r="O14" i="49"/>
  <c r="P14" i="49"/>
  <c r="Q14" i="49"/>
  <c r="R14" i="49"/>
  <c r="S14" i="49"/>
  <c r="T14" i="49"/>
  <c r="U14" i="49"/>
  <c r="V14" i="49"/>
  <c r="W14" i="49"/>
  <c r="X14" i="49"/>
  <c r="Y14" i="49"/>
  <c r="Z14" i="49"/>
  <c r="AA14" i="49"/>
  <c r="AB14" i="49"/>
  <c r="AC14" i="49"/>
  <c r="AD14" i="49"/>
  <c r="AE14" i="49"/>
  <c r="AF14" i="49"/>
  <c r="AG14" i="49"/>
  <c r="AH14" i="49"/>
  <c r="AI14" i="49"/>
  <c r="AJ14" i="49"/>
  <c r="AK14" i="49"/>
  <c r="AL14" i="49"/>
  <c r="AM14" i="49"/>
  <c r="AN14" i="49"/>
  <c r="AO14" i="49"/>
  <c r="AP14" i="49"/>
  <c r="AQ14" i="49"/>
  <c r="AR14" i="49"/>
  <c r="AS14" i="49"/>
  <c r="C15" i="49"/>
  <c r="D15" i="49"/>
  <c r="E15" i="49"/>
  <c r="F15" i="49"/>
  <c r="G15" i="49"/>
  <c r="H15" i="49"/>
  <c r="I15" i="49"/>
  <c r="J15" i="49"/>
  <c r="K15" i="49"/>
  <c r="L15" i="49"/>
  <c r="M15" i="49"/>
  <c r="N15" i="49"/>
  <c r="O15" i="49"/>
  <c r="P15" i="49"/>
  <c r="Q15" i="49"/>
  <c r="R15" i="49"/>
  <c r="S15" i="49"/>
  <c r="T15" i="49"/>
  <c r="U15" i="49"/>
  <c r="V15" i="49"/>
  <c r="W15" i="49"/>
  <c r="X15" i="49"/>
  <c r="Y15" i="49"/>
  <c r="Z15" i="49"/>
  <c r="AA15" i="49"/>
  <c r="AB15" i="49"/>
  <c r="AC15" i="49"/>
  <c r="AD15" i="49"/>
  <c r="AE15" i="49"/>
  <c r="AF15" i="49"/>
  <c r="AG15" i="49"/>
  <c r="AH15" i="49"/>
  <c r="AI15" i="49"/>
  <c r="AJ15" i="49"/>
  <c r="AK15" i="49"/>
  <c r="AL15" i="49"/>
  <c r="AM15" i="49"/>
  <c r="AN15" i="49"/>
  <c r="AO15" i="49"/>
  <c r="AP15" i="49"/>
  <c r="AQ15" i="49"/>
  <c r="AR15" i="49"/>
  <c r="AS15" i="49"/>
  <c r="C16" i="49"/>
  <c r="D16" i="49"/>
  <c r="E16" i="49"/>
  <c r="F16" i="49"/>
  <c r="G16" i="49"/>
  <c r="H16" i="49"/>
  <c r="I16" i="49"/>
  <c r="J16" i="49"/>
  <c r="K16" i="49"/>
  <c r="L16" i="49"/>
  <c r="M16" i="49"/>
  <c r="N16" i="49"/>
  <c r="O16" i="49"/>
  <c r="P16" i="49"/>
  <c r="Q16" i="49"/>
  <c r="R16" i="49"/>
  <c r="S16" i="49"/>
  <c r="T16" i="49"/>
  <c r="U16" i="49"/>
  <c r="V16" i="49"/>
  <c r="W16" i="49"/>
  <c r="X16" i="49"/>
  <c r="Y16" i="49"/>
  <c r="Z16" i="49"/>
  <c r="AA16" i="49"/>
  <c r="AB16" i="49"/>
  <c r="AC16" i="49"/>
  <c r="AD16" i="49"/>
  <c r="AE16" i="49"/>
  <c r="AF16" i="49"/>
  <c r="AG16" i="49"/>
  <c r="AH16" i="49"/>
  <c r="AI16" i="49"/>
  <c r="AJ16" i="49"/>
  <c r="AK16" i="49"/>
  <c r="AL16" i="49"/>
  <c r="AM16" i="49"/>
  <c r="AN16" i="49"/>
  <c r="AO16" i="49"/>
  <c r="AP16" i="49"/>
  <c r="AQ16" i="49"/>
  <c r="AR16" i="49"/>
  <c r="AS16" i="49"/>
  <c r="C17" i="49"/>
  <c r="D17" i="49"/>
  <c r="E17" i="49"/>
  <c r="F17" i="49"/>
  <c r="G17" i="49"/>
  <c r="H17" i="49"/>
  <c r="I17" i="49"/>
  <c r="J17" i="49"/>
  <c r="K17" i="49"/>
  <c r="L17" i="49"/>
  <c r="M17" i="49"/>
  <c r="N17" i="49"/>
  <c r="O17" i="49"/>
  <c r="P17" i="49"/>
  <c r="Q17" i="49"/>
  <c r="R17" i="49"/>
  <c r="S17" i="49"/>
  <c r="T17" i="49"/>
  <c r="U17" i="49"/>
  <c r="V17" i="49"/>
  <c r="W17" i="49"/>
  <c r="X17" i="49"/>
  <c r="Y17" i="49"/>
  <c r="Z17" i="49"/>
  <c r="AA17" i="49"/>
  <c r="AB17" i="49"/>
  <c r="AC17" i="49"/>
  <c r="AD17" i="49"/>
  <c r="AE17" i="49"/>
  <c r="AF17" i="49"/>
  <c r="AG17" i="49"/>
  <c r="AH17" i="49"/>
  <c r="AI17" i="49"/>
  <c r="AJ17" i="49"/>
  <c r="AK17" i="49"/>
  <c r="AL17" i="49"/>
  <c r="AM17" i="49"/>
  <c r="AN17" i="49"/>
  <c r="AO17" i="49"/>
  <c r="AP17" i="49"/>
  <c r="AQ17" i="49"/>
  <c r="AR17" i="49"/>
  <c r="AS17" i="49"/>
  <c r="C18" i="49"/>
  <c r="D18" i="49"/>
  <c r="E18" i="49"/>
  <c r="F18" i="49"/>
  <c r="G18" i="49"/>
  <c r="H18" i="49"/>
  <c r="I18" i="49"/>
  <c r="J18" i="49"/>
  <c r="K18" i="49"/>
  <c r="L18" i="49"/>
  <c r="M18" i="49"/>
  <c r="N18" i="49"/>
  <c r="O18" i="49"/>
  <c r="P18" i="49"/>
  <c r="Q18" i="49"/>
  <c r="R18" i="49"/>
  <c r="S18" i="49"/>
  <c r="T18" i="49"/>
  <c r="U18" i="49"/>
  <c r="V18" i="49"/>
  <c r="W18" i="49"/>
  <c r="X18" i="49"/>
  <c r="Y18" i="49"/>
  <c r="Z18" i="49"/>
  <c r="AA18" i="49"/>
  <c r="AB18" i="49"/>
  <c r="AC18" i="49"/>
  <c r="AD18" i="49"/>
  <c r="AE18" i="49"/>
  <c r="AF18" i="49"/>
  <c r="AG18" i="49"/>
  <c r="AH18" i="49"/>
  <c r="AI18" i="49"/>
  <c r="AJ18" i="49"/>
  <c r="AK18" i="49"/>
  <c r="AL18" i="49"/>
  <c r="AM18" i="49"/>
  <c r="AN18" i="49"/>
  <c r="AO18" i="49"/>
  <c r="AP18" i="49"/>
  <c r="AQ18" i="49"/>
  <c r="AR18" i="49"/>
  <c r="AS18" i="49"/>
  <c r="C19" i="49"/>
  <c r="D19" i="49"/>
  <c r="E19" i="49"/>
  <c r="F19" i="49"/>
  <c r="G19" i="49"/>
  <c r="H19" i="49"/>
  <c r="I19" i="49"/>
  <c r="J19" i="49"/>
  <c r="K19" i="49"/>
  <c r="L19" i="49"/>
  <c r="M19" i="49"/>
  <c r="N19" i="49"/>
  <c r="O19" i="49"/>
  <c r="P19" i="49"/>
  <c r="Q19" i="49"/>
  <c r="R19" i="49"/>
  <c r="S19" i="49"/>
  <c r="T19" i="49"/>
  <c r="U19" i="49"/>
  <c r="V19" i="49"/>
  <c r="W19" i="49"/>
  <c r="X19" i="49"/>
  <c r="Y19" i="49"/>
  <c r="Z19" i="49"/>
  <c r="AA19" i="49"/>
  <c r="AB19" i="49"/>
  <c r="AC19" i="49"/>
  <c r="AD19" i="49"/>
  <c r="AE19" i="49"/>
  <c r="AF19" i="49"/>
  <c r="AG19" i="49"/>
  <c r="AH19" i="49"/>
  <c r="AI19" i="49"/>
  <c r="AJ19" i="49"/>
  <c r="AK19" i="49"/>
  <c r="AL19" i="49"/>
  <c r="AM19" i="49"/>
  <c r="AN19" i="49"/>
  <c r="AO19" i="49"/>
  <c r="AP19" i="49"/>
  <c r="AQ19" i="49"/>
  <c r="AR19" i="49"/>
  <c r="AS19" i="49"/>
  <c r="C20" i="49"/>
  <c r="D20" i="49"/>
  <c r="E20" i="49"/>
  <c r="F20" i="49"/>
  <c r="G20" i="49"/>
  <c r="H20" i="49"/>
  <c r="I20" i="49"/>
  <c r="J20" i="49"/>
  <c r="K20" i="49"/>
  <c r="L20" i="49"/>
  <c r="M20" i="49"/>
  <c r="N20" i="49"/>
  <c r="O20" i="49"/>
  <c r="P20" i="49"/>
  <c r="Q20" i="49"/>
  <c r="R20" i="49"/>
  <c r="S20" i="49"/>
  <c r="T20" i="49"/>
  <c r="U20" i="49"/>
  <c r="V20" i="49"/>
  <c r="W20" i="49"/>
  <c r="X20" i="49"/>
  <c r="Y20" i="49"/>
  <c r="Z20" i="49"/>
  <c r="AA20" i="49"/>
  <c r="AB20" i="49"/>
  <c r="AC20" i="49"/>
  <c r="AD20" i="49"/>
  <c r="AE20" i="49"/>
  <c r="AF20" i="49"/>
  <c r="AG20" i="49"/>
  <c r="AH20" i="49"/>
  <c r="AI20" i="49"/>
  <c r="AJ20" i="49"/>
  <c r="AK20" i="49"/>
  <c r="AL20" i="49"/>
  <c r="AM20" i="49"/>
  <c r="AN20" i="49"/>
  <c r="AO20" i="49"/>
  <c r="AP20" i="49"/>
  <c r="AQ20" i="49"/>
  <c r="AR20" i="49"/>
  <c r="AS20" i="49"/>
  <c r="C21" i="49"/>
  <c r="D21" i="49"/>
  <c r="E21" i="49"/>
  <c r="F21" i="49"/>
  <c r="G21" i="49"/>
  <c r="H21" i="49"/>
  <c r="I21" i="49"/>
  <c r="J21" i="49"/>
  <c r="K21" i="49"/>
  <c r="L21" i="49"/>
  <c r="M21" i="49"/>
  <c r="N21" i="49"/>
  <c r="O21" i="49"/>
  <c r="P21" i="49"/>
  <c r="Q21" i="49"/>
  <c r="R21" i="49"/>
  <c r="S21" i="49"/>
  <c r="T21" i="49"/>
  <c r="U21" i="49"/>
  <c r="V21" i="49"/>
  <c r="W21" i="49"/>
  <c r="X21" i="49"/>
  <c r="Y21" i="49"/>
  <c r="Z21" i="49"/>
  <c r="AA21" i="49"/>
  <c r="AB21" i="49"/>
  <c r="AC21" i="49"/>
  <c r="AD21" i="49"/>
  <c r="AE21" i="49"/>
  <c r="AF21" i="49"/>
  <c r="AG21" i="49"/>
  <c r="AH21" i="49"/>
  <c r="AI21" i="49"/>
  <c r="AJ21" i="49"/>
  <c r="AK21" i="49"/>
  <c r="AL21" i="49"/>
  <c r="AM21" i="49"/>
  <c r="AN21" i="49"/>
  <c r="AO21" i="49"/>
  <c r="AP21" i="49"/>
  <c r="AQ21" i="49"/>
  <c r="AR21" i="49"/>
  <c r="AS21" i="49"/>
  <c r="C22" i="49"/>
  <c r="D22" i="49"/>
  <c r="E22" i="49"/>
  <c r="F22" i="49"/>
  <c r="G22" i="49"/>
  <c r="H22" i="49"/>
  <c r="I22" i="49"/>
  <c r="J22" i="49"/>
  <c r="K22" i="49"/>
  <c r="L22" i="49"/>
  <c r="M22" i="49"/>
  <c r="N22" i="49"/>
  <c r="O22" i="49"/>
  <c r="P22" i="49"/>
  <c r="Q22" i="49"/>
  <c r="R22" i="49"/>
  <c r="S22" i="49"/>
  <c r="T22" i="49"/>
  <c r="U22" i="49"/>
  <c r="V22" i="49"/>
  <c r="W22" i="49"/>
  <c r="X22" i="49"/>
  <c r="Y22" i="49"/>
  <c r="Z22" i="49"/>
  <c r="AA22" i="49"/>
  <c r="AB22" i="49"/>
  <c r="AC22" i="49"/>
  <c r="AD22" i="49"/>
  <c r="AE22" i="49"/>
  <c r="AF22" i="49"/>
  <c r="AG22" i="49"/>
  <c r="AH22" i="49"/>
  <c r="AI22" i="49"/>
  <c r="AJ22" i="49"/>
  <c r="AK22" i="49"/>
  <c r="AL22" i="49"/>
  <c r="AM22" i="49"/>
  <c r="AN22" i="49"/>
  <c r="AO22" i="49"/>
  <c r="AP22" i="49"/>
  <c r="AQ22" i="49"/>
  <c r="AR22" i="49"/>
  <c r="AS22" i="49"/>
  <c r="C23" i="49"/>
  <c r="D23" i="49"/>
  <c r="E23" i="49"/>
  <c r="F23" i="49"/>
  <c r="G23" i="49"/>
  <c r="H23" i="49"/>
  <c r="I23" i="49"/>
  <c r="J23" i="49"/>
  <c r="K23" i="49"/>
  <c r="L23" i="49"/>
  <c r="M23" i="49"/>
  <c r="N23" i="49"/>
  <c r="O23" i="49"/>
  <c r="P23" i="49"/>
  <c r="Q23" i="49"/>
  <c r="R23" i="49"/>
  <c r="S23" i="49"/>
  <c r="T23" i="49"/>
  <c r="U23" i="49"/>
  <c r="V23" i="49"/>
  <c r="W23" i="49"/>
  <c r="X23" i="49"/>
  <c r="Y23" i="49"/>
  <c r="Z23" i="49"/>
  <c r="AA23" i="49"/>
  <c r="AB23" i="49"/>
  <c r="AC23" i="49"/>
  <c r="AD23" i="49"/>
  <c r="AE23" i="49"/>
  <c r="AF23" i="49"/>
  <c r="AG23" i="49"/>
  <c r="AH23" i="49"/>
  <c r="AI23" i="49"/>
  <c r="AJ23" i="49"/>
  <c r="AK23" i="49"/>
  <c r="AL23" i="49"/>
  <c r="AM23" i="49"/>
  <c r="AN23" i="49"/>
  <c r="AO23" i="49"/>
  <c r="AP23" i="49"/>
  <c r="AQ23" i="49"/>
  <c r="AR23" i="49"/>
  <c r="AS23" i="49"/>
  <c r="C24" i="49"/>
  <c r="D24" i="49"/>
  <c r="E24" i="49"/>
  <c r="F24" i="49"/>
  <c r="G24" i="49"/>
  <c r="H24" i="49"/>
  <c r="I24" i="49"/>
  <c r="J24" i="49"/>
  <c r="K24" i="49"/>
  <c r="L24" i="49"/>
  <c r="M24" i="49"/>
  <c r="N24" i="49"/>
  <c r="O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AB24" i="49"/>
  <c r="AC24" i="49"/>
  <c r="AD24" i="49"/>
  <c r="AE24" i="49"/>
  <c r="AF24" i="49"/>
  <c r="AG24" i="49"/>
  <c r="AH24" i="49"/>
  <c r="AI24" i="49"/>
  <c r="AJ24" i="49"/>
  <c r="AK24" i="49"/>
  <c r="AL24" i="49"/>
  <c r="AM24" i="49"/>
  <c r="AN24" i="49"/>
  <c r="AO24" i="49"/>
  <c r="AP24" i="49"/>
  <c r="AQ24" i="49"/>
  <c r="AR24" i="49"/>
  <c r="AS24" i="49"/>
  <c r="C25" i="49"/>
  <c r="D25" i="49"/>
  <c r="E25" i="49"/>
  <c r="F25" i="49"/>
  <c r="G25" i="49"/>
  <c r="H25" i="49"/>
  <c r="I25" i="49"/>
  <c r="J25" i="49"/>
  <c r="K25" i="49"/>
  <c r="L25" i="49"/>
  <c r="M25" i="49"/>
  <c r="N25" i="49"/>
  <c r="O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AB25" i="49"/>
  <c r="AC25" i="49"/>
  <c r="AD25" i="49"/>
  <c r="AE25" i="49"/>
  <c r="AF25" i="49"/>
  <c r="AG25" i="49"/>
  <c r="AH25" i="49"/>
  <c r="AI25" i="49"/>
  <c r="AJ25" i="49"/>
  <c r="AK25" i="49"/>
  <c r="AL25" i="49"/>
  <c r="AM25" i="49"/>
  <c r="AN25" i="49"/>
  <c r="AO25" i="49"/>
  <c r="AP25" i="49"/>
  <c r="AQ25" i="49"/>
  <c r="AR25" i="49"/>
  <c r="AS25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AB26" i="49"/>
  <c r="AC26" i="49"/>
  <c r="AD26" i="49"/>
  <c r="AE26" i="49"/>
  <c r="AF26" i="49"/>
  <c r="AG26" i="49"/>
  <c r="AH26" i="49"/>
  <c r="AI26" i="49"/>
  <c r="AJ26" i="49"/>
  <c r="AK26" i="49"/>
  <c r="AL26" i="49"/>
  <c r="AM26" i="49"/>
  <c r="AN26" i="49"/>
  <c r="AO26" i="49"/>
  <c r="AP26" i="49"/>
  <c r="AQ26" i="49"/>
  <c r="AR26" i="49"/>
  <c r="AS26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Q27" i="49"/>
  <c r="R27" i="49"/>
  <c r="S27" i="49"/>
  <c r="T27" i="49"/>
  <c r="U27" i="49"/>
  <c r="V27" i="49"/>
  <c r="W27" i="49"/>
  <c r="X27" i="49"/>
  <c r="Y27" i="49"/>
  <c r="Z27" i="49"/>
  <c r="AA27" i="49"/>
  <c r="AB27" i="49"/>
  <c r="AC27" i="49"/>
  <c r="AD27" i="49"/>
  <c r="AE27" i="49"/>
  <c r="AF27" i="49"/>
  <c r="AG27" i="49"/>
  <c r="AH27" i="49"/>
  <c r="AI27" i="49"/>
  <c r="AJ27" i="49"/>
  <c r="AK27" i="49"/>
  <c r="AL27" i="49"/>
  <c r="AM27" i="49"/>
  <c r="AN27" i="49"/>
  <c r="AO27" i="49"/>
  <c r="AP27" i="49"/>
  <c r="AQ27" i="49"/>
  <c r="AR27" i="49"/>
  <c r="AS27" i="49"/>
  <c r="C28" i="49"/>
  <c r="D28" i="49"/>
  <c r="E28" i="49"/>
  <c r="F28" i="49"/>
  <c r="G28" i="49"/>
  <c r="H28" i="49"/>
  <c r="I28" i="49"/>
  <c r="J28" i="49"/>
  <c r="K28" i="49"/>
  <c r="L28" i="49"/>
  <c r="M28" i="49"/>
  <c r="N28" i="49"/>
  <c r="O28" i="49"/>
  <c r="P28" i="49"/>
  <c r="Q28" i="49"/>
  <c r="R28" i="49"/>
  <c r="S28" i="49"/>
  <c r="T28" i="49"/>
  <c r="U28" i="49"/>
  <c r="V28" i="49"/>
  <c r="W28" i="49"/>
  <c r="X28" i="49"/>
  <c r="Y28" i="49"/>
  <c r="Z28" i="49"/>
  <c r="AA28" i="49"/>
  <c r="AB28" i="49"/>
  <c r="AC28" i="49"/>
  <c r="AD28" i="49"/>
  <c r="AE28" i="49"/>
  <c r="AF28" i="49"/>
  <c r="AG28" i="49"/>
  <c r="AH28" i="49"/>
  <c r="AI28" i="49"/>
  <c r="AJ28" i="49"/>
  <c r="AK28" i="49"/>
  <c r="AL28" i="49"/>
  <c r="AM28" i="49"/>
  <c r="AN28" i="49"/>
  <c r="AO28" i="49"/>
  <c r="AP28" i="49"/>
  <c r="AQ28" i="49"/>
  <c r="AR28" i="49"/>
  <c r="AS28" i="49"/>
  <c r="C29" i="49"/>
  <c r="D29" i="49"/>
  <c r="E29" i="49"/>
  <c r="F29" i="49"/>
  <c r="G29" i="49"/>
  <c r="H29" i="49"/>
  <c r="I29" i="49"/>
  <c r="J29" i="49"/>
  <c r="K29" i="49"/>
  <c r="L29" i="49"/>
  <c r="M29" i="49"/>
  <c r="N29" i="49"/>
  <c r="O29" i="49"/>
  <c r="P29" i="49"/>
  <c r="Q29" i="49"/>
  <c r="R29" i="49"/>
  <c r="S29" i="49"/>
  <c r="T29" i="49"/>
  <c r="U29" i="49"/>
  <c r="V29" i="49"/>
  <c r="W29" i="49"/>
  <c r="X29" i="49"/>
  <c r="Y29" i="49"/>
  <c r="Z29" i="49"/>
  <c r="AA29" i="49"/>
  <c r="AB29" i="49"/>
  <c r="AC29" i="49"/>
  <c r="AD29" i="49"/>
  <c r="AE29" i="49"/>
  <c r="AF29" i="49"/>
  <c r="AG29" i="49"/>
  <c r="AH29" i="49"/>
  <c r="AI29" i="49"/>
  <c r="AJ29" i="49"/>
  <c r="AK29" i="49"/>
  <c r="AL29" i="49"/>
  <c r="AM29" i="49"/>
  <c r="AN29" i="49"/>
  <c r="AO29" i="49"/>
  <c r="AP29" i="49"/>
  <c r="AQ29" i="49"/>
  <c r="AR29" i="49"/>
  <c r="AS29" i="49"/>
  <c r="C30" i="49"/>
  <c r="D30" i="49"/>
  <c r="E30" i="49"/>
  <c r="F30" i="49"/>
  <c r="G30" i="49"/>
  <c r="H30" i="49"/>
  <c r="I30" i="49"/>
  <c r="J30" i="49"/>
  <c r="K30" i="49"/>
  <c r="L30" i="49"/>
  <c r="M30" i="49"/>
  <c r="N30" i="49"/>
  <c r="O30" i="49"/>
  <c r="P30" i="49"/>
  <c r="Q30" i="49"/>
  <c r="R30" i="49"/>
  <c r="S30" i="49"/>
  <c r="T30" i="49"/>
  <c r="U30" i="49"/>
  <c r="V30" i="49"/>
  <c r="W30" i="49"/>
  <c r="X30" i="49"/>
  <c r="Y30" i="49"/>
  <c r="Z30" i="49"/>
  <c r="AA30" i="49"/>
  <c r="AB30" i="49"/>
  <c r="AC30" i="49"/>
  <c r="AD30" i="49"/>
  <c r="AE30" i="49"/>
  <c r="AF30" i="49"/>
  <c r="AG30" i="49"/>
  <c r="AH30" i="49"/>
  <c r="AI30" i="49"/>
  <c r="AJ30" i="49"/>
  <c r="AK30" i="49"/>
  <c r="AL30" i="49"/>
  <c r="AM30" i="49"/>
  <c r="AN30" i="49"/>
  <c r="AO30" i="49"/>
  <c r="AP30" i="49"/>
  <c r="AQ30" i="49"/>
  <c r="AR30" i="49"/>
  <c r="AS30" i="49"/>
  <c r="C31" i="49"/>
  <c r="D31" i="49"/>
  <c r="E31" i="49"/>
  <c r="F31" i="49"/>
  <c r="G31" i="49"/>
  <c r="H31" i="49"/>
  <c r="I31" i="49"/>
  <c r="J31" i="49"/>
  <c r="K31" i="49"/>
  <c r="L31" i="49"/>
  <c r="M31" i="49"/>
  <c r="N31" i="49"/>
  <c r="O31" i="49"/>
  <c r="P31" i="49"/>
  <c r="Q31" i="49"/>
  <c r="R31" i="49"/>
  <c r="S31" i="49"/>
  <c r="T31" i="49"/>
  <c r="U31" i="49"/>
  <c r="V31" i="49"/>
  <c r="W31" i="49"/>
  <c r="X31" i="49"/>
  <c r="Y31" i="49"/>
  <c r="Z31" i="49"/>
  <c r="AA31" i="49"/>
  <c r="AB31" i="49"/>
  <c r="AC31" i="49"/>
  <c r="AD31" i="49"/>
  <c r="AE31" i="49"/>
  <c r="AF31" i="49"/>
  <c r="AG31" i="49"/>
  <c r="AH31" i="49"/>
  <c r="AI31" i="49"/>
  <c r="AJ31" i="49"/>
  <c r="AK31" i="49"/>
  <c r="AL31" i="49"/>
  <c r="AM31" i="49"/>
  <c r="AN31" i="49"/>
  <c r="AO31" i="49"/>
  <c r="AP31" i="49"/>
  <c r="AQ31" i="49"/>
  <c r="AR31" i="49"/>
  <c r="AS31" i="49"/>
  <c r="C32" i="49"/>
  <c r="D32" i="49"/>
  <c r="E32" i="49"/>
  <c r="F32" i="49"/>
  <c r="G32" i="49"/>
  <c r="H32" i="49"/>
  <c r="I32" i="49"/>
  <c r="J32" i="49"/>
  <c r="K32" i="49"/>
  <c r="L32" i="49"/>
  <c r="M32" i="49"/>
  <c r="N32" i="49"/>
  <c r="O32" i="49"/>
  <c r="P32" i="49"/>
  <c r="Q32" i="49"/>
  <c r="R32" i="49"/>
  <c r="S32" i="49"/>
  <c r="T32" i="49"/>
  <c r="U32" i="49"/>
  <c r="V32" i="49"/>
  <c r="W32" i="49"/>
  <c r="X32" i="49"/>
  <c r="Y32" i="49"/>
  <c r="Z32" i="49"/>
  <c r="AA32" i="49"/>
  <c r="AB32" i="49"/>
  <c r="AC32" i="49"/>
  <c r="AD32" i="49"/>
  <c r="AE32" i="49"/>
  <c r="AF32" i="49"/>
  <c r="AG32" i="49"/>
  <c r="AH32" i="49"/>
  <c r="AI32" i="49"/>
  <c r="AJ32" i="49"/>
  <c r="AK32" i="49"/>
  <c r="AL32" i="49"/>
  <c r="AM32" i="49"/>
  <c r="AN32" i="49"/>
  <c r="AO32" i="49"/>
  <c r="AP32" i="49"/>
  <c r="AQ32" i="49"/>
  <c r="AR32" i="49"/>
  <c r="AS32" i="49"/>
  <c r="C33" i="49"/>
  <c r="D33" i="49"/>
  <c r="E33" i="49"/>
  <c r="F33" i="49"/>
  <c r="G33" i="49"/>
  <c r="H33" i="49"/>
  <c r="I33" i="49"/>
  <c r="J33" i="49"/>
  <c r="K33" i="49"/>
  <c r="L33" i="49"/>
  <c r="M33" i="49"/>
  <c r="N33" i="49"/>
  <c r="O33" i="49"/>
  <c r="P33" i="49"/>
  <c r="Q33" i="49"/>
  <c r="R33" i="49"/>
  <c r="S33" i="49"/>
  <c r="T33" i="49"/>
  <c r="U33" i="49"/>
  <c r="V33" i="49"/>
  <c r="W33" i="49"/>
  <c r="X33" i="49"/>
  <c r="Y33" i="49"/>
  <c r="Z33" i="49"/>
  <c r="AA33" i="49"/>
  <c r="AB33" i="49"/>
  <c r="AC33" i="49"/>
  <c r="AD33" i="49"/>
  <c r="AE33" i="49"/>
  <c r="AF33" i="49"/>
  <c r="AG33" i="49"/>
  <c r="AH33" i="49"/>
  <c r="AI33" i="49"/>
  <c r="AJ33" i="49"/>
  <c r="AK33" i="49"/>
  <c r="AL33" i="49"/>
  <c r="AM33" i="49"/>
  <c r="AN33" i="49"/>
  <c r="AO33" i="49"/>
  <c r="AP33" i="49"/>
  <c r="AQ33" i="49"/>
  <c r="AR33" i="49"/>
  <c r="AS33" i="49"/>
  <c r="C34" i="49"/>
  <c r="D34" i="49"/>
  <c r="E34" i="49"/>
  <c r="F34" i="49"/>
  <c r="G34" i="49"/>
  <c r="H34" i="49"/>
  <c r="I34" i="49"/>
  <c r="J34" i="49"/>
  <c r="K34" i="49"/>
  <c r="L34" i="49"/>
  <c r="M34" i="49"/>
  <c r="N34" i="49"/>
  <c r="O34" i="49"/>
  <c r="P34" i="49"/>
  <c r="Q34" i="49"/>
  <c r="R34" i="49"/>
  <c r="S34" i="49"/>
  <c r="T34" i="49"/>
  <c r="U34" i="49"/>
  <c r="V34" i="49"/>
  <c r="W34" i="49"/>
  <c r="X34" i="49"/>
  <c r="Y34" i="49"/>
  <c r="Z34" i="49"/>
  <c r="AA34" i="49"/>
  <c r="AB34" i="49"/>
  <c r="AC34" i="49"/>
  <c r="AD34" i="49"/>
  <c r="AE34" i="49"/>
  <c r="AF34" i="49"/>
  <c r="AG34" i="49"/>
  <c r="AH34" i="49"/>
  <c r="AI34" i="49"/>
  <c r="AJ34" i="49"/>
  <c r="AK34" i="49"/>
  <c r="AL34" i="49"/>
  <c r="AM34" i="49"/>
  <c r="AN34" i="49"/>
  <c r="AO34" i="49"/>
  <c r="AP34" i="49"/>
  <c r="AQ34" i="49"/>
  <c r="AR34" i="49"/>
  <c r="AS34" i="49"/>
  <c r="C35" i="49"/>
  <c r="D35" i="49"/>
  <c r="E35" i="49"/>
  <c r="F35" i="49"/>
  <c r="G35" i="49"/>
  <c r="H35" i="49"/>
  <c r="I35" i="49"/>
  <c r="J35" i="49"/>
  <c r="K35" i="49"/>
  <c r="L35" i="49"/>
  <c r="M35" i="49"/>
  <c r="N35" i="49"/>
  <c r="O35" i="49"/>
  <c r="P35" i="49"/>
  <c r="Q35" i="49"/>
  <c r="R35" i="49"/>
  <c r="S35" i="49"/>
  <c r="T35" i="49"/>
  <c r="U35" i="49"/>
  <c r="V35" i="49"/>
  <c r="W35" i="49"/>
  <c r="X35" i="49"/>
  <c r="Y35" i="49"/>
  <c r="Z35" i="49"/>
  <c r="AA35" i="49"/>
  <c r="AB35" i="49"/>
  <c r="AC35" i="49"/>
  <c r="AD35" i="49"/>
  <c r="AE35" i="49"/>
  <c r="AF35" i="49"/>
  <c r="AG35" i="49"/>
  <c r="AH35" i="49"/>
  <c r="AI35" i="49"/>
  <c r="AJ35" i="49"/>
  <c r="AK35" i="49"/>
  <c r="AL35" i="49"/>
  <c r="AM35" i="49"/>
  <c r="AN35" i="49"/>
  <c r="AO35" i="49"/>
  <c r="AP35" i="49"/>
  <c r="AQ35" i="49"/>
  <c r="AR35" i="49"/>
  <c r="AS35" i="49"/>
  <c r="C36" i="49"/>
  <c r="D36" i="49"/>
  <c r="E36" i="49"/>
  <c r="F36" i="49"/>
  <c r="G36" i="49"/>
  <c r="H36" i="49"/>
  <c r="I36" i="49"/>
  <c r="J36" i="49"/>
  <c r="K36" i="49"/>
  <c r="L36" i="49"/>
  <c r="M36" i="49"/>
  <c r="N36" i="49"/>
  <c r="O36" i="49"/>
  <c r="P36" i="49"/>
  <c r="Q36" i="49"/>
  <c r="R36" i="49"/>
  <c r="S36" i="49"/>
  <c r="T36" i="49"/>
  <c r="U36" i="49"/>
  <c r="V36" i="49"/>
  <c r="W36" i="49"/>
  <c r="X36" i="49"/>
  <c r="Y36" i="49"/>
  <c r="Z36" i="49"/>
  <c r="AA36" i="49"/>
  <c r="AB36" i="49"/>
  <c r="AC36" i="49"/>
  <c r="AD36" i="49"/>
  <c r="AE36" i="49"/>
  <c r="AF36" i="49"/>
  <c r="AG36" i="49"/>
  <c r="AH36" i="49"/>
  <c r="AI36" i="49"/>
  <c r="AJ36" i="49"/>
  <c r="AK36" i="49"/>
  <c r="AL36" i="49"/>
  <c r="AM36" i="49"/>
  <c r="AN36" i="49"/>
  <c r="AO36" i="49"/>
  <c r="AP36" i="49"/>
  <c r="AQ36" i="49"/>
  <c r="AR36" i="49"/>
  <c r="AS36" i="49"/>
  <c r="C37" i="49"/>
  <c r="D37" i="49"/>
  <c r="E37" i="49"/>
  <c r="F37" i="49"/>
  <c r="G37" i="49"/>
  <c r="H37" i="49"/>
  <c r="I37" i="49"/>
  <c r="J37" i="49"/>
  <c r="K37" i="49"/>
  <c r="L37" i="49"/>
  <c r="M37" i="49"/>
  <c r="N37" i="49"/>
  <c r="O37" i="49"/>
  <c r="P37" i="49"/>
  <c r="Q37" i="49"/>
  <c r="R37" i="49"/>
  <c r="S37" i="49"/>
  <c r="T37" i="49"/>
  <c r="U37" i="49"/>
  <c r="V37" i="49"/>
  <c r="W37" i="49"/>
  <c r="X37" i="49"/>
  <c r="Y37" i="49"/>
  <c r="Z37" i="49"/>
  <c r="AA37" i="49"/>
  <c r="AB37" i="49"/>
  <c r="AC37" i="49"/>
  <c r="AD37" i="49"/>
  <c r="AE37" i="49"/>
  <c r="AF37" i="49"/>
  <c r="AG37" i="49"/>
  <c r="AH37" i="49"/>
  <c r="AI37" i="49"/>
  <c r="AJ37" i="49"/>
  <c r="AK37" i="49"/>
  <c r="AL37" i="49"/>
  <c r="AM37" i="49"/>
  <c r="AN37" i="49"/>
  <c r="AO37" i="49"/>
  <c r="AP37" i="49"/>
  <c r="AQ37" i="49"/>
  <c r="AR37" i="49"/>
  <c r="AS37" i="49"/>
  <c r="C38" i="49"/>
  <c r="D38" i="49"/>
  <c r="E38" i="49"/>
  <c r="F38" i="49"/>
  <c r="G38" i="49"/>
  <c r="H38" i="49"/>
  <c r="I38" i="49"/>
  <c r="J38" i="49"/>
  <c r="K38" i="49"/>
  <c r="L38" i="49"/>
  <c r="M38" i="49"/>
  <c r="N38" i="49"/>
  <c r="O38" i="49"/>
  <c r="P38" i="49"/>
  <c r="Q38" i="49"/>
  <c r="R38" i="49"/>
  <c r="S38" i="49"/>
  <c r="T38" i="49"/>
  <c r="U38" i="49"/>
  <c r="V38" i="49"/>
  <c r="W38" i="49"/>
  <c r="X38" i="49"/>
  <c r="Y38" i="49"/>
  <c r="Z38" i="49"/>
  <c r="AA38" i="49"/>
  <c r="AB38" i="49"/>
  <c r="AC38" i="49"/>
  <c r="AD38" i="49"/>
  <c r="AE38" i="49"/>
  <c r="AF38" i="49"/>
  <c r="AG38" i="49"/>
  <c r="AH38" i="49"/>
  <c r="AI38" i="49"/>
  <c r="AJ38" i="49"/>
  <c r="AK38" i="49"/>
  <c r="AL38" i="49"/>
  <c r="AM38" i="49"/>
  <c r="AN38" i="49"/>
  <c r="AO38" i="49"/>
  <c r="AP38" i="49"/>
  <c r="AQ38" i="49"/>
  <c r="AR38" i="49"/>
  <c r="AS38" i="49"/>
  <c r="C39" i="49"/>
  <c r="D39" i="49"/>
  <c r="E39" i="49"/>
  <c r="F39" i="49"/>
  <c r="G39" i="49"/>
  <c r="H39" i="49"/>
  <c r="I39" i="49"/>
  <c r="J39" i="49"/>
  <c r="K39" i="49"/>
  <c r="L39" i="49"/>
  <c r="M39" i="49"/>
  <c r="N39" i="49"/>
  <c r="O39" i="49"/>
  <c r="P39" i="49"/>
  <c r="Q39" i="49"/>
  <c r="R39" i="49"/>
  <c r="S39" i="49"/>
  <c r="T39" i="49"/>
  <c r="U39" i="49"/>
  <c r="V39" i="49"/>
  <c r="W39" i="49"/>
  <c r="X39" i="49"/>
  <c r="Y39" i="49"/>
  <c r="Z39" i="49"/>
  <c r="AA39" i="49"/>
  <c r="AB39" i="49"/>
  <c r="AC39" i="49"/>
  <c r="AD39" i="49"/>
  <c r="AE39" i="49"/>
  <c r="AF39" i="49"/>
  <c r="AG39" i="49"/>
  <c r="AH39" i="49"/>
  <c r="AI39" i="49"/>
  <c r="AJ39" i="49"/>
  <c r="AK39" i="49"/>
  <c r="AL39" i="49"/>
  <c r="AM39" i="49"/>
  <c r="AN39" i="49"/>
  <c r="AO39" i="49"/>
  <c r="AP39" i="49"/>
  <c r="AQ39" i="49"/>
  <c r="AR39" i="49"/>
  <c r="AS39" i="49"/>
  <c r="C40" i="49"/>
  <c r="D40" i="49"/>
  <c r="E40" i="49"/>
  <c r="F40" i="49"/>
  <c r="G40" i="49"/>
  <c r="H40" i="49"/>
  <c r="I40" i="49"/>
  <c r="J40" i="49"/>
  <c r="K40" i="49"/>
  <c r="L40" i="49"/>
  <c r="M40" i="49"/>
  <c r="N40" i="49"/>
  <c r="O40" i="49"/>
  <c r="P40" i="49"/>
  <c r="Q40" i="49"/>
  <c r="R40" i="49"/>
  <c r="S40" i="49"/>
  <c r="T40" i="49"/>
  <c r="U40" i="49"/>
  <c r="V40" i="49"/>
  <c r="W40" i="49"/>
  <c r="X40" i="49"/>
  <c r="Y40" i="49"/>
  <c r="Z40" i="49"/>
  <c r="AA40" i="49"/>
  <c r="AB40" i="49"/>
  <c r="AC40" i="49"/>
  <c r="AD40" i="49"/>
  <c r="AE40" i="49"/>
  <c r="AF40" i="49"/>
  <c r="AG40" i="49"/>
  <c r="AH40" i="49"/>
  <c r="AI40" i="49"/>
  <c r="AJ40" i="49"/>
  <c r="AK40" i="49"/>
  <c r="AL40" i="49"/>
  <c r="AM40" i="49"/>
  <c r="AN40" i="49"/>
  <c r="AO40" i="49"/>
  <c r="AP40" i="49"/>
  <c r="AQ40" i="49"/>
  <c r="AR40" i="49"/>
  <c r="AS40" i="49"/>
  <c r="C41" i="49"/>
  <c r="D41" i="49"/>
  <c r="E41" i="49"/>
  <c r="F41" i="49"/>
  <c r="G41" i="49"/>
  <c r="H41" i="49"/>
  <c r="I41" i="49"/>
  <c r="J41" i="49"/>
  <c r="K41" i="49"/>
  <c r="L41" i="49"/>
  <c r="M41" i="49"/>
  <c r="N41" i="49"/>
  <c r="O41" i="49"/>
  <c r="P41" i="49"/>
  <c r="Q41" i="49"/>
  <c r="R41" i="49"/>
  <c r="S41" i="49"/>
  <c r="T41" i="49"/>
  <c r="U41" i="49"/>
  <c r="V41" i="49"/>
  <c r="W41" i="49"/>
  <c r="X41" i="49"/>
  <c r="Y41" i="49"/>
  <c r="Z41" i="49"/>
  <c r="AA41" i="49"/>
  <c r="AB41" i="49"/>
  <c r="AC41" i="49"/>
  <c r="AD41" i="49"/>
  <c r="AE41" i="49"/>
  <c r="AF41" i="49"/>
  <c r="AG41" i="49"/>
  <c r="AH41" i="49"/>
  <c r="AI41" i="49"/>
  <c r="AJ41" i="49"/>
  <c r="AK41" i="49"/>
  <c r="AL41" i="49"/>
  <c r="AM41" i="49"/>
  <c r="AN41" i="49"/>
  <c r="AO41" i="49"/>
  <c r="AP41" i="49"/>
  <c r="AQ41" i="49"/>
  <c r="AR41" i="49"/>
  <c r="AS41" i="49"/>
  <c r="C42" i="49"/>
  <c r="D42" i="49"/>
  <c r="E42" i="49"/>
  <c r="F42" i="49"/>
  <c r="G42" i="49"/>
  <c r="H42" i="49"/>
  <c r="I42" i="49"/>
  <c r="J42" i="49"/>
  <c r="K42" i="49"/>
  <c r="L42" i="49"/>
  <c r="M42" i="49"/>
  <c r="N42" i="49"/>
  <c r="O42" i="49"/>
  <c r="P42" i="49"/>
  <c r="Q42" i="49"/>
  <c r="R42" i="49"/>
  <c r="S42" i="49"/>
  <c r="T42" i="49"/>
  <c r="U42" i="49"/>
  <c r="V42" i="49"/>
  <c r="W42" i="49"/>
  <c r="X42" i="49"/>
  <c r="Y42" i="49"/>
  <c r="Z42" i="49"/>
  <c r="AA42" i="49"/>
  <c r="AB42" i="49"/>
  <c r="AC42" i="49"/>
  <c r="AD42" i="49"/>
  <c r="AE42" i="49"/>
  <c r="AF42" i="49"/>
  <c r="AG42" i="49"/>
  <c r="AH42" i="49"/>
  <c r="AI42" i="49"/>
  <c r="AJ42" i="49"/>
  <c r="AK42" i="49"/>
  <c r="AL42" i="49"/>
  <c r="AM42" i="49"/>
  <c r="AN42" i="49"/>
  <c r="AO42" i="49"/>
  <c r="AP42" i="49"/>
  <c r="AQ42" i="49"/>
  <c r="AR42" i="49"/>
  <c r="AS42" i="49"/>
  <c r="C43" i="49"/>
  <c r="D43" i="49"/>
  <c r="E43" i="49"/>
  <c r="F43" i="49"/>
  <c r="G43" i="49"/>
  <c r="H43" i="49"/>
  <c r="I43" i="49"/>
  <c r="J43" i="49"/>
  <c r="K43" i="49"/>
  <c r="L43" i="49"/>
  <c r="M43" i="49"/>
  <c r="N43" i="49"/>
  <c r="O43" i="49"/>
  <c r="P43" i="49"/>
  <c r="Q43" i="49"/>
  <c r="R43" i="49"/>
  <c r="S43" i="49"/>
  <c r="T43" i="49"/>
  <c r="U43" i="49"/>
  <c r="V43" i="49"/>
  <c r="W43" i="49"/>
  <c r="X43" i="49"/>
  <c r="Y43" i="49"/>
  <c r="Z43" i="49"/>
  <c r="AA43" i="49"/>
  <c r="AB43" i="49"/>
  <c r="AC43" i="49"/>
  <c r="AD43" i="49"/>
  <c r="AE43" i="49"/>
  <c r="AF43" i="49"/>
  <c r="AG43" i="49"/>
  <c r="AH43" i="49"/>
  <c r="AI43" i="49"/>
  <c r="AJ43" i="49"/>
  <c r="AK43" i="49"/>
  <c r="AL43" i="49"/>
  <c r="AM43" i="49"/>
  <c r="AN43" i="49"/>
  <c r="AO43" i="49"/>
  <c r="AP43" i="49"/>
  <c r="AQ43" i="49"/>
  <c r="AR43" i="49"/>
  <c r="AS43" i="49"/>
  <c r="C44" i="49"/>
  <c r="D44" i="49"/>
  <c r="E44" i="49"/>
  <c r="F44" i="49"/>
  <c r="G44" i="49"/>
  <c r="H44" i="49"/>
  <c r="I44" i="49"/>
  <c r="J44" i="49"/>
  <c r="K44" i="49"/>
  <c r="L44" i="49"/>
  <c r="M44" i="49"/>
  <c r="N44" i="49"/>
  <c r="O44" i="49"/>
  <c r="P44" i="49"/>
  <c r="Q44" i="49"/>
  <c r="R44" i="49"/>
  <c r="S44" i="49"/>
  <c r="T44" i="49"/>
  <c r="U44" i="49"/>
  <c r="V44" i="49"/>
  <c r="W44" i="49"/>
  <c r="X44" i="49"/>
  <c r="Y44" i="49"/>
  <c r="Z44" i="49"/>
  <c r="AA44" i="49"/>
  <c r="AB44" i="49"/>
  <c r="AC44" i="49"/>
  <c r="AD44" i="49"/>
  <c r="AE44" i="49"/>
  <c r="AF44" i="49"/>
  <c r="AG44" i="49"/>
  <c r="AH44" i="49"/>
  <c r="AI44" i="49"/>
  <c r="AJ44" i="49"/>
  <c r="AK44" i="49"/>
  <c r="AL44" i="49"/>
  <c r="AM44" i="49"/>
  <c r="AN44" i="49"/>
  <c r="AO44" i="49"/>
  <c r="AP44" i="49"/>
  <c r="AQ44" i="49"/>
  <c r="AR44" i="49"/>
  <c r="AS44" i="49"/>
  <c r="C45" i="49"/>
  <c r="D45" i="49"/>
  <c r="E45" i="49"/>
  <c r="F45" i="49"/>
  <c r="G45" i="49"/>
  <c r="H45" i="49"/>
  <c r="I45" i="49"/>
  <c r="J45" i="49"/>
  <c r="K45" i="49"/>
  <c r="L45" i="49"/>
  <c r="M45" i="49"/>
  <c r="N45" i="49"/>
  <c r="O45" i="49"/>
  <c r="P45" i="49"/>
  <c r="Q45" i="49"/>
  <c r="R45" i="49"/>
  <c r="S45" i="49"/>
  <c r="T45" i="49"/>
  <c r="U45" i="49"/>
  <c r="V45" i="49"/>
  <c r="W45" i="49"/>
  <c r="X45" i="49"/>
  <c r="Y45" i="49"/>
  <c r="Z45" i="49"/>
  <c r="AA45" i="49"/>
  <c r="AB45" i="49"/>
  <c r="AC45" i="49"/>
  <c r="AD45" i="49"/>
  <c r="AE45" i="49"/>
  <c r="AF45" i="49"/>
  <c r="AG45" i="49"/>
  <c r="AH45" i="49"/>
  <c r="AI45" i="49"/>
  <c r="AJ45" i="49"/>
  <c r="AK45" i="49"/>
  <c r="AL45" i="49"/>
  <c r="AM45" i="49"/>
  <c r="AN45" i="49"/>
  <c r="AO45" i="49"/>
  <c r="AP45" i="49"/>
  <c r="AQ45" i="49"/>
  <c r="AR45" i="49"/>
  <c r="AS45" i="49"/>
  <c r="C46" i="49"/>
  <c r="D46" i="49"/>
  <c r="E46" i="49"/>
  <c r="F46" i="49"/>
  <c r="G46" i="49"/>
  <c r="H46" i="49"/>
  <c r="I46" i="49"/>
  <c r="J46" i="49"/>
  <c r="K46" i="49"/>
  <c r="L46" i="49"/>
  <c r="M46" i="49"/>
  <c r="N46" i="49"/>
  <c r="O46" i="49"/>
  <c r="P46" i="49"/>
  <c r="Q46" i="49"/>
  <c r="R46" i="49"/>
  <c r="S46" i="49"/>
  <c r="T46" i="49"/>
  <c r="U46" i="49"/>
  <c r="V46" i="49"/>
  <c r="W46" i="49"/>
  <c r="X46" i="49"/>
  <c r="Y46" i="49"/>
  <c r="Z46" i="49"/>
  <c r="AA46" i="49"/>
  <c r="AB46" i="49"/>
  <c r="AC46" i="49"/>
  <c r="AD46" i="49"/>
  <c r="AE46" i="49"/>
  <c r="AF46" i="49"/>
  <c r="AG46" i="49"/>
  <c r="AH46" i="49"/>
  <c r="AI46" i="49"/>
  <c r="AJ46" i="49"/>
  <c r="AK46" i="49"/>
  <c r="AL46" i="49"/>
  <c r="AM46" i="49"/>
  <c r="AN46" i="49"/>
  <c r="AO46" i="49"/>
  <c r="AP46" i="49"/>
  <c r="AQ46" i="49"/>
  <c r="AR46" i="49"/>
  <c r="AS46" i="49"/>
  <c r="C47" i="49"/>
  <c r="D47" i="49"/>
  <c r="E47" i="49"/>
  <c r="F47" i="49"/>
  <c r="G47" i="49"/>
  <c r="H47" i="49"/>
  <c r="I47" i="49"/>
  <c r="J47" i="49"/>
  <c r="K47" i="49"/>
  <c r="L47" i="49"/>
  <c r="M47" i="49"/>
  <c r="N47" i="49"/>
  <c r="O47" i="49"/>
  <c r="P47" i="49"/>
  <c r="Q47" i="49"/>
  <c r="R47" i="49"/>
  <c r="S47" i="49"/>
  <c r="T47" i="49"/>
  <c r="U47" i="49"/>
  <c r="V47" i="49"/>
  <c r="W47" i="49"/>
  <c r="X47" i="49"/>
  <c r="Y47" i="49"/>
  <c r="Z47" i="49"/>
  <c r="AA47" i="49"/>
  <c r="AB47" i="49"/>
  <c r="AC47" i="49"/>
  <c r="AD47" i="49"/>
  <c r="AE47" i="49"/>
  <c r="AF47" i="49"/>
  <c r="AG47" i="49"/>
  <c r="AH47" i="49"/>
  <c r="AI47" i="49"/>
  <c r="AJ47" i="49"/>
  <c r="AK47" i="49"/>
  <c r="AL47" i="49"/>
  <c r="AM47" i="49"/>
  <c r="AN47" i="49"/>
  <c r="AO47" i="49"/>
  <c r="AP47" i="49"/>
  <c r="AQ47" i="49"/>
  <c r="AR47" i="49"/>
  <c r="AS47" i="49"/>
  <c r="B5" i="49"/>
  <c r="B6" i="49"/>
  <c r="B7" i="49"/>
  <c r="B8" i="49"/>
  <c r="B9" i="49"/>
  <c r="B10" i="49"/>
  <c r="B11" i="49"/>
  <c r="B12" i="49"/>
  <c r="B13" i="49"/>
  <c r="B14" i="49"/>
  <c r="B15" i="49"/>
  <c r="B16" i="49"/>
  <c r="B17" i="49"/>
  <c r="B18" i="49"/>
  <c r="B19" i="49"/>
  <c r="B20" i="49"/>
  <c r="B21" i="49"/>
  <c r="B22" i="49"/>
  <c r="B23" i="49"/>
  <c r="B24" i="49"/>
  <c r="B25" i="49"/>
  <c r="B26" i="49"/>
  <c r="B27" i="49"/>
  <c r="B28" i="49"/>
  <c r="B29" i="49"/>
  <c r="B30" i="49"/>
  <c r="B31" i="49"/>
  <c r="B32" i="49"/>
  <c r="B33" i="49"/>
  <c r="B34" i="49"/>
  <c r="B35" i="49"/>
  <c r="B36" i="49"/>
  <c r="B37" i="49"/>
  <c r="B38" i="49"/>
  <c r="B39" i="49"/>
  <c r="B40" i="49"/>
  <c r="B41" i="49"/>
  <c r="B42" i="49"/>
  <c r="B43" i="49"/>
  <c r="B44" i="49"/>
  <c r="B45" i="49"/>
  <c r="B46" i="49"/>
  <c r="B47" i="49"/>
  <c r="B4" i="49"/>
  <c r="J955" i="48"/>
  <c r="K955" i="48"/>
  <c r="L955" i="48"/>
  <c r="M955" i="48"/>
  <c r="N955" i="48"/>
  <c r="O955" i="48"/>
  <c r="P955" i="48"/>
  <c r="Q955" i="48"/>
  <c r="R955" i="48"/>
  <c r="S955" i="48"/>
  <c r="T955" i="48"/>
  <c r="U955" i="48"/>
  <c r="V955" i="48"/>
  <c r="W955" i="48"/>
  <c r="X955" i="48"/>
  <c r="Y955" i="48"/>
  <c r="Z955" i="48"/>
  <c r="AA955" i="48"/>
  <c r="AB955" i="48"/>
  <c r="AC955" i="48"/>
  <c r="AD955" i="48"/>
  <c r="AE955" i="48"/>
  <c r="AF955" i="48"/>
  <c r="AG955" i="48"/>
  <c r="AH955" i="48"/>
  <c r="AI955" i="48"/>
  <c r="AJ955" i="48"/>
  <c r="AK955" i="48"/>
  <c r="AL955" i="48"/>
  <c r="AM955" i="48"/>
  <c r="AN955" i="48"/>
  <c r="AO955" i="48"/>
  <c r="AP955" i="48"/>
  <c r="AQ955" i="48"/>
  <c r="AR955" i="48"/>
  <c r="AS955" i="48"/>
  <c r="AT955" i="48"/>
  <c r="AU955" i="48"/>
  <c r="AV955" i="48"/>
  <c r="AW955" i="48"/>
  <c r="AX955" i="48"/>
  <c r="AY955" i="48"/>
  <c r="AZ955" i="48"/>
  <c r="BA955" i="48"/>
  <c r="J956" i="48"/>
  <c r="K956" i="48"/>
  <c r="L956" i="48"/>
  <c r="M956" i="48"/>
  <c r="N956" i="48"/>
  <c r="O956" i="48"/>
  <c r="P956" i="48"/>
  <c r="Q956" i="48"/>
  <c r="R956" i="48"/>
  <c r="S956" i="48"/>
  <c r="T956" i="48"/>
  <c r="U956" i="48"/>
  <c r="V956" i="48"/>
  <c r="W956" i="48"/>
  <c r="X956" i="48"/>
  <c r="Y956" i="48"/>
  <c r="Z956" i="48"/>
  <c r="AA956" i="48"/>
  <c r="AB956" i="48"/>
  <c r="AC956" i="48"/>
  <c r="AD956" i="48"/>
  <c r="AE956" i="48"/>
  <c r="AF956" i="48"/>
  <c r="AG956" i="48"/>
  <c r="AH956" i="48"/>
  <c r="AI956" i="48"/>
  <c r="AJ956" i="48"/>
  <c r="AK956" i="48"/>
  <c r="AL956" i="48"/>
  <c r="AM956" i="48"/>
  <c r="AN956" i="48"/>
  <c r="AO956" i="48"/>
  <c r="AP956" i="48"/>
  <c r="AQ956" i="48"/>
  <c r="AR956" i="48"/>
  <c r="AS956" i="48"/>
  <c r="AT956" i="48"/>
  <c r="AU956" i="48"/>
  <c r="AV956" i="48"/>
  <c r="AW956" i="48"/>
  <c r="AX956" i="48"/>
  <c r="AY956" i="48"/>
  <c r="AZ956" i="48"/>
  <c r="BA956" i="48"/>
  <c r="J957" i="48"/>
  <c r="K957" i="48"/>
  <c r="L957" i="48"/>
  <c r="M957" i="48"/>
  <c r="N957" i="48"/>
  <c r="O957" i="48"/>
  <c r="P957" i="48"/>
  <c r="Q957" i="48"/>
  <c r="R957" i="48"/>
  <c r="S957" i="48"/>
  <c r="T957" i="48"/>
  <c r="U957" i="48"/>
  <c r="V957" i="48"/>
  <c r="W957" i="48"/>
  <c r="X957" i="48"/>
  <c r="Y957" i="48"/>
  <c r="Z957" i="48"/>
  <c r="AA957" i="48"/>
  <c r="AB957" i="48"/>
  <c r="AC957" i="48"/>
  <c r="AD957" i="48"/>
  <c r="AE957" i="48"/>
  <c r="AF957" i="48"/>
  <c r="AG957" i="48"/>
  <c r="AH957" i="48"/>
  <c r="AI957" i="48"/>
  <c r="AJ957" i="48"/>
  <c r="AK957" i="48"/>
  <c r="AL957" i="48"/>
  <c r="AM957" i="48"/>
  <c r="AN957" i="48"/>
  <c r="AO957" i="48"/>
  <c r="AP957" i="48"/>
  <c r="AQ957" i="48"/>
  <c r="AR957" i="48"/>
  <c r="AS957" i="48"/>
  <c r="AT957" i="48"/>
  <c r="AU957" i="48"/>
  <c r="AV957" i="48"/>
  <c r="AW957" i="48"/>
  <c r="AX957" i="48"/>
  <c r="AY957" i="48"/>
  <c r="AZ957" i="48"/>
  <c r="BA957" i="48"/>
  <c r="J958" i="48"/>
  <c r="K958" i="48"/>
  <c r="L958" i="48"/>
  <c r="M958" i="48"/>
  <c r="N958" i="48"/>
  <c r="O958" i="48"/>
  <c r="P958" i="48"/>
  <c r="Q958" i="48"/>
  <c r="R958" i="48"/>
  <c r="S958" i="48"/>
  <c r="T958" i="48"/>
  <c r="U958" i="48"/>
  <c r="V958" i="48"/>
  <c r="W958" i="48"/>
  <c r="X958" i="48"/>
  <c r="Y958" i="48"/>
  <c r="Z958" i="48"/>
  <c r="AA958" i="48"/>
  <c r="AB958" i="48"/>
  <c r="AC958" i="48"/>
  <c r="AD958" i="48"/>
  <c r="AE958" i="48"/>
  <c r="AF958" i="48"/>
  <c r="AG958" i="48"/>
  <c r="AH958" i="48"/>
  <c r="AI958" i="48"/>
  <c r="AJ958" i="48"/>
  <c r="AK958" i="48"/>
  <c r="AL958" i="48"/>
  <c r="AM958" i="48"/>
  <c r="AN958" i="48"/>
  <c r="AO958" i="48"/>
  <c r="AP958" i="48"/>
  <c r="AQ958" i="48"/>
  <c r="AR958" i="48"/>
  <c r="AS958" i="48"/>
  <c r="AT958" i="48"/>
  <c r="AU958" i="48"/>
  <c r="AV958" i="48"/>
  <c r="AW958" i="48"/>
  <c r="AX958" i="48"/>
  <c r="AY958" i="48"/>
  <c r="AZ958" i="48"/>
  <c r="BA958" i="48"/>
  <c r="J959" i="48"/>
  <c r="K959" i="48"/>
  <c r="L959" i="48"/>
  <c r="M959" i="48"/>
  <c r="N959" i="48"/>
  <c r="O959" i="48"/>
  <c r="P959" i="48"/>
  <c r="Q959" i="48"/>
  <c r="R959" i="48"/>
  <c r="S959" i="48"/>
  <c r="T959" i="48"/>
  <c r="U959" i="48"/>
  <c r="V959" i="48"/>
  <c r="W959" i="48"/>
  <c r="X959" i="48"/>
  <c r="Y959" i="48"/>
  <c r="Z959" i="48"/>
  <c r="AA959" i="48"/>
  <c r="AB959" i="48"/>
  <c r="AC959" i="48"/>
  <c r="AD959" i="48"/>
  <c r="AE959" i="48"/>
  <c r="AF959" i="48"/>
  <c r="AG959" i="48"/>
  <c r="AH959" i="48"/>
  <c r="AI959" i="48"/>
  <c r="AJ959" i="48"/>
  <c r="AK959" i="48"/>
  <c r="AL959" i="48"/>
  <c r="AM959" i="48"/>
  <c r="AN959" i="48"/>
  <c r="AO959" i="48"/>
  <c r="AP959" i="48"/>
  <c r="AQ959" i="48"/>
  <c r="AR959" i="48"/>
  <c r="AS959" i="48"/>
  <c r="AT959" i="48"/>
  <c r="AU959" i="48"/>
  <c r="AV959" i="48"/>
  <c r="AW959" i="48"/>
  <c r="AX959" i="48"/>
  <c r="AY959" i="48"/>
  <c r="AZ959" i="48"/>
  <c r="BA959" i="48"/>
  <c r="J960" i="48"/>
  <c r="K960" i="48"/>
  <c r="L960" i="48"/>
  <c r="M960" i="48"/>
  <c r="N960" i="48"/>
  <c r="O960" i="48"/>
  <c r="P960" i="48"/>
  <c r="Q960" i="48"/>
  <c r="R960" i="48"/>
  <c r="S960" i="48"/>
  <c r="T960" i="48"/>
  <c r="U960" i="48"/>
  <c r="V960" i="48"/>
  <c r="W960" i="48"/>
  <c r="X960" i="48"/>
  <c r="Y960" i="48"/>
  <c r="Z960" i="48"/>
  <c r="AA960" i="48"/>
  <c r="AB960" i="48"/>
  <c r="AC960" i="48"/>
  <c r="AD960" i="48"/>
  <c r="AE960" i="48"/>
  <c r="AF960" i="48"/>
  <c r="AG960" i="48"/>
  <c r="AH960" i="48"/>
  <c r="AI960" i="48"/>
  <c r="AJ960" i="48"/>
  <c r="AK960" i="48"/>
  <c r="AL960" i="48"/>
  <c r="AM960" i="48"/>
  <c r="AN960" i="48"/>
  <c r="AO960" i="48"/>
  <c r="AP960" i="48"/>
  <c r="AQ960" i="48"/>
  <c r="AR960" i="48"/>
  <c r="AS960" i="48"/>
  <c r="AT960" i="48"/>
  <c r="AU960" i="48"/>
  <c r="AV960" i="48"/>
  <c r="AW960" i="48"/>
  <c r="AX960" i="48"/>
  <c r="AY960" i="48"/>
  <c r="AZ960" i="48"/>
  <c r="BA960" i="48"/>
  <c r="J961" i="48"/>
  <c r="K961" i="48"/>
  <c r="L961" i="48"/>
  <c r="M961" i="48"/>
  <c r="N961" i="48"/>
  <c r="O961" i="48"/>
  <c r="P961" i="48"/>
  <c r="Q961" i="48"/>
  <c r="R961" i="48"/>
  <c r="S961" i="48"/>
  <c r="T961" i="48"/>
  <c r="U961" i="48"/>
  <c r="V961" i="48"/>
  <c r="W961" i="48"/>
  <c r="X961" i="48"/>
  <c r="Y961" i="48"/>
  <c r="Z961" i="48"/>
  <c r="AA961" i="48"/>
  <c r="AB961" i="48"/>
  <c r="AC961" i="48"/>
  <c r="AD961" i="48"/>
  <c r="AE961" i="48"/>
  <c r="AF961" i="48"/>
  <c r="AG961" i="48"/>
  <c r="AH961" i="48"/>
  <c r="AI961" i="48"/>
  <c r="AJ961" i="48"/>
  <c r="AK961" i="48"/>
  <c r="AL961" i="48"/>
  <c r="AM961" i="48"/>
  <c r="AN961" i="48"/>
  <c r="AO961" i="48"/>
  <c r="AP961" i="48"/>
  <c r="AQ961" i="48"/>
  <c r="AR961" i="48"/>
  <c r="AS961" i="48"/>
  <c r="AT961" i="48"/>
  <c r="AU961" i="48"/>
  <c r="AV961" i="48"/>
  <c r="AW961" i="48"/>
  <c r="AX961" i="48"/>
  <c r="AY961" i="48"/>
  <c r="AZ961" i="48"/>
  <c r="BA961" i="48"/>
  <c r="J962" i="48"/>
  <c r="K962" i="48"/>
  <c r="L962" i="48"/>
  <c r="M962" i="48"/>
  <c r="N962" i="48"/>
  <c r="O962" i="48"/>
  <c r="P962" i="48"/>
  <c r="Q962" i="48"/>
  <c r="R962" i="48"/>
  <c r="S962" i="48"/>
  <c r="T962" i="48"/>
  <c r="U962" i="48"/>
  <c r="V962" i="48"/>
  <c r="W962" i="48"/>
  <c r="X962" i="48"/>
  <c r="Y962" i="48"/>
  <c r="Z962" i="48"/>
  <c r="AA962" i="48"/>
  <c r="AB962" i="48"/>
  <c r="AC962" i="48"/>
  <c r="AD962" i="48"/>
  <c r="AE962" i="48"/>
  <c r="AF962" i="48"/>
  <c r="AG962" i="48"/>
  <c r="AH962" i="48"/>
  <c r="AI962" i="48"/>
  <c r="AJ962" i="48"/>
  <c r="AK962" i="48"/>
  <c r="AL962" i="48"/>
  <c r="AM962" i="48"/>
  <c r="AN962" i="48"/>
  <c r="AO962" i="48"/>
  <c r="AP962" i="48"/>
  <c r="AQ962" i="48"/>
  <c r="AR962" i="48"/>
  <c r="AS962" i="48"/>
  <c r="AT962" i="48"/>
  <c r="AU962" i="48"/>
  <c r="AV962" i="48"/>
  <c r="AW962" i="48"/>
  <c r="AX962" i="48"/>
  <c r="AY962" i="48"/>
  <c r="AZ962" i="48"/>
  <c r="BA962" i="48"/>
  <c r="J963" i="48"/>
  <c r="K963" i="48"/>
  <c r="L963" i="48"/>
  <c r="M963" i="48"/>
  <c r="N963" i="48"/>
  <c r="O963" i="48"/>
  <c r="P963" i="48"/>
  <c r="Q963" i="48"/>
  <c r="R963" i="48"/>
  <c r="S963" i="48"/>
  <c r="T963" i="48"/>
  <c r="U963" i="48"/>
  <c r="V963" i="48"/>
  <c r="W963" i="48"/>
  <c r="X963" i="48"/>
  <c r="Y963" i="48"/>
  <c r="Z963" i="48"/>
  <c r="AA963" i="48"/>
  <c r="AB963" i="48"/>
  <c r="AC963" i="48"/>
  <c r="AD963" i="48"/>
  <c r="AE963" i="48"/>
  <c r="AF963" i="48"/>
  <c r="AG963" i="48"/>
  <c r="AH963" i="48"/>
  <c r="AI963" i="48"/>
  <c r="AJ963" i="48"/>
  <c r="AK963" i="48"/>
  <c r="AL963" i="48"/>
  <c r="AM963" i="48"/>
  <c r="AN963" i="48"/>
  <c r="AO963" i="48"/>
  <c r="AP963" i="48"/>
  <c r="AQ963" i="48"/>
  <c r="AR963" i="48"/>
  <c r="AS963" i="48"/>
  <c r="AT963" i="48"/>
  <c r="AU963" i="48"/>
  <c r="AV963" i="48"/>
  <c r="AW963" i="48"/>
  <c r="AX963" i="48"/>
  <c r="AY963" i="48"/>
  <c r="AZ963" i="48"/>
  <c r="BA963" i="48"/>
  <c r="J964" i="48"/>
  <c r="K964" i="48"/>
  <c r="L964" i="48"/>
  <c r="M964" i="48"/>
  <c r="N964" i="48"/>
  <c r="O964" i="48"/>
  <c r="P964" i="48"/>
  <c r="Q964" i="48"/>
  <c r="R964" i="48"/>
  <c r="S964" i="48"/>
  <c r="T964" i="48"/>
  <c r="U964" i="48"/>
  <c r="V964" i="48"/>
  <c r="W964" i="48"/>
  <c r="X964" i="48"/>
  <c r="Y964" i="48"/>
  <c r="Z964" i="48"/>
  <c r="AA964" i="48"/>
  <c r="AB964" i="48"/>
  <c r="AC964" i="48"/>
  <c r="AD964" i="48"/>
  <c r="AE964" i="48"/>
  <c r="AF964" i="48"/>
  <c r="AG964" i="48"/>
  <c r="AH964" i="48"/>
  <c r="AI964" i="48"/>
  <c r="AJ964" i="48"/>
  <c r="AK964" i="48"/>
  <c r="AL964" i="48"/>
  <c r="AM964" i="48"/>
  <c r="AN964" i="48"/>
  <c r="AO964" i="48"/>
  <c r="AP964" i="48"/>
  <c r="AQ964" i="48"/>
  <c r="AR964" i="48"/>
  <c r="AS964" i="48"/>
  <c r="AT964" i="48"/>
  <c r="AU964" i="48"/>
  <c r="AV964" i="48"/>
  <c r="AW964" i="48"/>
  <c r="AX964" i="48"/>
  <c r="AY964" i="48"/>
  <c r="AZ964" i="48"/>
  <c r="BA964" i="48"/>
  <c r="J965" i="48"/>
  <c r="K965" i="48"/>
  <c r="L965" i="48"/>
  <c r="M965" i="48"/>
  <c r="N965" i="48"/>
  <c r="O965" i="48"/>
  <c r="P965" i="48"/>
  <c r="Q965" i="48"/>
  <c r="R965" i="48"/>
  <c r="S965" i="48"/>
  <c r="T965" i="48"/>
  <c r="U965" i="48"/>
  <c r="V965" i="48"/>
  <c r="W965" i="48"/>
  <c r="X965" i="48"/>
  <c r="Y965" i="48"/>
  <c r="Z965" i="48"/>
  <c r="AA965" i="48"/>
  <c r="AB965" i="48"/>
  <c r="AC965" i="48"/>
  <c r="AD965" i="48"/>
  <c r="AE965" i="48"/>
  <c r="AF965" i="48"/>
  <c r="AG965" i="48"/>
  <c r="AH965" i="48"/>
  <c r="AI965" i="48"/>
  <c r="AJ965" i="48"/>
  <c r="AK965" i="48"/>
  <c r="AL965" i="48"/>
  <c r="AM965" i="48"/>
  <c r="AN965" i="48"/>
  <c r="AO965" i="48"/>
  <c r="AP965" i="48"/>
  <c r="AQ965" i="48"/>
  <c r="AR965" i="48"/>
  <c r="AS965" i="48"/>
  <c r="AT965" i="48"/>
  <c r="AU965" i="48"/>
  <c r="AV965" i="48"/>
  <c r="AW965" i="48"/>
  <c r="AX965" i="48"/>
  <c r="AY965" i="48"/>
  <c r="AZ965" i="48"/>
  <c r="BA965" i="48"/>
  <c r="J966" i="48"/>
  <c r="K966" i="48"/>
  <c r="L966" i="48"/>
  <c r="M966" i="48"/>
  <c r="N966" i="48"/>
  <c r="O966" i="48"/>
  <c r="P966" i="48"/>
  <c r="Q966" i="48"/>
  <c r="R966" i="48"/>
  <c r="S966" i="48"/>
  <c r="T966" i="48"/>
  <c r="U966" i="48"/>
  <c r="V966" i="48"/>
  <c r="W966" i="48"/>
  <c r="X966" i="48"/>
  <c r="Y966" i="48"/>
  <c r="Z966" i="48"/>
  <c r="AA966" i="48"/>
  <c r="AB966" i="48"/>
  <c r="AC966" i="48"/>
  <c r="AD966" i="48"/>
  <c r="AE966" i="48"/>
  <c r="AF966" i="48"/>
  <c r="AG966" i="48"/>
  <c r="AH966" i="48"/>
  <c r="AI966" i="48"/>
  <c r="AJ966" i="48"/>
  <c r="AK966" i="48"/>
  <c r="AL966" i="48"/>
  <c r="AM966" i="48"/>
  <c r="AN966" i="48"/>
  <c r="AO966" i="48"/>
  <c r="AP966" i="48"/>
  <c r="AQ966" i="48"/>
  <c r="AR966" i="48"/>
  <c r="AS966" i="48"/>
  <c r="AT966" i="48"/>
  <c r="AU966" i="48"/>
  <c r="AV966" i="48"/>
  <c r="AW966" i="48"/>
  <c r="AX966" i="48"/>
  <c r="AY966" i="48"/>
  <c r="AZ966" i="48"/>
  <c r="BA966" i="48"/>
  <c r="J967" i="48"/>
  <c r="K967" i="48"/>
  <c r="L967" i="48"/>
  <c r="M967" i="48"/>
  <c r="N967" i="48"/>
  <c r="O967" i="48"/>
  <c r="P967" i="48"/>
  <c r="Q967" i="48"/>
  <c r="R967" i="48"/>
  <c r="S967" i="48"/>
  <c r="T967" i="48"/>
  <c r="U967" i="48"/>
  <c r="V967" i="48"/>
  <c r="W967" i="48"/>
  <c r="X967" i="48"/>
  <c r="Y967" i="48"/>
  <c r="Z967" i="48"/>
  <c r="AA967" i="48"/>
  <c r="AB967" i="48"/>
  <c r="AC967" i="48"/>
  <c r="AD967" i="48"/>
  <c r="AE967" i="48"/>
  <c r="AF967" i="48"/>
  <c r="AG967" i="48"/>
  <c r="AH967" i="48"/>
  <c r="AI967" i="48"/>
  <c r="AJ967" i="48"/>
  <c r="AK967" i="48"/>
  <c r="AL967" i="48"/>
  <c r="AM967" i="48"/>
  <c r="AN967" i="48"/>
  <c r="AO967" i="48"/>
  <c r="AP967" i="48"/>
  <c r="AQ967" i="48"/>
  <c r="AR967" i="48"/>
  <c r="AS967" i="48"/>
  <c r="AT967" i="48"/>
  <c r="AU967" i="48"/>
  <c r="AV967" i="48"/>
  <c r="AW967" i="48"/>
  <c r="AX967" i="48"/>
  <c r="AY967" i="48"/>
  <c r="AZ967" i="48"/>
  <c r="BA967" i="48"/>
  <c r="J968" i="48"/>
  <c r="K968" i="48"/>
  <c r="L968" i="48"/>
  <c r="M968" i="48"/>
  <c r="N968" i="48"/>
  <c r="O968" i="48"/>
  <c r="P968" i="48"/>
  <c r="Q968" i="48"/>
  <c r="R968" i="48"/>
  <c r="S968" i="48"/>
  <c r="T968" i="48"/>
  <c r="U968" i="48"/>
  <c r="V968" i="48"/>
  <c r="W968" i="48"/>
  <c r="X968" i="48"/>
  <c r="Y968" i="48"/>
  <c r="Z968" i="48"/>
  <c r="AA968" i="48"/>
  <c r="AB968" i="48"/>
  <c r="AC968" i="48"/>
  <c r="AD968" i="48"/>
  <c r="AE968" i="48"/>
  <c r="AF968" i="48"/>
  <c r="AG968" i="48"/>
  <c r="AH968" i="48"/>
  <c r="AI968" i="48"/>
  <c r="AJ968" i="48"/>
  <c r="AK968" i="48"/>
  <c r="AL968" i="48"/>
  <c r="AM968" i="48"/>
  <c r="AN968" i="48"/>
  <c r="AO968" i="48"/>
  <c r="AP968" i="48"/>
  <c r="AQ968" i="48"/>
  <c r="AR968" i="48"/>
  <c r="AS968" i="48"/>
  <c r="AT968" i="48"/>
  <c r="AU968" i="48"/>
  <c r="AV968" i="48"/>
  <c r="AW968" i="48"/>
  <c r="AX968" i="48"/>
  <c r="AY968" i="48"/>
  <c r="AZ968" i="48"/>
  <c r="BA968" i="48"/>
  <c r="J969" i="48"/>
  <c r="K969" i="48"/>
  <c r="L969" i="48"/>
  <c r="M969" i="48"/>
  <c r="N969" i="48"/>
  <c r="O969" i="48"/>
  <c r="P969" i="48"/>
  <c r="Q969" i="48"/>
  <c r="R969" i="48"/>
  <c r="S969" i="48"/>
  <c r="T969" i="48"/>
  <c r="U969" i="48"/>
  <c r="V969" i="48"/>
  <c r="W969" i="48"/>
  <c r="X969" i="48"/>
  <c r="Y969" i="48"/>
  <c r="Z969" i="48"/>
  <c r="AA969" i="48"/>
  <c r="AB969" i="48"/>
  <c r="AC969" i="48"/>
  <c r="AD969" i="48"/>
  <c r="AE969" i="48"/>
  <c r="AF969" i="48"/>
  <c r="AG969" i="48"/>
  <c r="AH969" i="48"/>
  <c r="AI969" i="48"/>
  <c r="AJ969" i="48"/>
  <c r="AK969" i="48"/>
  <c r="AL969" i="48"/>
  <c r="AM969" i="48"/>
  <c r="AN969" i="48"/>
  <c r="AO969" i="48"/>
  <c r="AP969" i="48"/>
  <c r="AQ969" i="48"/>
  <c r="AR969" i="48"/>
  <c r="AS969" i="48"/>
  <c r="AT969" i="48"/>
  <c r="AU969" i="48"/>
  <c r="AV969" i="48"/>
  <c r="AW969" i="48"/>
  <c r="AX969" i="48"/>
  <c r="AY969" i="48"/>
  <c r="AZ969" i="48"/>
  <c r="BA969" i="48"/>
  <c r="J970" i="48"/>
  <c r="K970" i="48"/>
  <c r="L970" i="48"/>
  <c r="M970" i="48"/>
  <c r="N970" i="48"/>
  <c r="O970" i="48"/>
  <c r="P970" i="48"/>
  <c r="Q970" i="48"/>
  <c r="R970" i="48"/>
  <c r="S970" i="48"/>
  <c r="T970" i="48"/>
  <c r="U970" i="48"/>
  <c r="V970" i="48"/>
  <c r="W970" i="48"/>
  <c r="X970" i="48"/>
  <c r="Y970" i="48"/>
  <c r="Z970" i="48"/>
  <c r="AA970" i="48"/>
  <c r="AB970" i="48"/>
  <c r="AC970" i="48"/>
  <c r="AD970" i="48"/>
  <c r="AE970" i="48"/>
  <c r="AF970" i="48"/>
  <c r="AG970" i="48"/>
  <c r="AH970" i="48"/>
  <c r="AI970" i="48"/>
  <c r="AJ970" i="48"/>
  <c r="AK970" i="48"/>
  <c r="AL970" i="48"/>
  <c r="AM970" i="48"/>
  <c r="AN970" i="48"/>
  <c r="AO970" i="48"/>
  <c r="AP970" i="48"/>
  <c r="AQ970" i="48"/>
  <c r="AR970" i="48"/>
  <c r="AS970" i="48"/>
  <c r="AT970" i="48"/>
  <c r="AU970" i="48"/>
  <c r="AV970" i="48"/>
  <c r="AW970" i="48"/>
  <c r="AX970" i="48"/>
  <c r="AY970" i="48"/>
  <c r="AZ970" i="48"/>
  <c r="BA970" i="48"/>
  <c r="J971" i="48"/>
  <c r="K971" i="48"/>
  <c r="L971" i="48"/>
  <c r="M971" i="48"/>
  <c r="N971" i="48"/>
  <c r="O971" i="48"/>
  <c r="P971" i="48"/>
  <c r="Q971" i="48"/>
  <c r="R971" i="48"/>
  <c r="S971" i="48"/>
  <c r="T971" i="48"/>
  <c r="U971" i="48"/>
  <c r="V971" i="48"/>
  <c r="W971" i="48"/>
  <c r="X971" i="48"/>
  <c r="Y971" i="48"/>
  <c r="Z971" i="48"/>
  <c r="AA971" i="48"/>
  <c r="AB971" i="48"/>
  <c r="AC971" i="48"/>
  <c r="AD971" i="48"/>
  <c r="AE971" i="48"/>
  <c r="AF971" i="48"/>
  <c r="AG971" i="48"/>
  <c r="AH971" i="48"/>
  <c r="AI971" i="48"/>
  <c r="AJ971" i="48"/>
  <c r="AK971" i="48"/>
  <c r="AL971" i="48"/>
  <c r="AM971" i="48"/>
  <c r="AN971" i="48"/>
  <c r="AO971" i="48"/>
  <c r="AP971" i="48"/>
  <c r="AQ971" i="48"/>
  <c r="AR971" i="48"/>
  <c r="AS971" i="48"/>
  <c r="AT971" i="48"/>
  <c r="AU971" i="48"/>
  <c r="AV971" i="48"/>
  <c r="AW971" i="48"/>
  <c r="AX971" i="48"/>
  <c r="AY971" i="48"/>
  <c r="AZ971" i="48"/>
  <c r="BA971" i="48"/>
  <c r="J972" i="48"/>
  <c r="K972" i="48"/>
  <c r="L972" i="48"/>
  <c r="M972" i="48"/>
  <c r="N972" i="48"/>
  <c r="O972" i="48"/>
  <c r="P972" i="48"/>
  <c r="Q972" i="48"/>
  <c r="R972" i="48"/>
  <c r="S972" i="48"/>
  <c r="T972" i="48"/>
  <c r="U972" i="48"/>
  <c r="V972" i="48"/>
  <c r="W972" i="48"/>
  <c r="X972" i="48"/>
  <c r="Y972" i="48"/>
  <c r="Z972" i="48"/>
  <c r="AA972" i="48"/>
  <c r="AB972" i="48"/>
  <c r="AC972" i="48"/>
  <c r="AD972" i="48"/>
  <c r="AE972" i="48"/>
  <c r="AF972" i="48"/>
  <c r="AG972" i="48"/>
  <c r="AH972" i="48"/>
  <c r="AI972" i="48"/>
  <c r="AJ972" i="48"/>
  <c r="AK972" i="48"/>
  <c r="AL972" i="48"/>
  <c r="AM972" i="48"/>
  <c r="AN972" i="48"/>
  <c r="AO972" i="48"/>
  <c r="AP972" i="48"/>
  <c r="AQ972" i="48"/>
  <c r="AR972" i="48"/>
  <c r="AS972" i="48"/>
  <c r="AT972" i="48"/>
  <c r="AU972" i="48"/>
  <c r="AV972" i="48"/>
  <c r="AW972" i="48"/>
  <c r="AX972" i="48"/>
  <c r="AY972" i="48"/>
  <c r="AZ972" i="48"/>
  <c r="BA972" i="48"/>
  <c r="J973" i="48"/>
  <c r="K973" i="48"/>
  <c r="L973" i="48"/>
  <c r="M973" i="48"/>
  <c r="N973" i="48"/>
  <c r="O973" i="48"/>
  <c r="P973" i="48"/>
  <c r="Q973" i="48"/>
  <c r="R973" i="48"/>
  <c r="S973" i="48"/>
  <c r="T973" i="48"/>
  <c r="U973" i="48"/>
  <c r="V973" i="48"/>
  <c r="W973" i="48"/>
  <c r="X973" i="48"/>
  <c r="Y973" i="48"/>
  <c r="Z973" i="48"/>
  <c r="AA973" i="48"/>
  <c r="AB973" i="48"/>
  <c r="AC973" i="48"/>
  <c r="AD973" i="48"/>
  <c r="AE973" i="48"/>
  <c r="AF973" i="48"/>
  <c r="AG973" i="48"/>
  <c r="AH973" i="48"/>
  <c r="AI973" i="48"/>
  <c r="AJ973" i="48"/>
  <c r="AK973" i="48"/>
  <c r="AL973" i="48"/>
  <c r="AM973" i="48"/>
  <c r="AN973" i="48"/>
  <c r="AO973" i="48"/>
  <c r="AP973" i="48"/>
  <c r="AQ973" i="48"/>
  <c r="AR973" i="48"/>
  <c r="AS973" i="48"/>
  <c r="AT973" i="48"/>
  <c r="AU973" i="48"/>
  <c r="AV973" i="48"/>
  <c r="AW973" i="48"/>
  <c r="AX973" i="48"/>
  <c r="AY973" i="48"/>
  <c r="AZ973" i="48"/>
  <c r="BA973" i="48"/>
  <c r="J974" i="48"/>
  <c r="K974" i="48"/>
  <c r="L974" i="48"/>
  <c r="M974" i="48"/>
  <c r="N974" i="48"/>
  <c r="O974" i="48"/>
  <c r="P974" i="48"/>
  <c r="Q974" i="48"/>
  <c r="R974" i="48"/>
  <c r="S974" i="48"/>
  <c r="T974" i="48"/>
  <c r="U974" i="48"/>
  <c r="V974" i="48"/>
  <c r="W974" i="48"/>
  <c r="X974" i="48"/>
  <c r="Y974" i="48"/>
  <c r="Z974" i="48"/>
  <c r="AA974" i="48"/>
  <c r="AB974" i="48"/>
  <c r="AC974" i="48"/>
  <c r="AD974" i="48"/>
  <c r="AE974" i="48"/>
  <c r="AF974" i="48"/>
  <c r="AG974" i="48"/>
  <c r="AH974" i="48"/>
  <c r="AI974" i="48"/>
  <c r="AJ974" i="48"/>
  <c r="AK974" i="48"/>
  <c r="AL974" i="48"/>
  <c r="AM974" i="48"/>
  <c r="AN974" i="48"/>
  <c r="AO974" i="48"/>
  <c r="AP974" i="48"/>
  <c r="AQ974" i="48"/>
  <c r="AR974" i="48"/>
  <c r="AS974" i="48"/>
  <c r="AT974" i="48"/>
  <c r="AU974" i="48"/>
  <c r="AV974" i="48"/>
  <c r="AW974" i="48"/>
  <c r="AX974" i="48"/>
  <c r="AY974" i="48"/>
  <c r="AZ974" i="48"/>
  <c r="BA974" i="48"/>
  <c r="J975" i="48"/>
  <c r="K975" i="48"/>
  <c r="L975" i="48"/>
  <c r="M975" i="48"/>
  <c r="N975" i="48"/>
  <c r="O975" i="48"/>
  <c r="P975" i="48"/>
  <c r="Q975" i="48"/>
  <c r="R975" i="48"/>
  <c r="S975" i="48"/>
  <c r="T975" i="48"/>
  <c r="U975" i="48"/>
  <c r="V975" i="48"/>
  <c r="W975" i="48"/>
  <c r="X975" i="48"/>
  <c r="Y975" i="48"/>
  <c r="Z975" i="48"/>
  <c r="AA975" i="48"/>
  <c r="AB975" i="48"/>
  <c r="AC975" i="48"/>
  <c r="AD975" i="48"/>
  <c r="AE975" i="48"/>
  <c r="AF975" i="48"/>
  <c r="AG975" i="48"/>
  <c r="AH975" i="48"/>
  <c r="AI975" i="48"/>
  <c r="AJ975" i="48"/>
  <c r="AK975" i="48"/>
  <c r="AL975" i="48"/>
  <c r="AM975" i="48"/>
  <c r="AN975" i="48"/>
  <c r="AO975" i="48"/>
  <c r="AP975" i="48"/>
  <c r="AQ975" i="48"/>
  <c r="AR975" i="48"/>
  <c r="AS975" i="48"/>
  <c r="AT975" i="48"/>
  <c r="AU975" i="48"/>
  <c r="AV975" i="48"/>
  <c r="AW975" i="48"/>
  <c r="AX975" i="48"/>
  <c r="AY975" i="48"/>
  <c r="AZ975" i="48"/>
  <c r="BA975" i="48"/>
  <c r="J976" i="48"/>
  <c r="K976" i="48"/>
  <c r="L976" i="48"/>
  <c r="M976" i="48"/>
  <c r="N976" i="48"/>
  <c r="O976" i="48"/>
  <c r="P976" i="48"/>
  <c r="Q976" i="48"/>
  <c r="R976" i="48"/>
  <c r="S976" i="48"/>
  <c r="T976" i="48"/>
  <c r="U976" i="48"/>
  <c r="V976" i="48"/>
  <c r="W976" i="48"/>
  <c r="X976" i="48"/>
  <c r="Y976" i="48"/>
  <c r="Z976" i="48"/>
  <c r="AA976" i="48"/>
  <c r="AB976" i="48"/>
  <c r="AC976" i="48"/>
  <c r="AD976" i="48"/>
  <c r="AE976" i="48"/>
  <c r="AF976" i="48"/>
  <c r="AG976" i="48"/>
  <c r="AH976" i="48"/>
  <c r="AI976" i="48"/>
  <c r="AJ976" i="48"/>
  <c r="AK976" i="48"/>
  <c r="AL976" i="48"/>
  <c r="AM976" i="48"/>
  <c r="AN976" i="48"/>
  <c r="AO976" i="48"/>
  <c r="AP976" i="48"/>
  <c r="AQ976" i="48"/>
  <c r="AR976" i="48"/>
  <c r="AS976" i="48"/>
  <c r="AT976" i="48"/>
  <c r="AU976" i="48"/>
  <c r="AV976" i="48"/>
  <c r="AW976" i="48"/>
  <c r="AX976" i="48"/>
  <c r="AY976" i="48"/>
  <c r="AZ976" i="48"/>
  <c r="BA976" i="48"/>
  <c r="J977" i="48"/>
  <c r="K977" i="48"/>
  <c r="L977" i="48"/>
  <c r="M977" i="48"/>
  <c r="N977" i="48"/>
  <c r="O977" i="48"/>
  <c r="P977" i="48"/>
  <c r="Q977" i="48"/>
  <c r="R977" i="48"/>
  <c r="S977" i="48"/>
  <c r="T977" i="48"/>
  <c r="U977" i="48"/>
  <c r="V977" i="48"/>
  <c r="W977" i="48"/>
  <c r="X977" i="48"/>
  <c r="Y977" i="48"/>
  <c r="Z977" i="48"/>
  <c r="AA977" i="48"/>
  <c r="AB977" i="48"/>
  <c r="AC977" i="48"/>
  <c r="AD977" i="48"/>
  <c r="AE977" i="48"/>
  <c r="AF977" i="48"/>
  <c r="AG977" i="48"/>
  <c r="AH977" i="48"/>
  <c r="AI977" i="48"/>
  <c r="AJ977" i="48"/>
  <c r="AK977" i="48"/>
  <c r="AL977" i="48"/>
  <c r="AM977" i="48"/>
  <c r="AN977" i="48"/>
  <c r="AO977" i="48"/>
  <c r="AP977" i="48"/>
  <c r="AQ977" i="48"/>
  <c r="AR977" i="48"/>
  <c r="AS977" i="48"/>
  <c r="AT977" i="48"/>
  <c r="AU977" i="48"/>
  <c r="AV977" i="48"/>
  <c r="AW977" i="48"/>
  <c r="AX977" i="48"/>
  <c r="AY977" i="48"/>
  <c r="AZ977" i="48"/>
  <c r="BA977" i="48"/>
  <c r="J978" i="48"/>
  <c r="K978" i="48"/>
  <c r="L978" i="48"/>
  <c r="M978" i="48"/>
  <c r="N978" i="48"/>
  <c r="O978" i="48"/>
  <c r="P978" i="48"/>
  <c r="Q978" i="48"/>
  <c r="R978" i="48"/>
  <c r="S978" i="48"/>
  <c r="T978" i="48"/>
  <c r="U978" i="48"/>
  <c r="V978" i="48"/>
  <c r="W978" i="48"/>
  <c r="X978" i="48"/>
  <c r="Y978" i="48"/>
  <c r="Z978" i="48"/>
  <c r="AA978" i="48"/>
  <c r="AB978" i="48"/>
  <c r="AC978" i="48"/>
  <c r="AD978" i="48"/>
  <c r="AE978" i="48"/>
  <c r="AF978" i="48"/>
  <c r="AG978" i="48"/>
  <c r="AH978" i="48"/>
  <c r="AI978" i="48"/>
  <c r="AJ978" i="48"/>
  <c r="AK978" i="48"/>
  <c r="AL978" i="48"/>
  <c r="AM978" i="48"/>
  <c r="AN978" i="48"/>
  <c r="AO978" i="48"/>
  <c r="AP978" i="48"/>
  <c r="AQ978" i="48"/>
  <c r="AR978" i="48"/>
  <c r="AS978" i="48"/>
  <c r="AT978" i="48"/>
  <c r="AU978" i="48"/>
  <c r="AV978" i="48"/>
  <c r="AW978" i="48"/>
  <c r="AX978" i="48"/>
  <c r="AY978" i="48"/>
  <c r="AZ978" i="48"/>
  <c r="BA978" i="48"/>
  <c r="J979" i="48"/>
  <c r="K979" i="48"/>
  <c r="L979" i="48"/>
  <c r="M979" i="48"/>
  <c r="N979" i="48"/>
  <c r="O979" i="48"/>
  <c r="P979" i="48"/>
  <c r="Q979" i="48"/>
  <c r="R979" i="48"/>
  <c r="S979" i="48"/>
  <c r="T979" i="48"/>
  <c r="U979" i="48"/>
  <c r="V979" i="48"/>
  <c r="W979" i="48"/>
  <c r="X979" i="48"/>
  <c r="Y979" i="48"/>
  <c r="Z979" i="48"/>
  <c r="AA979" i="48"/>
  <c r="AB979" i="48"/>
  <c r="AC979" i="48"/>
  <c r="AD979" i="48"/>
  <c r="AE979" i="48"/>
  <c r="AF979" i="48"/>
  <c r="AG979" i="48"/>
  <c r="AH979" i="48"/>
  <c r="AI979" i="48"/>
  <c r="AJ979" i="48"/>
  <c r="AK979" i="48"/>
  <c r="AL979" i="48"/>
  <c r="AM979" i="48"/>
  <c r="AN979" i="48"/>
  <c r="AO979" i="48"/>
  <c r="AP979" i="48"/>
  <c r="AQ979" i="48"/>
  <c r="AR979" i="48"/>
  <c r="AS979" i="48"/>
  <c r="AT979" i="48"/>
  <c r="AU979" i="48"/>
  <c r="AV979" i="48"/>
  <c r="AW979" i="48"/>
  <c r="AX979" i="48"/>
  <c r="AY979" i="48"/>
  <c r="AZ979" i="48"/>
  <c r="BA979" i="48"/>
  <c r="J980" i="48"/>
  <c r="K980" i="48"/>
  <c r="L980" i="48"/>
  <c r="M980" i="48"/>
  <c r="N980" i="48"/>
  <c r="O980" i="48"/>
  <c r="P980" i="48"/>
  <c r="Q980" i="48"/>
  <c r="R980" i="48"/>
  <c r="S980" i="48"/>
  <c r="T980" i="48"/>
  <c r="U980" i="48"/>
  <c r="V980" i="48"/>
  <c r="W980" i="48"/>
  <c r="X980" i="48"/>
  <c r="Y980" i="48"/>
  <c r="Z980" i="48"/>
  <c r="AA980" i="48"/>
  <c r="AB980" i="48"/>
  <c r="AC980" i="48"/>
  <c r="AD980" i="48"/>
  <c r="AE980" i="48"/>
  <c r="AF980" i="48"/>
  <c r="AG980" i="48"/>
  <c r="AH980" i="48"/>
  <c r="AI980" i="48"/>
  <c r="AJ980" i="48"/>
  <c r="AK980" i="48"/>
  <c r="AL980" i="48"/>
  <c r="AM980" i="48"/>
  <c r="AN980" i="48"/>
  <c r="AO980" i="48"/>
  <c r="AP980" i="48"/>
  <c r="AQ980" i="48"/>
  <c r="AR980" i="48"/>
  <c r="AS980" i="48"/>
  <c r="AT980" i="48"/>
  <c r="AU980" i="48"/>
  <c r="AV980" i="48"/>
  <c r="AW980" i="48"/>
  <c r="AX980" i="48"/>
  <c r="AY980" i="48"/>
  <c r="AZ980" i="48"/>
  <c r="BA980" i="48"/>
  <c r="J981" i="48"/>
  <c r="K981" i="48"/>
  <c r="L981" i="48"/>
  <c r="M981" i="48"/>
  <c r="N981" i="48"/>
  <c r="O981" i="48"/>
  <c r="P981" i="48"/>
  <c r="Q981" i="48"/>
  <c r="R981" i="48"/>
  <c r="S981" i="48"/>
  <c r="T981" i="48"/>
  <c r="U981" i="48"/>
  <c r="V981" i="48"/>
  <c r="W981" i="48"/>
  <c r="X981" i="48"/>
  <c r="Y981" i="48"/>
  <c r="Z981" i="48"/>
  <c r="AA981" i="48"/>
  <c r="AB981" i="48"/>
  <c r="AC981" i="48"/>
  <c r="AD981" i="48"/>
  <c r="AE981" i="48"/>
  <c r="AF981" i="48"/>
  <c r="AG981" i="48"/>
  <c r="AH981" i="48"/>
  <c r="AI981" i="48"/>
  <c r="AJ981" i="48"/>
  <c r="AK981" i="48"/>
  <c r="AL981" i="48"/>
  <c r="AM981" i="48"/>
  <c r="AN981" i="48"/>
  <c r="AO981" i="48"/>
  <c r="AP981" i="48"/>
  <c r="AQ981" i="48"/>
  <c r="AR981" i="48"/>
  <c r="AS981" i="48"/>
  <c r="AT981" i="48"/>
  <c r="AU981" i="48"/>
  <c r="AV981" i="48"/>
  <c r="AW981" i="48"/>
  <c r="AX981" i="48"/>
  <c r="AY981" i="48"/>
  <c r="AZ981" i="48"/>
  <c r="BA981" i="48"/>
  <c r="J982" i="48"/>
  <c r="K982" i="48"/>
  <c r="L982" i="48"/>
  <c r="M982" i="48"/>
  <c r="N982" i="48"/>
  <c r="O982" i="48"/>
  <c r="P982" i="48"/>
  <c r="Q982" i="48"/>
  <c r="R982" i="48"/>
  <c r="S982" i="48"/>
  <c r="T982" i="48"/>
  <c r="U982" i="48"/>
  <c r="V982" i="48"/>
  <c r="W982" i="48"/>
  <c r="X982" i="48"/>
  <c r="Y982" i="48"/>
  <c r="Z982" i="48"/>
  <c r="AA982" i="48"/>
  <c r="AB982" i="48"/>
  <c r="AC982" i="48"/>
  <c r="AD982" i="48"/>
  <c r="AE982" i="48"/>
  <c r="AF982" i="48"/>
  <c r="AG982" i="48"/>
  <c r="AH982" i="48"/>
  <c r="AI982" i="48"/>
  <c r="AJ982" i="48"/>
  <c r="AK982" i="48"/>
  <c r="AL982" i="48"/>
  <c r="AM982" i="48"/>
  <c r="AN982" i="48"/>
  <c r="AO982" i="48"/>
  <c r="AP982" i="48"/>
  <c r="AQ982" i="48"/>
  <c r="AR982" i="48"/>
  <c r="AS982" i="48"/>
  <c r="AT982" i="48"/>
  <c r="AU982" i="48"/>
  <c r="AV982" i="48"/>
  <c r="AW982" i="48"/>
  <c r="AX982" i="48"/>
  <c r="AY982" i="48"/>
  <c r="AZ982" i="48"/>
  <c r="BA982" i="48"/>
  <c r="J983" i="48"/>
  <c r="K983" i="48"/>
  <c r="L983" i="48"/>
  <c r="M983" i="48"/>
  <c r="N983" i="48"/>
  <c r="O983" i="48"/>
  <c r="P983" i="48"/>
  <c r="Q983" i="48"/>
  <c r="R983" i="48"/>
  <c r="S983" i="48"/>
  <c r="T983" i="48"/>
  <c r="U983" i="48"/>
  <c r="V983" i="48"/>
  <c r="W983" i="48"/>
  <c r="X983" i="48"/>
  <c r="Y983" i="48"/>
  <c r="Z983" i="48"/>
  <c r="AA983" i="48"/>
  <c r="AB983" i="48"/>
  <c r="AC983" i="48"/>
  <c r="AD983" i="48"/>
  <c r="AE983" i="48"/>
  <c r="AF983" i="48"/>
  <c r="AG983" i="48"/>
  <c r="AH983" i="48"/>
  <c r="AI983" i="48"/>
  <c r="AJ983" i="48"/>
  <c r="AK983" i="48"/>
  <c r="AL983" i="48"/>
  <c r="AM983" i="48"/>
  <c r="AN983" i="48"/>
  <c r="AO983" i="48"/>
  <c r="AP983" i="48"/>
  <c r="AQ983" i="48"/>
  <c r="AR983" i="48"/>
  <c r="AS983" i="48"/>
  <c r="AT983" i="48"/>
  <c r="AU983" i="48"/>
  <c r="AV983" i="48"/>
  <c r="AW983" i="48"/>
  <c r="AX983" i="48"/>
  <c r="AY983" i="48"/>
  <c r="AZ983" i="48"/>
  <c r="BA983" i="48"/>
  <c r="J984" i="48"/>
  <c r="K984" i="48"/>
  <c r="L984" i="48"/>
  <c r="M984" i="48"/>
  <c r="N984" i="48"/>
  <c r="O984" i="48"/>
  <c r="P984" i="48"/>
  <c r="Q984" i="48"/>
  <c r="R984" i="48"/>
  <c r="S984" i="48"/>
  <c r="T984" i="48"/>
  <c r="U984" i="48"/>
  <c r="V984" i="48"/>
  <c r="W984" i="48"/>
  <c r="X984" i="48"/>
  <c r="Y984" i="48"/>
  <c r="Z984" i="48"/>
  <c r="AA984" i="48"/>
  <c r="AB984" i="48"/>
  <c r="AC984" i="48"/>
  <c r="AD984" i="48"/>
  <c r="AE984" i="48"/>
  <c r="AF984" i="48"/>
  <c r="AG984" i="48"/>
  <c r="AH984" i="48"/>
  <c r="AI984" i="48"/>
  <c r="AJ984" i="48"/>
  <c r="AK984" i="48"/>
  <c r="AL984" i="48"/>
  <c r="AM984" i="48"/>
  <c r="AN984" i="48"/>
  <c r="AO984" i="48"/>
  <c r="AP984" i="48"/>
  <c r="AQ984" i="48"/>
  <c r="AR984" i="48"/>
  <c r="AS984" i="48"/>
  <c r="AT984" i="48"/>
  <c r="AU984" i="48"/>
  <c r="AV984" i="48"/>
  <c r="AW984" i="48"/>
  <c r="AX984" i="48"/>
  <c r="AY984" i="48"/>
  <c r="AZ984" i="48"/>
  <c r="BA984" i="48"/>
  <c r="J985" i="48"/>
  <c r="K985" i="48"/>
  <c r="L985" i="48"/>
  <c r="M985" i="48"/>
  <c r="N985" i="48"/>
  <c r="O985" i="48"/>
  <c r="P985" i="48"/>
  <c r="Q985" i="48"/>
  <c r="R985" i="48"/>
  <c r="S985" i="48"/>
  <c r="T985" i="48"/>
  <c r="U985" i="48"/>
  <c r="V985" i="48"/>
  <c r="W985" i="48"/>
  <c r="X985" i="48"/>
  <c r="Y985" i="48"/>
  <c r="Z985" i="48"/>
  <c r="AA985" i="48"/>
  <c r="AB985" i="48"/>
  <c r="AC985" i="48"/>
  <c r="AD985" i="48"/>
  <c r="AE985" i="48"/>
  <c r="AF985" i="48"/>
  <c r="AG985" i="48"/>
  <c r="AH985" i="48"/>
  <c r="AI985" i="48"/>
  <c r="AJ985" i="48"/>
  <c r="AK985" i="48"/>
  <c r="AL985" i="48"/>
  <c r="AM985" i="48"/>
  <c r="AN985" i="48"/>
  <c r="AO985" i="48"/>
  <c r="AP985" i="48"/>
  <c r="AQ985" i="48"/>
  <c r="AR985" i="48"/>
  <c r="AS985" i="48"/>
  <c r="AT985" i="48"/>
  <c r="AU985" i="48"/>
  <c r="AV985" i="48"/>
  <c r="AW985" i="48"/>
  <c r="AX985" i="48"/>
  <c r="AY985" i="48"/>
  <c r="AZ985" i="48"/>
  <c r="BA985" i="48"/>
  <c r="J986" i="48"/>
  <c r="K986" i="48"/>
  <c r="L986" i="48"/>
  <c r="M986" i="48"/>
  <c r="N986" i="48"/>
  <c r="O986" i="48"/>
  <c r="P986" i="48"/>
  <c r="Q986" i="48"/>
  <c r="R986" i="48"/>
  <c r="S986" i="48"/>
  <c r="T986" i="48"/>
  <c r="U986" i="48"/>
  <c r="V986" i="48"/>
  <c r="W986" i="48"/>
  <c r="X986" i="48"/>
  <c r="Y986" i="48"/>
  <c r="Z986" i="48"/>
  <c r="AA986" i="48"/>
  <c r="AB986" i="48"/>
  <c r="AC986" i="48"/>
  <c r="AD986" i="48"/>
  <c r="AE986" i="48"/>
  <c r="AF986" i="48"/>
  <c r="AG986" i="48"/>
  <c r="AH986" i="48"/>
  <c r="AI986" i="48"/>
  <c r="AJ986" i="48"/>
  <c r="AK986" i="48"/>
  <c r="AL986" i="48"/>
  <c r="AM986" i="48"/>
  <c r="AN986" i="48"/>
  <c r="AO986" i="48"/>
  <c r="AP986" i="48"/>
  <c r="AQ986" i="48"/>
  <c r="AR986" i="48"/>
  <c r="AS986" i="48"/>
  <c r="AT986" i="48"/>
  <c r="AU986" i="48"/>
  <c r="AV986" i="48"/>
  <c r="AW986" i="48"/>
  <c r="AX986" i="48"/>
  <c r="AY986" i="48"/>
  <c r="AZ986" i="48"/>
  <c r="BA986" i="48"/>
  <c r="J987" i="48"/>
  <c r="K987" i="48"/>
  <c r="L987" i="48"/>
  <c r="M987" i="48"/>
  <c r="N987" i="48"/>
  <c r="O987" i="48"/>
  <c r="P987" i="48"/>
  <c r="Q987" i="48"/>
  <c r="R987" i="48"/>
  <c r="S987" i="48"/>
  <c r="T987" i="48"/>
  <c r="U987" i="48"/>
  <c r="V987" i="48"/>
  <c r="W987" i="48"/>
  <c r="X987" i="48"/>
  <c r="Y987" i="48"/>
  <c r="Z987" i="48"/>
  <c r="AA987" i="48"/>
  <c r="AB987" i="48"/>
  <c r="AC987" i="48"/>
  <c r="AD987" i="48"/>
  <c r="AE987" i="48"/>
  <c r="AF987" i="48"/>
  <c r="AG987" i="48"/>
  <c r="AH987" i="48"/>
  <c r="AI987" i="48"/>
  <c r="AJ987" i="48"/>
  <c r="AK987" i="48"/>
  <c r="AL987" i="48"/>
  <c r="AM987" i="48"/>
  <c r="AN987" i="48"/>
  <c r="AO987" i="48"/>
  <c r="AP987" i="48"/>
  <c r="AQ987" i="48"/>
  <c r="AR987" i="48"/>
  <c r="AS987" i="48"/>
  <c r="AT987" i="48"/>
  <c r="AU987" i="48"/>
  <c r="AV987" i="48"/>
  <c r="AW987" i="48"/>
  <c r="AX987" i="48"/>
  <c r="AY987" i="48"/>
  <c r="AZ987" i="48"/>
  <c r="BA987" i="48"/>
  <c r="J988" i="48"/>
  <c r="K988" i="48"/>
  <c r="L988" i="48"/>
  <c r="M988" i="48"/>
  <c r="N988" i="48"/>
  <c r="O988" i="48"/>
  <c r="P988" i="48"/>
  <c r="Q988" i="48"/>
  <c r="R988" i="48"/>
  <c r="S988" i="48"/>
  <c r="T988" i="48"/>
  <c r="U988" i="48"/>
  <c r="V988" i="48"/>
  <c r="W988" i="48"/>
  <c r="X988" i="48"/>
  <c r="Y988" i="48"/>
  <c r="Z988" i="48"/>
  <c r="AA988" i="48"/>
  <c r="AB988" i="48"/>
  <c r="AC988" i="48"/>
  <c r="AD988" i="48"/>
  <c r="AE988" i="48"/>
  <c r="AF988" i="48"/>
  <c r="AG988" i="48"/>
  <c r="AH988" i="48"/>
  <c r="AI988" i="48"/>
  <c r="AJ988" i="48"/>
  <c r="AK988" i="48"/>
  <c r="AL988" i="48"/>
  <c r="AM988" i="48"/>
  <c r="AN988" i="48"/>
  <c r="AO988" i="48"/>
  <c r="AP988" i="48"/>
  <c r="AQ988" i="48"/>
  <c r="AR988" i="48"/>
  <c r="AS988" i="48"/>
  <c r="AT988" i="48"/>
  <c r="AU988" i="48"/>
  <c r="AV988" i="48"/>
  <c r="AW988" i="48"/>
  <c r="AX988" i="48"/>
  <c r="AY988" i="48"/>
  <c r="AZ988" i="48"/>
  <c r="BA988" i="48"/>
  <c r="J989" i="48"/>
  <c r="K989" i="48"/>
  <c r="L989" i="48"/>
  <c r="M989" i="48"/>
  <c r="N989" i="48"/>
  <c r="O989" i="48"/>
  <c r="P989" i="48"/>
  <c r="Q989" i="48"/>
  <c r="R989" i="48"/>
  <c r="S989" i="48"/>
  <c r="T989" i="48"/>
  <c r="U989" i="48"/>
  <c r="V989" i="48"/>
  <c r="W989" i="48"/>
  <c r="X989" i="48"/>
  <c r="Y989" i="48"/>
  <c r="Z989" i="48"/>
  <c r="AA989" i="48"/>
  <c r="AB989" i="48"/>
  <c r="AC989" i="48"/>
  <c r="AD989" i="48"/>
  <c r="AE989" i="48"/>
  <c r="AF989" i="48"/>
  <c r="AG989" i="48"/>
  <c r="AH989" i="48"/>
  <c r="AI989" i="48"/>
  <c r="AJ989" i="48"/>
  <c r="AK989" i="48"/>
  <c r="AL989" i="48"/>
  <c r="AM989" i="48"/>
  <c r="AN989" i="48"/>
  <c r="AO989" i="48"/>
  <c r="AP989" i="48"/>
  <c r="AQ989" i="48"/>
  <c r="AR989" i="48"/>
  <c r="AS989" i="48"/>
  <c r="AT989" i="48"/>
  <c r="AU989" i="48"/>
  <c r="AV989" i="48"/>
  <c r="AW989" i="48"/>
  <c r="AX989" i="48"/>
  <c r="AY989" i="48"/>
  <c r="AZ989" i="48"/>
  <c r="BA989" i="48"/>
  <c r="J990" i="48"/>
  <c r="K990" i="48"/>
  <c r="L990" i="48"/>
  <c r="M990" i="48"/>
  <c r="N990" i="48"/>
  <c r="O990" i="48"/>
  <c r="P990" i="48"/>
  <c r="Q990" i="48"/>
  <c r="R990" i="48"/>
  <c r="S990" i="48"/>
  <c r="T990" i="48"/>
  <c r="U990" i="48"/>
  <c r="V990" i="48"/>
  <c r="W990" i="48"/>
  <c r="X990" i="48"/>
  <c r="Y990" i="48"/>
  <c r="Z990" i="48"/>
  <c r="AA990" i="48"/>
  <c r="AB990" i="48"/>
  <c r="AC990" i="48"/>
  <c r="AD990" i="48"/>
  <c r="AE990" i="48"/>
  <c r="AF990" i="48"/>
  <c r="AG990" i="48"/>
  <c r="AH990" i="48"/>
  <c r="AI990" i="48"/>
  <c r="AJ990" i="48"/>
  <c r="AK990" i="48"/>
  <c r="AL990" i="48"/>
  <c r="AM990" i="48"/>
  <c r="AN990" i="48"/>
  <c r="AO990" i="48"/>
  <c r="AP990" i="48"/>
  <c r="AQ990" i="48"/>
  <c r="AR990" i="48"/>
  <c r="AS990" i="48"/>
  <c r="AT990" i="48"/>
  <c r="AU990" i="48"/>
  <c r="AV990" i="48"/>
  <c r="AW990" i="48"/>
  <c r="AX990" i="48"/>
  <c r="AY990" i="48"/>
  <c r="AZ990" i="48"/>
  <c r="BA990" i="48"/>
  <c r="J991" i="48"/>
  <c r="K991" i="48"/>
  <c r="L991" i="48"/>
  <c r="M991" i="48"/>
  <c r="N991" i="48"/>
  <c r="O991" i="48"/>
  <c r="P991" i="48"/>
  <c r="Q991" i="48"/>
  <c r="R991" i="48"/>
  <c r="S991" i="48"/>
  <c r="T991" i="48"/>
  <c r="U991" i="48"/>
  <c r="V991" i="48"/>
  <c r="W991" i="48"/>
  <c r="X991" i="48"/>
  <c r="Y991" i="48"/>
  <c r="Z991" i="48"/>
  <c r="AA991" i="48"/>
  <c r="AB991" i="48"/>
  <c r="AC991" i="48"/>
  <c r="AD991" i="48"/>
  <c r="AE991" i="48"/>
  <c r="AF991" i="48"/>
  <c r="AG991" i="48"/>
  <c r="AH991" i="48"/>
  <c r="AI991" i="48"/>
  <c r="AJ991" i="48"/>
  <c r="AK991" i="48"/>
  <c r="AL991" i="48"/>
  <c r="AM991" i="48"/>
  <c r="AN991" i="48"/>
  <c r="AO991" i="48"/>
  <c r="AP991" i="48"/>
  <c r="AQ991" i="48"/>
  <c r="AR991" i="48"/>
  <c r="AS991" i="48"/>
  <c r="AT991" i="48"/>
  <c r="AU991" i="48"/>
  <c r="AV991" i="48"/>
  <c r="AW991" i="48"/>
  <c r="AX991" i="48"/>
  <c r="AY991" i="48"/>
  <c r="AZ991" i="48"/>
  <c r="BA991" i="48"/>
  <c r="J992" i="48"/>
  <c r="K992" i="48"/>
  <c r="L992" i="48"/>
  <c r="M992" i="48"/>
  <c r="N992" i="48"/>
  <c r="O992" i="48"/>
  <c r="P992" i="48"/>
  <c r="Q992" i="48"/>
  <c r="R992" i="48"/>
  <c r="S992" i="48"/>
  <c r="T992" i="48"/>
  <c r="U992" i="48"/>
  <c r="V992" i="48"/>
  <c r="W992" i="48"/>
  <c r="X992" i="48"/>
  <c r="Y992" i="48"/>
  <c r="Z992" i="48"/>
  <c r="AA992" i="48"/>
  <c r="AB992" i="48"/>
  <c r="AC992" i="48"/>
  <c r="AD992" i="48"/>
  <c r="AE992" i="48"/>
  <c r="AF992" i="48"/>
  <c r="AG992" i="48"/>
  <c r="AH992" i="48"/>
  <c r="AI992" i="48"/>
  <c r="AJ992" i="48"/>
  <c r="AK992" i="48"/>
  <c r="AL992" i="48"/>
  <c r="AM992" i="48"/>
  <c r="AN992" i="48"/>
  <c r="AO992" i="48"/>
  <c r="AP992" i="48"/>
  <c r="AQ992" i="48"/>
  <c r="AR992" i="48"/>
  <c r="AS992" i="48"/>
  <c r="AT992" i="48"/>
  <c r="AU992" i="48"/>
  <c r="AV992" i="48"/>
  <c r="AW992" i="48"/>
  <c r="AX992" i="48"/>
  <c r="AY992" i="48"/>
  <c r="AZ992" i="48"/>
  <c r="BA992" i="48"/>
  <c r="J993" i="48"/>
  <c r="K993" i="48"/>
  <c r="L993" i="48"/>
  <c r="M993" i="48"/>
  <c r="N993" i="48"/>
  <c r="O993" i="48"/>
  <c r="P993" i="48"/>
  <c r="Q993" i="48"/>
  <c r="R993" i="48"/>
  <c r="S993" i="48"/>
  <c r="T993" i="48"/>
  <c r="U993" i="48"/>
  <c r="V993" i="48"/>
  <c r="W993" i="48"/>
  <c r="X993" i="48"/>
  <c r="Y993" i="48"/>
  <c r="Z993" i="48"/>
  <c r="AA993" i="48"/>
  <c r="AB993" i="48"/>
  <c r="AC993" i="48"/>
  <c r="AD993" i="48"/>
  <c r="AE993" i="48"/>
  <c r="AF993" i="48"/>
  <c r="AG993" i="48"/>
  <c r="AH993" i="48"/>
  <c r="AI993" i="48"/>
  <c r="AJ993" i="48"/>
  <c r="AK993" i="48"/>
  <c r="AL993" i="48"/>
  <c r="AM993" i="48"/>
  <c r="AN993" i="48"/>
  <c r="AO993" i="48"/>
  <c r="AP993" i="48"/>
  <c r="AQ993" i="48"/>
  <c r="AR993" i="48"/>
  <c r="AS993" i="48"/>
  <c r="AT993" i="48"/>
  <c r="AU993" i="48"/>
  <c r="AV993" i="48"/>
  <c r="AW993" i="48"/>
  <c r="AX993" i="48"/>
  <c r="AY993" i="48"/>
  <c r="AZ993" i="48"/>
  <c r="BA993" i="48"/>
  <c r="J994" i="48"/>
  <c r="K994" i="48"/>
  <c r="L994" i="48"/>
  <c r="M994" i="48"/>
  <c r="N994" i="48"/>
  <c r="O994" i="48"/>
  <c r="P994" i="48"/>
  <c r="Q994" i="48"/>
  <c r="R994" i="48"/>
  <c r="S994" i="48"/>
  <c r="T994" i="48"/>
  <c r="U994" i="48"/>
  <c r="V994" i="48"/>
  <c r="W994" i="48"/>
  <c r="X994" i="48"/>
  <c r="Y994" i="48"/>
  <c r="Z994" i="48"/>
  <c r="AA994" i="48"/>
  <c r="AB994" i="48"/>
  <c r="AC994" i="48"/>
  <c r="AD994" i="48"/>
  <c r="AE994" i="48"/>
  <c r="AF994" i="48"/>
  <c r="AG994" i="48"/>
  <c r="AH994" i="48"/>
  <c r="AI994" i="48"/>
  <c r="AJ994" i="48"/>
  <c r="AK994" i="48"/>
  <c r="AL994" i="48"/>
  <c r="AM994" i="48"/>
  <c r="AN994" i="48"/>
  <c r="AO994" i="48"/>
  <c r="AP994" i="48"/>
  <c r="AQ994" i="48"/>
  <c r="AR994" i="48"/>
  <c r="AS994" i="48"/>
  <c r="AT994" i="48"/>
  <c r="AU994" i="48"/>
  <c r="AV994" i="48"/>
  <c r="AW994" i="48"/>
  <c r="AX994" i="48"/>
  <c r="AY994" i="48"/>
  <c r="AZ994" i="48"/>
  <c r="BA994" i="48"/>
  <c r="J995" i="48"/>
  <c r="K995" i="48"/>
  <c r="L995" i="48"/>
  <c r="M995" i="48"/>
  <c r="N995" i="48"/>
  <c r="O995" i="48"/>
  <c r="P995" i="48"/>
  <c r="Q995" i="48"/>
  <c r="R995" i="48"/>
  <c r="S995" i="48"/>
  <c r="T995" i="48"/>
  <c r="U995" i="48"/>
  <c r="V995" i="48"/>
  <c r="W995" i="48"/>
  <c r="X995" i="48"/>
  <c r="Y995" i="48"/>
  <c r="Z995" i="48"/>
  <c r="AA995" i="48"/>
  <c r="AB995" i="48"/>
  <c r="AC995" i="48"/>
  <c r="AD995" i="48"/>
  <c r="AE995" i="48"/>
  <c r="AF995" i="48"/>
  <c r="AG995" i="48"/>
  <c r="AH995" i="48"/>
  <c r="AI995" i="48"/>
  <c r="AJ995" i="48"/>
  <c r="AK995" i="48"/>
  <c r="AL995" i="48"/>
  <c r="AM995" i="48"/>
  <c r="AN995" i="48"/>
  <c r="AO995" i="48"/>
  <c r="AP995" i="48"/>
  <c r="AQ995" i="48"/>
  <c r="AR995" i="48"/>
  <c r="AS995" i="48"/>
  <c r="AT995" i="48"/>
  <c r="AU995" i="48"/>
  <c r="AV995" i="48"/>
  <c r="AW995" i="48"/>
  <c r="AX995" i="48"/>
  <c r="AY995" i="48"/>
  <c r="AZ995" i="48"/>
  <c r="BA995" i="48"/>
  <c r="J996" i="48"/>
  <c r="K996" i="48"/>
  <c r="L996" i="48"/>
  <c r="M996" i="48"/>
  <c r="N996" i="48"/>
  <c r="O996" i="48"/>
  <c r="P996" i="48"/>
  <c r="Q996" i="48"/>
  <c r="R996" i="48"/>
  <c r="S996" i="48"/>
  <c r="T996" i="48"/>
  <c r="U996" i="48"/>
  <c r="V996" i="48"/>
  <c r="W996" i="48"/>
  <c r="X996" i="48"/>
  <c r="Y996" i="48"/>
  <c r="Z996" i="48"/>
  <c r="AA996" i="48"/>
  <c r="AB996" i="48"/>
  <c r="AC996" i="48"/>
  <c r="AD996" i="48"/>
  <c r="AE996" i="48"/>
  <c r="AF996" i="48"/>
  <c r="AG996" i="48"/>
  <c r="AH996" i="48"/>
  <c r="AI996" i="48"/>
  <c r="AJ996" i="48"/>
  <c r="AK996" i="48"/>
  <c r="AL996" i="48"/>
  <c r="AM996" i="48"/>
  <c r="AN996" i="48"/>
  <c r="AO996" i="48"/>
  <c r="AP996" i="48"/>
  <c r="AQ996" i="48"/>
  <c r="AR996" i="48"/>
  <c r="AS996" i="48"/>
  <c r="AT996" i="48"/>
  <c r="AU996" i="48"/>
  <c r="AV996" i="48"/>
  <c r="AW996" i="48"/>
  <c r="AX996" i="48"/>
  <c r="AY996" i="48"/>
  <c r="AZ996" i="48"/>
  <c r="BA996" i="48"/>
  <c r="J997" i="48"/>
  <c r="K997" i="48"/>
  <c r="L997" i="48"/>
  <c r="M997" i="48"/>
  <c r="N997" i="48"/>
  <c r="O997" i="48"/>
  <c r="P997" i="48"/>
  <c r="Q997" i="48"/>
  <c r="R997" i="48"/>
  <c r="S997" i="48"/>
  <c r="T997" i="48"/>
  <c r="U997" i="48"/>
  <c r="V997" i="48"/>
  <c r="W997" i="48"/>
  <c r="X997" i="48"/>
  <c r="Y997" i="48"/>
  <c r="Z997" i="48"/>
  <c r="AA997" i="48"/>
  <c r="AB997" i="48"/>
  <c r="AC997" i="48"/>
  <c r="AD997" i="48"/>
  <c r="AE997" i="48"/>
  <c r="AF997" i="48"/>
  <c r="AG997" i="48"/>
  <c r="AH997" i="48"/>
  <c r="AI997" i="48"/>
  <c r="AJ997" i="48"/>
  <c r="AK997" i="48"/>
  <c r="AL997" i="48"/>
  <c r="AM997" i="48"/>
  <c r="AN997" i="48"/>
  <c r="AO997" i="48"/>
  <c r="AP997" i="48"/>
  <c r="AQ997" i="48"/>
  <c r="AR997" i="48"/>
  <c r="AS997" i="48"/>
  <c r="AT997" i="48"/>
  <c r="AU997" i="48"/>
  <c r="AV997" i="48"/>
  <c r="AW997" i="48"/>
  <c r="AX997" i="48"/>
  <c r="AY997" i="48"/>
  <c r="AZ997" i="48"/>
  <c r="BA997" i="48"/>
  <c r="J998" i="48"/>
  <c r="K998" i="48"/>
  <c r="L998" i="48"/>
  <c r="M998" i="48"/>
  <c r="N998" i="48"/>
  <c r="O998" i="48"/>
  <c r="P998" i="48"/>
  <c r="Q998" i="48"/>
  <c r="R998" i="48"/>
  <c r="S998" i="48"/>
  <c r="T998" i="48"/>
  <c r="U998" i="48"/>
  <c r="V998" i="48"/>
  <c r="W998" i="48"/>
  <c r="X998" i="48"/>
  <c r="Y998" i="48"/>
  <c r="Z998" i="48"/>
  <c r="AA998" i="48"/>
  <c r="AB998" i="48"/>
  <c r="AC998" i="48"/>
  <c r="AD998" i="48"/>
  <c r="AE998" i="48"/>
  <c r="AF998" i="48"/>
  <c r="AG998" i="48"/>
  <c r="AH998" i="48"/>
  <c r="AI998" i="48"/>
  <c r="AJ998" i="48"/>
  <c r="AK998" i="48"/>
  <c r="AL998" i="48"/>
  <c r="AM998" i="48"/>
  <c r="AN998" i="48"/>
  <c r="AO998" i="48"/>
  <c r="AP998" i="48"/>
  <c r="AQ998" i="48"/>
  <c r="AR998" i="48"/>
  <c r="AS998" i="48"/>
  <c r="AT998" i="48"/>
  <c r="AU998" i="48"/>
  <c r="AV998" i="48"/>
  <c r="AW998" i="48"/>
  <c r="AX998" i="48"/>
  <c r="AY998" i="48"/>
  <c r="AZ998" i="48"/>
  <c r="F3" i="48"/>
  <c r="F4" i="48"/>
  <c r="F5" i="48"/>
  <c r="F6" i="48"/>
  <c r="F7" i="48"/>
  <c r="F8" i="48"/>
  <c r="F9" i="48"/>
  <c r="F10" i="48"/>
  <c r="F11" i="48"/>
  <c r="F12" i="48"/>
  <c r="F13" i="48"/>
  <c r="F14" i="48"/>
  <c r="F15" i="48"/>
  <c r="F16" i="48"/>
  <c r="F17" i="48"/>
  <c r="F18" i="48"/>
  <c r="F19" i="48"/>
  <c r="F20" i="48"/>
  <c r="F21" i="48"/>
  <c r="F22" i="48"/>
  <c r="F23" i="48"/>
  <c r="F24" i="48"/>
  <c r="F25" i="48"/>
  <c r="F26" i="48"/>
  <c r="F27" i="48"/>
  <c r="F28" i="48"/>
  <c r="F29" i="48"/>
  <c r="F30" i="48"/>
  <c r="F31" i="48"/>
  <c r="F32" i="48"/>
  <c r="F33" i="48"/>
  <c r="F34" i="48"/>
  <c r="F35" i="48"/>
  <c r="F36" i="48"/>
  <c r="F37" i="48"/>
  <c r="F38" i="48"/>
  <c r="F39" i="48"/>
  <c r="F40" i="48"/>
  <c r="F41" i="48"/>
  <c r="F42" i="48"/>
  <c r="F43" i="48"/>
  <c r="F44" i="48"/>
  <c r="F45" i="48"/>
  <c r="F46" i="48"/>
  <c r="F47" i="48"/>
  <c r="F48" i="48"/>
  <c r="F49" i="48"/>
  <c r="F50" i="48"/>
  <c r="F51" i="48"/>
  <c r="F52" i="48"/>
  <c r="F53" i="48"/>
  <c r="F54" i="48"/>
  <c r="F55" i="48"/>
  <c r="F56" i="48"/>
  <c r="F57" i="48"/>
  <c r="F58" i="48"/>
  <c r="F59" i="48"/>
  <c r="F60" i="48"/>
  <c r="F61" i="48"/>
  <c r="F62" i="48"/>
  <c r="F63" i="48"/>
  <c r="F64" i="48"/>
  <c r="F65" i="48"/>
  <c r="F66" i="48"/>
  <c r="F67" i="48"/>
  <c r="F68" i="48"/>
  <c r="F69" i="48"/>
  <c r="F70" i="48"/>
  <c r="F71" i="48"/>
  <c r="F72" i="48"/>
  <c r="F73" i="48"/>
  <c r="F74" i="48"/>
  <c r="F75" i="48"/>
  <c r="F76" i="48"/>
  <c r="F77" i="48"/>
  <c r="F78" i="48"/>
  <c r="F79" i="48"/>
  <c r="F80" i="48"/>
  <c r="F81" i="48"/>
  <c r="F82" i="48"/>
  <c r="F83" i="48"/>
  <c r="F84" i="48"/>
  <c r="F85" i="48"/>
  <c r="F86" i="48"/>
  <c r="F87" i="48"/>
  <c r="F88" i="48"/>
  <c r="F89" i="48"/>
  <c r="F90" i="48"/>
  <c r="F91" i="48"/>
  <c r="F92" i="48"/>
  <c r="F93" i="48"/>
  <c r="F94" i="48"/>
  <c r="F95" i="48"/>
  <c r="F96" i="48"/>
  <c r="F97" i="48"/>
  <c r="F98" i="48"/>
  <c r="F99" i="48"/>
  <c r="F100" i="48"/>
  <c r="F101" i="48"/>
  <c r="F102" i="48"/>
  <c r="F103" i="48"/>
  <c r="F104" i="48"/>
  <c r="F105" i="48"/>
  <c r="F106" i="48"/>
  <c r="F107" i="48"/>
  <c r="F108" i="48"/>
  <c r="F109" i="48"/>
  <c r="F110" i="48"/>
  <c r="F111" i="48"/>
  <c r="F112" i="48"/>
  <c r="F113" i="48"/>
  <c r="F114" i="48"/>
  <c r="F115" i="48"/>
  <c r="F116" i="48"/>
  <c r="F117" i="48"/>
  <c r="F118" i="48"/>
  <c r="F119" i="48"/>
  <c r="F120" i="48"/>
  <c r="F121" i="48"/>
  <c r="F122" i="48"/>
  <c r="F123" i="48"/>
  <c r="F124" i="48"/>
  <c r="F125" i="48"/>
  <c r="F126" i="48"/>
  <c r="F127" i="48"/>
  <c r="F128" i="48"/>
  <c r="F129" i="48"/>
  <c r="F130" i="48"/>
  <c r="F131" i="48"/>
  <c r="F132" i="48"/>
  <c r="F133" i="48"/>
  <c r="F134" i="48"/>
  <c r="F135" i="48"/>
  <c r="F136" i="48"/>
  <c r="F137" i="48"/>
  <c r="F138" i="48"/>
  <c r="F139" i="48"/>
  <c r="F140" i="48"/>
  <c r="F141" i="48"/>
  <c r="F142" i="48"/>
  <c r="F143" i="48"/>
  <c r="F144" i="48"/>
  <c r="F145" i="48"/>
  <c r="F146" i="48"/>
  <c r="F147" i="48"/>
  <c r="F148" i="48"/>
  <c r="F149" i="48"/>
  <c r="F150" i="48"/>
  <c r="F151" i="48"/>
  <c r="F152" i="48"/>
  <c r="F153" i="48"/>
  <c r="F154" i="48"/>
  <c r="F155" i="48"/>
  <c r="F156" i="48"/>
  <c r="F157" i="48"/>
  <c r="F158" i="48"/>
  <c r="F159" i="48"/>
  <c r="F160" i="48"/>
  <c r="F161" i="48"/>
  <c r="F162" i="48"/>
  <c r="F163" i="48"/>
  <c r="F164" i="48"/>
  <c r="F165" i="48"/>
  <c r="F166" i="48"/>
  <c r="F167" i="48"/>
  <c r="F168" i="48"/>
  <c r="F169" i="48"/>
  <c r="F170" i="48"/>
  <c r="F171" i="48"/>
  <c r="F172" i="48"/>
  <c r="F173" i="48"/>
  <c r="F174" i="48"/>
  <c r="F175" i="48"/>
  <c r="F176" i="48"/>
  <c r="F177" i="48"/>
  <c r="F178" i="48"/>
  <c r="F179" i="48"/>
  <c r="F180" i="48"/>
  <c r="F181" i="48"/>
  <c r="F182" i="48"/>
  <c r="F183" i="48"/>
  <c r="F184" i="48"/>
  <c r="F185" i="48"/>
  <c r="F186" i="48"/>
  <c r="F187" i="48"/>
  <c r="F188" i="48"/>
  <c r="F189" i="48"/>
  <c r="F190" i="48"/>
  <c r="F191" i="48"/>
  <c r="F192" i="48"/>
  <c r="F193" i="48"/>
  <c r="F194" i="48"/>
  <c r="F195" i="48"/>
  <c r="F196" i="48"/>
  <c r="F197" i="48"/>
  <c r="F198" i="48"/>
  <c r="F199" i="48"/>
  <c r="F200" i="48"/>
  <c r="F201" i="48"/>
  <c r="F202" i="48"/>
  <c r="F203" i="48"/>
  <c r="F204" i="48"/>
  <c r="F205" i="48"/>
  <c r="F206" i="48"/>
  <c r="F207" i="48"/>
  <c r="F208" i="48"/>
  <c r="F209" i="48"/>
  <c r="F210" i="48"/>
  <c r="F211" i="48"/>
  <c r="F212" i="48"/>
  <c r="F213" i="48"/>
  <c r="F214" i="48"/>
  <c r="F215" i="48"/>
  <c r="F216" i="48"/>
  <c r="F217" i="48"/>
  <c r="F218" i="48"/>
  <c r="F219" i="48"/>
  <c r="F220" i="48"/>
  <c r="F221" i="48"/>
  <c r="F222" i="48"/>
  <c r="F223" i="48"/>
  <c r="F224" i="48"/>
  <c r="F225" i="48"/>
  <c r="F226" i="48"/>
  <c r="F227" i="48"/>
  <c r="F228" i="48"/>
  <c r="F229" i="48"/>
  <c r="F230" i="48"/>
  <c r="F231" i="48"/>
  <c r="F232" i="48"/>
  <c r="F233" i="48"/>
  <c r="F234" i="48"/>
  <c r="F235" i="48"/>
  <c r="F236" i="48"/>
  <c r="F237" i="48"/>
  <c r="F238" i="48"/>
  <c r="F239" i="48"/>
  <c r="F240" i="48"/>
  <c r="F241" i="48"/>
  <c r="F242" i="48"/>
  <c r="F243" i="48"/>
  <c r="F244" i="48"/>
  <c r="F245" i="48"/>
  <c r="F246" i="48"/>
  <c r="F247" i="48"/>
  <c r="F248" i="48"/>
  <c r="F249" i="48"/>
  <c r="F250" i="48"/>
  <c r="F251" i="48"/>
  <c r="F252" i="48"/>
  <c r="F253" i="48"/>
  <c r="F254" i="48"/>
  <c r="F255" i="48"/>
  <c r="F256" i="48"/>
  <c r="F257" i="48"/>
  <c r="F258" i="48"/>
  <c r="F259" i="48"/>
  <c r="F260" i="48"/>
  <c r="F261" i="48"/>
  <c r="F262" i="48"/>
  <c r="F263" i="48"/>
  <c r="F264" i="48"/>
  <c r="F265" i="48"/>
  <c r="F266" i="48"/>
  <c r="F267" i="48"/>
  <c r="F268" i="48"/>
  <c r="F269" i="48"/>
  <c r="F270" i="48"/>
  <c r="F271" i="48"/>
  <c r="F272" i="48"/>
  <c r="F273" i="48"/>
  <c r="F274" i="48"/>
  <c r="F275" i="48"/>
  <c r="F276" i="48"/>
  <c r="F277" i="48"/>
  <c r="F278" i="48"/>
  <c r="F279" i="48"/>
  <c r="F280" i="48"/>
  <c r="F281" i="48"/>
  <c r="F282" i="48"/>
  <c r="F283" i="48"/>
  <c r="F284" i="48"/>
  <c r="F285" i="48"/>
  <c r="F286" i="48"/>
  <c r="F287" i="48"/>
  <c r="F288" i="48"/>
  <c r="F289" i="48"/>
  <c r="F290" i="48"/>
  <c r="F291" i="48"/>
  <c r="F292" i="48"/>
  <c r="F293" i="48"/>
  <c r="F294" i="48"/>
  <c r="F295" i="48"/>
  <c r="F296" i="48"/>
  <c r="F297" i="48"/>
  <c r="F298" i="48"/>
  <c r="F299" i="48"/>
  <c r="F300" i="48"/>
  <c r="F301" i="48"/>
  <c r="F302" i="48"/>
  <c r="F303" i="48"/>
  <c r="F304" i="48"/>
  <c r="F305" i="48"/>
  <c r="F306" i="48"/>
  <c r="F307" i="48"/>
  <c r="F308" i="48"/>
  <c r="F309" i="48"/>
  <c r="F310" i="48"/>
  <c r="F311" i="48"/>
  <c r="F312" i="48"/>
  <c r="F313" i="48"/>
  <c r="F314" i="48"/>
  <c r="F315" i="48"/>
  <c r="F316" i="48"/>
  <c r="F317" i="48"/>
  <c r="F318" i="48"/>
  <c r="F319" i="48"/>
  <c r="F320" i="48"/>
  <c r="F321" i="48"/>
  <c r="F322" i="48"/>
  <c r="F323" i="48"/>
  <c r="F324" i="48"/>
  <c r="F325" i="48"/>
  <c r="F326" i="48"/>
  <c r="F327" i="48"/>
  <c r="F328" i="48"/>
  <c r="F329" i="48"/>
  <c r="F330" i="48"/>
  <c r="F331" i="48"/>
  <c r="F332" i="48"/>
  <c r="F333" i="48"/>
  <c r="F334" i="48"/>
  <c r="F335" i="48"/>
  <c r="F336" i="48"/>
  <c r="F337" i="48"/>
  <c r="F338" i="48"/>
  <c r="F339" i="48"/>
  <c r="F340" i="48"/>
  <c r="F341" i="48"/>
  <c r="F342" i="48"/>
  <c r="F343" i="48"/>
  <c r="F344" i="48"/>
  <c r="F345" i="48"/>
  <c r="F346" i="48"/>
  <c r="F347" i="48"/>
  <c r="F348" i="48"/>
  <c r="F349" i="48"/>
  <c r="F350" i="48"/>
  <c r="F351" i="48"/>
  <c r="F352" i="48"/>
  <c r="F353" i="48"/>
  <c r="F354" i="48"/>
  <c r="F355" i="48"/>
  <c r="F356" i="48"/>
  <c r="F357" i="48"/>
  <c r="F358" i="48"/>
  <c r="F359" i="48"/>
  <c r="F360" i="48"/>
  <c r="F361" i="48"/>
  <c r="F362" i="48"/>
  <c r="F363" i="48"/>
  <c r="F364" i="48"/>
  <c r="F365" i="48"/>
  <c r="F366" i="48"/>
  <c r="F367" i="48"/>
  <c r="F368" i="48"/>
  <c r="F369" i="48"/>
  <c r="F370" i="48"/>
  <c r="F371" i="48"/>
  <c r="F372" i="48"/>
  <c r="F373" i="48"/>
  <c r="F374" i="48"/>
  <c r="F375" i="48"/>
  <c r="F376" i="48"/>
  <c r="F377" i="48"/>
  <c r="F378" i="48"/>
  <c r="F379" i="48"/>
  <c r="F380" i="48"/>
  <c r="F381" i="48"/>
  <c r="F382" i="48"/>
  <c r="F383" i="48"/>
  <c r="F384" i="48"/>
  <c r="F385" i="48"/>
  <c r="F386" i="48"/>
  <c r="F387" i="48"/>
  <c r="F388" i="48"/>
  <c r="F389" i="48"/>
  <c r="F390" i="48"/>
  <c r="F391" i="48"/>
  <c r="F392" i="48"/>
  <c r="F393" i="48"/>
  <c r="F394" i="48"/>
  <c r="F395" i="48"/>
  <c r="F396" i="48"/>
  <c r="F397" i="48"/>
  <c r="F398" i="48"/>
  <c r="F399" i="48"/>
  <c r="F400" i="48"/>
  <c r="F401" i="48"/>
  <c r="F402" i="48"/>
  <c r="F403" i="48"/>
  <c r="F404" i="48"/>
  <c r="F405" i="48"/>
  <c r="F406" i="48"/>
  <c r="F407" i="48"/>
  <c r="F408" i="48"/>
  <c r="F409" i="48"/>
  <c r="F410" i="48"/>
  <c r="F411" i="48"/>
  <c r="F412" i="48"/>
  <c r="F413" i="48"/>
  <c r="F414" i="48"/>
  <c r="F415" i="48"/>
  <c r="F416" i="48"/>
  <c r="F417" i="48"/>
  <c r="F418" i="48"/>
  <c r="F419" i="48"/>
  <c r="F420" i="48"/>
  <c r="F421" i="48"/>
  <c r="F422" i="48"/>
  <c r="F423" i="48"/>
  <c r="F424" i="48"/>
  <c r="F425" i="48"/>
  <c r="F426" i="48"/>
  <c r="F427" i="48"/>
  <c r="F428" i="48"/>
  <c r="F429" i="48"/>
  <c r="F430" i="48"/>
  <c r="F431" i="48"/>
  <c r="F432" i="48"/>
  <c r="F433" i="48"/>
  <c r="F434" i="48"/>
  <c r="F435" i="48"/>
  <c r="F436" i="48"/>
  <c r="F437" i="48"/>
  <c r="F438" i="48"/>
  <c r="F439" i="48"/>
  <c r="F440" i="48"/>
  <c r="F441" i="48"/>
  <c r="F442" i="48"/>
  <c r="F443" i="48"/>
  <c r="F444" i="48"/>
  <c r="F445" i="48"/>
  <c r="F446" i="48"/>
  <c r="F447" i="48"/>
  <c r="F448" i="48"/>
  <c r="F449" i="48"/>
  <c r="F450" i="48"/>
  <c r="F451" i="48"/>
  <c r="F452" i="48"/>
  <c r="F453" i="48"/>
  <c r="F454" i="48"/>
  <c r="F455" i="48"/>
  <c r="F456" i="48"/>
  <c r="F457" i="48"/>
  <c r="F458" i="48"/>
  <c r="F459" i="48"/>
  <c r="F460" i="48"/>
  <c r="F461" i="48"/>
  <c r="F462" i="48"/>
  <c r="F463" i="48"/>
  <c r="F464" i="48"/>
  <c r="F465" i="48"/>
  <c r="F466" i="48"/>
  <c r="F467" i="48"/>
  <c r="F468" i="48"/>
  <c r="F469" i="48"/>
  <c r="F470" i="48"/>
  <c r="F471" i="48"/>
  <c r="F472" i="48"/>
  <c r="F473" i="48"/>
  <c r="F474" i="48"/>
  <c r="F475" i="48"/>
  <c r="F476" i="48"/>
  <c r="F477" i="48"/>
  <c r="F478" i="48"/>
  <c r="F479" i="48"/>
  <c r="F480" i="48"/>
  <c r="F481" i="48"/>
  <c r="F482" i="48"/>
  <c r="F483" i="48"/>
  <c r="F484" i="48"/>
  <c r="F485" i="48"/>
  <c r="F486" i="48"/>
  <c r="F487" i="48"/>
  <c r="F488" i="48"/>
  <c r="F489" i="48"/>
  <c r="F490" i="48"/>
  <c r="F491" i="48"/>
  <c r="F492" i="48"/>
  <c r="F493" i="48"/>
  <c r="F494" i="48"/>
  <c r="F495" i="48"/>
  <c r="F496" i="48"/>
  <c r="F497" i="48"/>
  <c r="F498" i="48"/>
  <c r="F499" i="48"/>
  <c r="F500" i="48"/>
  <c r="F501" i="48"/>
  <c r="F502" i="48"/>
  <c r="F503" i="48"/>
  <c r="F504" i="48"/>
  <c r="F505" i="48"/>
  <c r="F506" i="48"/>
  <c r="F507" i="48"/>
  <c r="F508" i="48"/>
  <c r="F509" i="48"/>
  <c r="F510" i="48"/>
  <c r="F511" i="48"/>
  <c r="F512" i="48"/>
  <c r="F513" i="48"/>
  <c r="F514" i="48"/>
  <c r="F515" i="48"/>
  <c r="F516" i="48"/>
  <c r="F517" i="48"/>
  <c r="F518" i="48"/>
  <c r="F519" i="48"/>
  <c r="F520" i="48"/>
  <c r="F521" i="48"/>
  <c r="F522" i="48"/>
  <c r="F523" i="48"/>
  <c r="F524" i="48"/>
  <c r="F525" i="48"/>
  <c r="F526" i="48"/>
  <c r="F527" i="48"/>
  <c r="F528" i="48"/>
  <c r="F529" i="48"/>
  <c r="F530" i="48"/>
  <c r="F531" i="48"/>
  <c r="F532" i="48"/>
  <c r="F533" i="48"/>
  <c r="F534" i="48"/>
  <c r="F535" i="48"/>
  <c r="F536" i="48"/>
  <c r="F537" i="48"/>
  <c r="F538" i="48"/>
  <c r="F539" i="48"/>
  <c r="F540" i="48"/>
  <c r="F541" i="48"/>
  <c r="F542" i="48"/>
  <c r="F543" i="48"/>
  <c r="F544" i="48"/>
  <c r="F545" i="48"/>
  <c r="F546" i="48"/>
  <c r="F547" i="48"/>
  <c r="F548" i="48"/>
  <c r="F549" i="48"/>
  <c r="F550" i="48"/>
  <c r="F551" i="48"/>
  <c r="F552" i="48"/>
  <c r="F553" i="48"/>
  <c r="F554" i="48"/>
  <c r="F555" i="48"/>
  <c r="F556" i="48"/>
  <c r="F557" i="48"/>
  <c r="F558" i="48"/>
  <c r="F559" i="48"/>
  <c r="F560" i="48"/>
  <c r="F561" i="48"/>
  <c r="F562" i="48"/>
  <c r="F563" i="48"/>
  <c r="F564" i="48"/>
  <c r="F565" i="48"/>
  <c r="F566" i="48"/>
  <c r="F567" i="48"/>
  <c r="F568" i="48"/>
  <c r="F569" i="48"/>
  <c r="F570" i="48"/>
  <c r="F571" i="48"/>
  <c r="F572" i="48"/>
  <c r="F573" i="48"/>
  <c r="F574" i="48"/>
  <c r="F575" i="48"/>
  <c r="F576" i="48"/>
  <c r="F577" i="48"/>
  <c r="F578" i="48"/>
  <c r="F579" i="48"/>
  <c r="F580" i="48"/>
  <c r="F581" i="48"/>
  <c r="F582" i="48"/>
  <c r="F583" i="48"/>
  <c r="F584" i="48"/>
  <c r="F585" i="48"/>
  <c r="F586" i="48"/>
  <c r="F587" i="48"/>
  <c r="F588" i="48"/>
  <c r="F589" i="48"/>
  <c r="F590" i="48"/>
  <c r="F591" i="48"/>
  <c r="F592" i="48"/>
  <c r="F593" i="48"/>
  <c r="F594" i="48"/>
  <c r="F595" i="48"/>
  <c r="F596" i="48"/>
  <c r="F597" i="48"/>
  <c r="F598" i="48"/>
  <c r="F599" i="48"/>
  <c r="F600" i="48"/>
  <c r="F601" i="48"/>
  <c r="F602" i="48"/>
  <c r="F603" i="48"/>
  <c r="F604" i="48"/>
  <c r="F605" i="48"/>
  <c r="F606" i="48"/>
  <c r="F607" i="48"/>
  <c r="F608" i="48"/>
  <c r="F609" i="48"/>
  <c r="F610" i="48"/>
  <c r="F611" i="48"/>
  <c r="F612" i="48"/>
  <c r="F613" i="48"/>
  <c r="F614" i="48"/>
  <c r="F615" i="48"/>
  <c r="F616" i="48"/>
  <c r="F617" i="48"/>
  <c r="F618" i="48"/>
  <c r="F619" i="48"/>
  <c r="F620" i="48"/>
  <c r="F621" i="48"/>
  <c r="F622" i="48"/>
  <c r="F623" i="48"/>
  <c r="F624" i="48"/>
  <c r="F625" i="48"/>
  <c r="F626" i="48"/>
  <c r="F627" i="48"/>
  <c r="F628" i="48"/>
  <c r="F629" i="48"/>
  <c r="F630" i="48"/>
  <c r="F631" i="48"/>
  <c r="F632" i="48"/>
  <c r="F633" i="48"/>
  <c r="F634" i="48"/>
  <c r="F635" i="48"/>
  <c r="F636" i="48"/>
  <c r="F637" i="48"/>
  <c r="F638" i="48"/>
  <c r="F639" i="48"/>
  <c r="F640" i="48"/>
  <c r="F641" i="48"/>
  <c r="F642" i="48"/>
  <c r="F643" i="48"/>
  <c r="F644" i="48"/>
  <c r="F645" i="48"/>
  <c r="F646" i="48"/>
  <c r="F647" i="48"/>
  <c r="F648" i="48"/>
  <c r="F649" i="48"/>
  <c r="F650" i="48"/>
  <c r="F651" i="48"/>
  <c r="F652" i="48"/>
  <c r="F653" i="48"/>
  <c r="F654" i="48"/>
  <c r="F655" i="48"/>
  <c r="F656" i="48"/>
  <c r="F657" i="48"/>
  <c r="F658" i="48"/>
  <c r="F659" i="48"/>
  <c r="F660" i="48"/>
  <c r="F661" i="48"/>
  <c r="F662" i="48"/>
  <c r="F663" i="48"/>
  <c r="F664" i="48"/>
  <c r="F665" i="48"/>
  <c r="F666" i="48"/>
  <c r="F667" i="48"/>
  <c r="F668" i="48"/>
  <c r="F669" i="48"/>
  <c r="F670" i="48"/>
  <c r="F671" i="48"/>
  <c r="F672" i="48"/>
  <c r="F673" i="48"/>
  <c r="F674" i="48"/>
  <c r="F675" i="48"/>
  <c r="F676" i="48"/>
  <c r="F677" i="48"/>
  <c r="F678" i="48"/>
  <c r="F679" i="48"/>
  <c r="F680" i="48"/>
  <c r="F681" i="48"/>
  <c r="F682" i="48"/>
  <c r="F683" i="48"/>
  <c r="F684" i="48"/>
  <c r="F685" i="48"/>
  <c r="F686" i="48"/>
  <c r="F687" i="48"/>
  <c r="F688" i="48"/>
  <c r="F689" i="48"/>
  <c r="F690" i="48"/>
  <c r="F691" i="48"/>
  <c r="F692" i="48"/>
  <c r="F693" i="48"/>
  <c r="F694" i="48"/>
  <c r="F695" i="48"/>
  <c r="F696" i="48"/>
  <c r="F697" i="48"/>
  <c r="F698" i="48"/>
  <c r="F699" i="48"/>
  <c r="F700" i="48"/>
  <c r="F701" i="48"/>
  <c r="F702" i="48"/>
  <c r="F703" i="48"/>
  <c r="F704" i="48"/>
  <c r="F705" i="48"/>
  <c r="F706" i="48"/>
  <c r="F707" i="48"/>
  <c r="F708" i="48"/>
  <c r="F709" i="48"/>
  <c r="F710" i="48"/>
  <c r="F711" i="48"/>
  <c r="F712" i="48"/>
  <c r="F713" i="48"/>
  <c r="F714" i="48"/>
  <c r="F715" i="48"/>
  <c r="F716" i="48"/>
  <c r="F717" i="48"/>
  <c r="F718" i="48"/>
  <c r="F719" i="48"/>
  <c r="F720" i="48"/>
  <c r="F721" i="48"/>
  <c r="F722" i="48"/>
  <c r="F723" i="48"/>
  <c r="F724" i="48"/>
  <c r="F725" i="48"/>
  <c r="F726" i="48"/>
  <c r="F727" i="48"/>
  <c r="F728" i="48"/>
  <c r="F729" i="48"/>
  <c r="F730" i="48"/>
  <c r="F731" i="48"/>
  <c r="F732" i="48"/>
  <c r="F733" i="48"/>
  <c r="F734" i="48"/>
  <c r="F735" i="48"/>
  <c r="F736" i="48"/>
  <c r="F737" i="48"/>
  <c r="F738" i="48"/>
  <c r="F739" i="48"/>
  <c r="F740" i="48"/>
  <c r="F741" i="48"/>
  <c r="F742" i="48"/>
  <c r="F743" i="48"/>
  <c r="F744" i="48"/>
  <c r="F745" i="48"/>
  <c r="F746" i="48"/>
  <c r="F747" i="48"/>
  <c r="F748" i="48"/>
  <c r="F749" i="48"/>
  <c r="F750" i="48"/>
  <c r="F751" i="48"/>
  <c r="F752" i="48"/>
  <c r="F753" i="48"/>
  <c r="F754" i="48"/>
  <c r="F755" i="48"/>
  <c r="F756" i="48"/>
  <c r="F757" i="48"/>
  <c r="F758" i="48"/>
  <c r="F759" i="48"/>
  <c r="F760" i="48"/>
  <c r="F761" i="48"/>
  <c r="F762" i="48"/>
  <c r="F763" i="48"/>
  <c r="F764" i="48"/>
  <c r="F765" i="48"/>
  <c r="F766" i="48"/>
  <c r="F767" i="48"/>
  <c r="F768" i="48"/>
  <c r="F769" i="48"/>
  <c r="F770" i="48"/>
  <c r="F771" i="48"/>
  <c r="F772" i="48"/>
  <c r="F773" i="48"/>
  <c r="F774" i="48"/>
  <c r="F775" i="48"/>
  <c r="F776" i="48"/>
  <c r="F777" i="48"/>
  <c r="F778" i="48"/>
  <c r="F779" i="48"/>
  <c r="F780" i="48"/>
  <c r="F781" i="48"/>
  <c r="F782" i="48"/>
  <c r="F783" i="48"/>
  <c r="F784" i="48"/>
  <c r="F785" i="48"/>
  <c r="F786" i="48"/>
  <c r="F787" i="48"/>
  <c r="F788" i="48"/>
  <c r="F789" i="48"/>
  <c r="F790" i="48"/>
  <c r="F791" i="48"/>
  <c r="F792" i="48"/>
  <c r="F793" i="48"/>
  <c r="F794" i="48"/>
  <c r="F795" i="48"/>
  <c r="F796" i="48"/>
  <c r="F797" i="48"/>
  <c r="F798" i="48"/>
  <c r="F799" i="48"/>
  <c r="F800" i="48"/>
  <c r="F801" i="48"/>
  <c r="F802" i="48"/>
  <c r="F803" i="48"/>
  <c r="F804" i="48"/>
  <c r="F805" i="48"/>
  <c r="F806" i="48"/>
  <c r="F807" i="48"/>
  <c r="F808" i="48"/>
  <c r="F809" i="48"/>
  <c r="F810" i="48"/>
  <c r="F811" i="48"/>
  <c r="F812" i="48"/>
  <c r="F813" i="48"/>
  <c r="F814" i="48"/>
  <c r="F815" i="48"/>
  <c r="F816" i="48"/>
  <c r="F817" i="48"/>
  <c r="F818" i="48"/>
  <c r="F819" i="48"/>
  <c r="F820" i="48"/>
  <c r="F821" i="48"/>
  <c r="F822" i="48"/>
  <c r="F823" i="48"/>
  <c r="F824" i="48"/>
  <c r="F825" i="48"/>
  <c r="F826" i="48"/>
  <c r="F827" i="48"/>
  <c r="F828" i="48"/>
  <c r="F829" i="48"/>
  <c r="F830" i="48"/>
  <c r="F831" i="48"/>
  <c r="F832" i="48"/>
  <c r="F833" i="48"/>
  <c r="F834" i="48"/>
  <c r="F835" i="48"/>
  <c r="F836" i="48"/>
  <c r="F837" i="48"/>
  <c r="F838" i="48"/>
  <c r="F839" i="48"/>
  <c r="F840" i="48"/>
  <c r="F841" i="48"/>
  <c r="F842" i="48"/>
  <c r="F843" i="48"/>
  <c r="F844" i="48"/>
  <c r="F845" i="48"/>
  <c r="F846" i="48"/>
  <c r="F847" i="48"/>
  <c r="F848" i="48"/>
  <c r="F849" i="48"/>
  <c r="F850" i="48"/>
  <c r="F851" i="48"/>
  <c r="F852" i="48"/>
  <c r="F853" i="48"/>
  <c r="F854" i="48"/>
  <c r="F855" i="48"/>
  <c r="F856" i="48"/>
  <c r="F857" i="48"/>
  <c r="F858" i="48"/>
  <c r="F859" i="48"/>
  <c r="F860" i="48"/>
  <c r="F861" i="48"/>
  <c r="F862" i="48"/>
  <c r="F863" i="48"/>
  <c r="F864" i="48"/>
  <c r="F865" i="48"/>
  <c r="F866" i="48"/>
  <c r="F867" i="48"/>
  <c r="F868" i="48"/>
  <c r="F869" i="48"/>
  <c r="F870" i="48"/>
  <c r="F871" i="48"/>
  <c r="F872" i="48"/>
  <c r="F873" i="48"/>
  <c r="F874" i="48"/>
  <c r="F875" i="48"/>
  <c r="F876" i="48"/>
  <c r="F877" i="48"/>
  <c r="F878" i="48"/>
  <c r="F879" i="48"/>
  <c r="F880" i="48"/>
  <c r="F881" i="48"/>
  <c r="F882" i="48"/>
  <c r="F883" i="48"/>
  <c r="F884" i="48"/>
  <c r="F885" i="48"/>
  <c r="F886" i="48"/>
  <c r="F887" i="48"/>
  <c r="F888" i="48"/>
  <c r="F889" i="48"/>
  <c r="F890" i="48"/>
  <c r="F891" i="48"/>
  <c r="F892" i="48"/>
  <c r="F893" i="48"/>
  <c r="F894" i="48"/>
  <c r="F895" i="48"/>
  <c r="F896" i="48"/>
  <c r="F897" i="48"/>
  <c r="F898" i="48"/>
  <c r="F899" i="48"/>
  <c r="F900" i="48"/>
  <c r="F901" i="48"/>
  <c r="F902" i="48"/>
  <c r="F903" i="48"/>
  <c r="F904" i="48"/>
  <c r="F905" i="48"/>
  <c r="F906" i="48"/>
  <c r="F907" i="48"/>
  <c r="F908" i="48"/>
  <c r="F909" i="48"/>
  <c r="F910" i="48"/>
  <c r="F911" i="48"/>
  <c r="F912" i="48"/>
  <c r="F913" i="48"/>
  <c r="F914" i="48"/>
  <c r="F915" i="48"/>
  <c r="F916" i="48"/>
  <c r="F917" i="48"/>
  <c r="F918" i="48"/>
  <c r="F919" i="48"/>
  <c r="F920" i="48"/>
  <c r="F921" i="48"/>
  <c r="F922" i="48"/>
  <c r="F923" i="48"/>
  <c r="F924" i="48"/>
  <c r="F925" i="48"/>
  <c r="F926" i="48"/>
  <c r="F927" i="48"/>
  <c r="F928" i="48"/>
  <c r="F929" i="48"/>
  <c r="F930" i="48"/>
  <c r="F931" i="48"/>
  <c r="F932" i="48"/>
  <c r="F933" i="48"/>
  <c r="F934" i="48"/>
  <c r="F935" i="48"/>
  <c r="F936" i="48"/>
  <c r="F937" i="48"/>
  <c r="F938" i="48"/>
  <c r="F939" i="48"/>
  <c r="F2" i="48"/>
  <c r="E150" i="48"/>
  <c r="E151" i="48"/>
  <c r="E152" i="48"/>
  <c r="E153" i="48"/>
  <c r="E154" i="48"/>
  <c r="E155" i="48"/>
  <c r="E156" i="48"/>
  <c r="E157" i="48"/>
  <c r="E158" i="48"/>
  <c r="E159" i="48"/>
  <c r="E160" i="48"/>
  <c r="E161" i="48"/>
  <c r="E162" i="48"/>
  <c r="E163" i="48"/>
  <c r="E164" i="48"/>
  <c r="E165" i="48"/>
  <c r="E166" i="48"/>
  <c r="E167" i="48"/>
  <c r="E168" i="48"/>
  <c r="E169" i="48"/>
  <c r="E170" i="48"/>
  <c r="E171" i="48"/>
  <c r="E172" i="48"/>
  <c r="E173" i="48"/>
  <c r="E174" i="48"/>
  <c r="E175" i="48"/>
  <c r="E176" i="48"/>
  <c r="E177" i="48"/>
  <c r="E178" i="48"/>
  <c r="E179" i="48"/>
  <c r="E180" i="48"/>
  <c r="E181" i="48"/>
  <c r="E182" i="48"/>
  <c r="E183" i="48"/>
  <c r="E184" i="48"/>
  <c r="E185" i="48"/>
  <c r="E186" i="48"/>
  <c r="E187" i="48"/>
  <c r="E188" i="48"/>
  <c r="E189" i="48"/>
  <c r="E190" i="48"/>
  <c r="E191" i="48"/>
  <c r="E192" i="48"/>
  <c r="E193" i="48"/>
  <c r="E194" i="48"/>
  <c r="E195" i="48"/>
  <c r="E196" i="48"/>
  <c r="E197" i="48"/>
  <c r="E198" i="48"/>
  <c r="E199" i="48"/>
  <c r="E200" i="48"/>
  <c r="E201" i="48"/>
  <c r="E202" i="48"/>
  <c r="E203" i="48"/>
  <c r="E204" i="48"/>
  <c r="E205" i="48"/>
  <c r="E206" i="48"/>
  <c r="E207" i="48"/>
  <c r="E208" i="48"/>
  <c r="E209" i="48"/>
  <c r="E210" i="48"/>
  <c r="E211" i="48"/>
  <c r="E212" i="48"/>
  <c r="E213" i="48"/>
  <c r="E214" i="48"/>
  <c r="E215" i="48"/>
  <c r="E216" i="48"/>
  <c r="E217" i="48"/>
  <c r="E218" i="48"/>
  <c r="E219" i="48"/>
  <c r="E220" i="48"/>
  <c r="E221" i="48"/>
  <c r="E222" i="48"/>
  <c r="E223" i="48"/>
  <c r="E224" i="48"/>
  <c r="E225" i="48"/>
  <c r="E226" i="48"/>
  <c r="E227" i="48"/>
  <c r="E228" i="48"/>
  <c r="E229" i="48"/>
  <c r="E230" i="48"/>
  <c r="E231" i="48"/>
  <c r="E232" i="48"/>
  <c r="E233" i="48"/>
  <c r="E234" i="48"/>
  <c r="E235" i="48"/>
  <c r="E236" i="48"/>
  <c r="E237" i="48"/>
  <c r="E238" i="48"/>
  <c r="E239" i="48"/>
  <c r="E240" i="48"/>
  <c r="E241" i="48"/>
  <c r="E242" i="48"/>
  <c r="E243" i="48"/>
  <c r="E244" i="48"/>
  <c r="E245" i="48"/>
  <c r="E246" i="48"/>
  <c r="E247" i="48"/>
  <c r="E248" i="48"/>
  <c r="E249" i="48"/>
  <c r="E250" i="48"/>
  <c r="E251" i="48"/>
  <c r="E252" i="48"/>
  <c r="E253" i="48"/>
  <c r="E254" i="48"/>
  <c r="E255" i="48"/>
  <c r="E256" i="48"/>
  <c r="E257" i="48"/>
  <c r="E258" i="48"/>
  <c r="E259" i="48"/>
  <c r="E260" i="48"/>
  <c r="E261" i="48"/>
  <c r="E262" i="48"/>
  <c r="E263" i="48"/>
  <c r="E264" i="48"/>
  <c r="E265" i="48"/>
  <c r="E266" i="48"/>
  <c r="E267" i="48"/>
  <c r="E268" i="48"/>
  <c r="E269" i="48"/>
  <c r="E270" i="48"/>
  <c r="E271" i="48"/>
  <c r="E272" i="48"/>
  <c r="E273" i="48"/>
  <c r="E274" i="48"/>
  <c r="E275" i="48"/>
  <c r="E276" i="48"/>
  <c r="E277" i="48"/>
  <c r="E278" i="48"/>
  <c r="E279" i="48"/>
  <c r="E280" i="48"/>
  <c r="E281" i="48"/>
  <c r="E282" i="48"/>
  <c r="E283" i="48"/>
  <c r="E284" i="48"/>
  <c r="E285" i="48"/>
  <c r="E286" i="48"/>
  <c r="E287" i="48"/>
  <c r="E288" i="48"/>
  <c r="E289" i="48"/>
  <c r="E290" i="48"/>
  <c r="E291" i="48"/>
  <c r="E292" i="48"/>
  <c r="E293" i="48"/>
  <c r="E294" i="48"/>
  <c r="E295" i="48"/>
  <c r="E296" i="48"/>
  <c r="E297" i="48"/>
  <c r="E298" i="48"/>
  <c r="E299" i="48"/>
  <c r="E300" i="48"/>
  <c r="E301" i="48"/>
  <c r="E302" i="48"/>
  <c r="E303" i="48"/>
  <c r="E304" i="48"/>
  <c r="E305" i="48"/>
  <c r="E306" i="48"/>
  <c r="E307" i="48"/>
  <c r="E308" i="48"/>
  <c r="E309" i="48"/>
  <c r="E310" i="48"/>
  <c r="E311" i="48"/>
  <c r="E312" i="48"/>
  <c r="E313" i="48"/>
  <c r="E314" i="48"/>
  <c r="E315" i="48"/>
  <c r="E316" i="48"/>
  <c r="E317" i="48"/>
  <c r="E318" i="48"/>
  <c r="E319" i="48"/>
  <c r="E320" i="48"/>
  <c r="E321" i="48"/>
  <c r="E322" i="48"/>
  <c r="E323" i="48"/>
  <c r="E324" i="48"/>
  <c r="E325" i="48"/>
  <c r="E326" i="48"/>
  <c r="E327" i="48"/>
  <c r="E328" i="48"/>
  <c r="E329" i="48"/>
  <c r="E330" i="48"/>
  <c r="E331" i="48"/>
  <c r="E332" i="48"/>
  <c r="E333" i="48"/>
  <c r="E334" i="48"/>
  <c r="E335" i="48"/>
  <c r="E336" i="48"/>
  <c r="E337" i="48"/>
  <c r="E338" i="48"/>
  <c r="E339" i="48"/>
  <c r="E340" i="48"/>
  <c r="E341" i="48"/>
  <c r="E342" i="48"/>
  <c r="E343" i="48"/>
  <c r="E344" i="48"/>
  <c r="E345" i="48"/>
  <c r="E346" i="48"/>
  <c r="E347" i="48"/>
  <c r="E348" i="48"/>
  <c r="E349" i="48"/>
  <c r="E350" i="48"/>
  <c r="E351" i="48"/>
  <c r="E352" i="48"/>
  <c r="E353" i="48"/>
  <c r="E354" i="48"/>
  <c r="E355" i="48"/>
  <c r="E356" i="48"/>
  <c r="E357" i="48"/>
  <c r="E358" i="48"/>
  <c r="E359" i="48"/>
  <c r="E360" i="48"/>
  <c r="E361" i="48"/>
  <c r="E362" i="48"/>
  <c r="E363" i="48"/>
  <c r="E364" i="48"/>
  <c r="E365" i="48"/>
  <c r="E366" i="48"/>
  <c r="E367" i="48"/>
  <c r="E368" i="48"/>
  <c r="E369" i="48"/>
  <c r="E370" i="48"/>
  <c r="E371" i="48"/>
  <c r="E372" i="48"/>
  <c r="E373" i="48"/>
  <c r="E374" i="48"/>
  <c r="E375" i="48"/>
  <c r="E376" i="48"/>
  <c r="E377" i="48"/>
  <c r="E378" i="48"/>
  <c r="E379" i="48"/>
  <c r="E380" i="48"/>
  <c r="E381" i="48"/>
  <c r="E382" i="48"/>
  <c r="E383" i="48"/>
  <c r="E384" i="48"/>
  <c r="E385" i="48"/>
  <c r="E386" i="48"/>
  <c r="E387" i="48"/>
  <c r="E388" i="48"/>
  <c r="E389" i="48"/>
  <c r="E390" i="48"/>
  <c r="E391" i="48"/>
  <c r="E392" i="48"/>
  <c r="E393" i="48"/>
  <c r="E394" i="48"/>
  <c r="E395" i="48"/>
  <c r="E396" i="48"/>
  <c r="E397" i="48"/>
  <c r="E398" i="48"/>
  <c r="E399" i="48"/>
  <c r="E400" i="48"/>
  <c r="E401" i="48"/>
  <c r="E402" i="48"/>
  <c r="E403" i="48"/>
  <c r="E404" i="48"/>
  <c r="E405" i="48"/>
  <c r="E406" i="48"/>
  <c r="E407" i="48"/>
  <c r="E408" i="48"/>
  <c r="E409" i="48"/>
  <c r="E410" i="48"/>
  <c r="E411" i="48"/>
  <c r="E412" i="48"/>
  <c r="E413" i="48"/>
  <c r="E414" i="48"/>
  <c r="E415" i="48"/>
  <c r="E416" i="48"/>
  <c r="E417" i="48"/>
  <c r="E418" i="48"/>
  <c r="E419" i="48"/>
  <c r="E420" i="48"/>
  <c r="E421" i="48"/>
  <c r="E422" i="48"/>
  <c r="E423" i="48"/>
  <c r="E424" i="48"/>
  <c r="E425" i="48"/>
  <c r="E426" i="48"/>
  <c r="E427" i="48"/>
  <c r="E428" i="48"/>
  <c r="E429" i="48"/>
  <c r="E430" i="48"/>
  <c r="E431" i="48"/>
  <c r="E432" i="48"/>
  <c r="E433" i="48"/>
  <c r="E434" i="48"/>
  <c r="E435" i="48"/>
  <c r="E436" i="48"/>
  <c r="E437" i="48"/>
  <c r="E438" i="48"/>
  <c r="E439" i="48"/>
  <c r="E440" i="48"/>
  <c r="E441" i="48"/>
  <c r="E442" i="48"/>
  <c r="E443" i="48"/>
  <c r="E444" i="48"/>
  <c r="E445" i="48"/>
  <c r="E446" i="48"/>
  <c r="E447" i="48"/>
  <c r="E448" i="48"/>
  <c r="E449" i="48"/>
  <c r="E450" i="48"/>
  <c r="E451" i="48"/>
  <c r="E452" i="48"/>
  <c r="E453" i="48"/>
  <c r="E454" i="48"/>
  <c r="E455" i="48"/>
  <c r="E456" i="48"/>
  <c r="E457" i="48"/>
  <c r="E458" i="48"/>
  <c r="E459" i="48"/>
  <c r="E460" i="48"/>
  <c r="E461" i="48"/>
  <c r="E462" i="48"/>
  <c r="E463" i="48"/>
  <c r="E464" i="48"/>
  <c r="E465" i="48"/>
  <c r="E466" i="48"/>
  <c r="E467" i="48"/>
  <c r="E468" i="48"/>
  <c r="E469" i="48"/>
  <c r="E470" i="48"/>
  <c r="E471" i="48"/>
  <c r="E472" i="48"/>
  <c r="E473" i="48"/>
  <c r="E474" i="48"/>
  <c r="E475" i="48"/>
  <c r="E476" i="48"/>
  <c r="E477" i="48"/>
  <c r="E478" i="48"/>
  <c r="E479" i="48"/>
  <c r="E480" i="48"/>
  <c r="E481" i="48"/>
  <c r="E482" i="48"/>
  <c r="E483" i="48"/>
  <c r="E484" i="48"/>
  <c r="E485" i="48"/>
  <c r="E486" i="48"/>
  <c r="E487" i="48"/>
  <c r="E488" i="48"/>
  <c r="E489" i="48"/>
  <c r="E490" i="48"/>
  <c r="E491" i="48"/>
  <c r="E492" i="48"/>
  <c r="E493" i="48"/>
  <c r="E494" i="48"/>
  <c r="E495" i="48"/>
  <c r="E496" i="48"/>
  <c r="E497" i="48"/>
  <c r="E498" i="48"/>
  <c r="E499" i="48"/>
  <c r="E500" i="48"/>
  <c r="E501" i="48"/>
  <c r="E502" i="48"/>
  <c r="E503" i="48"/>
  <c r="E504" i="48"/>
  <c r="E505" i="48"/>
  <c r="E506" i="48"/>
  <c r="E507" i="48"/>
  <c r="E508" i="48"/>
  <c r="E509" i="48"/>
  <c r="E510" i="48"/>
  <c r="E511" i="48"/>
  <c r="E512" i="48"/>
  <c r="E513" i="48"/>
  <c r="E514" i="48"/>
  <c r="E515" i="48"/>
  <c r="E516" i="48"/>
  <c r="E517" i="48"/>
  <c r="E518" i="48"/>
  <c r="E519" i="48"/>
  <c r="E520" i="48"/>
  <c r="E521" i="48"/>
  <c r="E522" i="48"/>
  <c r="E523" i="48"/>
  <c r="E524" i="48"/>
  <c r="E525" i="48"/>
  <c r="E526" i="48"/>
  <c r="E527" i="48"/>
  <c r="E528" i="48"/>
  <c r="E529" i="48"/>
  <c r="E530" i="48"/>
  <c r="E531" i="48"/>
  <c r="E532" i="48"/>
  <c r="E533" i="48"/>
  <c r="E534" i="48"/>
  <c r="E535" i="48"/>
  <c r="E536" i="48"/>
  <c r="E537" i="48"/>
  <c r="E538" i="48"/>
  <c r="E539" i="48"/>
  <c r="E540" i="48"/>
  <c r="E541" i="48"/>
  <c r="E542" i="48"/>
  <c r="E543" i="48"/>
  <c r="E544" i="48"/>
  <c r="E545" i="48"/>
  <c r="E546" i="48"/>
  <c r="E547" i="48"/>
  <c r="E548" i="48"/>
  <c r="E549" i="48"/>
  <c r="E550" i="48"/>
  <c r="E551" i="48"/>
  <c r="E552" i="48"/>
  <c r="E553" i="48"/>
  <c r="E554" i="48"/>
  <c r="E555" i="48"/>
  <c r="E556" i="48"/>
  <c r="E557" i="48"/>
  <c r="E558" i="48"/>
  <c r="E559" i="48"/>
  <c r="E560" i="48"/>
  <c r="E561" i="48"/>
  <c r="E562" i="48"/>
  <c r="E563" i="48"/>
  <c r="E564" i="48"/>
  <c r="E565" i="48"/>
  <c r="E566" i="48"/>
  <c r="E567" i="48"/>
  <c r="E568" i="48"/>
  <c r="E569" i="48"/>
  <c r="E570" i="48"/>
  <c r="E571" i="48"/>
  <c r="E572" i="48"/>
  <c r="E573" i="48"/>
  <c r="E574" i="48"/>
  <c r="E575" i="48"/>
  <c r="E576" i="48"/>
  <c r="E577" i="48"/>
  <c r="E578" i="48"/>
  <c r="E579" i="48"/>
  <c r="E580" i="48"/>
  <c r="E581" i="48"/>
  <c r="E582" i="48"/>
  <c r="E583" i="48"/>
  <c r="E584" i="48"/>
  <c r="E585" i="48"/>
  <c r="E586" i="48"/>
  <c r="E587" i="48"/>
  <c r="E588" i="48"/>
  <c r="E589" i="48"/>
  <c r="E590" i="48"/>
  <c r="E591" i="48"/>
  <c r="E592" i="48"/>
  <c r="E593" i="48"/>
  <c r="E594" i="48"/>
  <c r="E595" i="48"/>
  <c r="E596" i="48"/>
  <c r="E597" i="48"/>
  <c r="E598" i="48"/>
  <c r="E599" i="48"/>
  <c r="E600" i="48"/>
  <c r="E601" i="48"/>
  <c r="E602" i="48"/>
  <c r="E603" i="48"/>
  <c r="E604" i="48"/>
  <c r="E605" i="48"/>
  <c r="E606" i="48"/>
  <c r="E607" i="48"/>
  <c r="E608" i="48"/>
  <c r="E609" i="48"/>
  <c r="E610" i="48"/>
  <c r="E611" i="48"/>
  <c r="E612" i="48"/>
  <c r="E613" i="48"/>
  <c r="E614" i="48"/>
  <c r="E615" i="48"/>
  <c r="E616" i="48"/>
  <c r="E617" i="48"/>
  <c r="E618" i="48"/>
  <c r="E619" i="48"/>
  <c r="E620" i="48"/>
  <c r="E621" i="48"/>
  <c r="E622" i="48"/>
  <c r="E623" i="48"/>
  <c r="E624" i="48"/>
  <c r="E625" i="48"/>
  <c r="E626" i="48"/>
  <c r="E627" i="48"/>
  <c r="E628" i="48"/>
  <c r="E629" i="48"/>
  <c r="E630" i="48"/>
  <c r="E631" i="48"/>
  <c r="E632" i="48"/>
  <c r="E633" i="48"/>
  <c r="E634" i="48"/>
  <c r="E635" i="48"/>
  <c r="E636" i="48"/>
  <c r="E637" i="48"/>
  <c r="E638" i="48"/>
  <c r="E639" i="48"/>
  <c r="E640" i="48"/>
  <c r="E641" i="48"/>
  <c r="E642" i="48"/>
  <c r="E643" i="48"/>
  <c r="E644" i="48"/>
  <c r="E645" i="48"/>
  <c r="E646" i="48"/>
  <c r="E647" i="48"/>
  <c r="E648" i="48"/>
  <c r="E649" i="48"/>
  <c r="E650" i="48"/>
  <c r="E651" i="48"/>
  <c r="E652" i="48"/>
  <c r="E653" i="48"/>
  <c r="E654" i="48"/>
  <c r="E655" i="48"/>
  <c r="E656" i="48"/>
  <c r="E657" i="48"/>
  <c r="E658" i="48"/>
  <c r="E659" i="48"/>
  <c r="E660" i="48"/>
  <c r="E661" i="48"/>
  <c r="E662" i="48"/>
  <c r="E663" i="48"/>
  <c r="E664" i="48"/>
  <c r="E665" i="48"/>
  <c r="E666" i="48"/>
  <c r="E667" i="48"/>
  <c r="E668" i="48"/>
  <c r="E669" i="48"/>
  <c r="E670" i="48"/>
  <c r="E671" i="48"/>
  <c r="E672" i="48"/>
  <c r="E673" i="48"/>
  <c r="E674" i="48"/>
  <c r="E675" i="48"/>
  <c r="E676" i="48"/>
  <c r="E677" i="48"/>
  <c r="E678" i="48"/>
  <c r="E679" i="48"/>
  <c r="E680" i="48"/>
  <c r="E681" i="48"/>
  <c r="E682" i="48"/>
  <c r="E683" i="48"/>
  <c r="E684" i="48"/>
  <c r="E685" i="48"/>
  <c r="E686" i="48"/>
  <c r="E687" i="48"/>
  <c r="E688" i="48"/>
  <c r="E689" i="48"/>
  <c r="E690" i="48"/>
  <c r="E691" i="48"/>
  <c r="E692" i="48"/>
  <c r="E693" i="48"/>
  <c r="E694" i="48"/>
  <c r="E695" i="48"/>
  <c r="E696" i="48"/>
  <c r="E697" i="48"/>
  <c r="E698" i="48"/>
  <c r="E699" i="48"/>
  <c r="E700" i="48"/>
  <c r="E701" i="48"/>
  <c r="E702" i="48"/>
  <c r="E703" i="48"/>
  <c r="E704" i="48"/>
  <c r="E705" i="48"/>
  <c r="E706" i="48"/>
  <c r="E707" i="48"/>
  <c r="E708" i="48"/>
  <c r="E709" i="48"/>
  <c r="E710" i="48"/>
  <c r="E711" i="48"/>
  <c r="E712" i="48"/>
  <c r="E713" i="48"/>
  <c r="E714" i="48"/>
  <c r="E715" i="48"/>
  <c r="E716" i="48"/>
  <c r="E717" i="48"/>
  <c r="E718" i="48"/>
  <c r="E719" i="48"/>
  <c r="E720" i="48"/>
  <c r="E721" i="48"/>
  <c r="E722" i="48"/>
  <c r="E723" i="48"/>
  <c r="E724" i="48"/>
  <c r="E725" i="48"/>
  <c r="E726" i="48"/>
  <c r="E727" i="48"/>
  <c r="E728" i="48"/>
  <c r="E729" i="48"/>
  <c r="E730" i="48"/>
  <c r="E731" i="48"/>
  <c r="E732" i="48"/>
  <c r="E733" i="48"/>
  <c r="E734" i="48"/>
  <c r="E735" i="48"/>
  <c r="E736" i="48"/>
  <c r="E737" i="48"/>
  <c r="E738" i="48"/>
  <c r="E739" i="48"/>
  <c r="E740" i="48"/>
  <c r="E741" i="48"/>
  <c r="E742" i="48"/>
  <c r="E743" i="48"/>
  <c r="E744" i="48"/>
  <c r="E745" i="48"/>
  <c r="E746" i="48"/>
  <c r="E747" i="48"/>
  <c r="E748" i="48"/>
  <c r="E749" i="48"/>
  <c r="E750" i="48"/>
  <c r="E751" i="48"/>
  <c r="E752" i="48"/>
  <c r="E753" i="48"/>
  <c r="E754" i="48"/>
  <c r="E755" i="48"/>
  <c r="E756" i="48"/>
  <c r="E757" i="48"/>
  <c r="E758" i="48"/>
  <c r="E759" i="48"/>
  <c r="E760" i="48"/>
  <c r="E761" i="48"/>
  <c r="E762" i="48"/>
  <c r="E763" i="48"/>
  <c r="E764" i="48"/>
  <c r="E765" i="48"/>
  <c r="E766" i="48"/>
  <c r="E767" i="48"/>
  <c r="E768" i="48"/>
  <c r="E769" i="48"/>
  <c r="E770" i="48"/>
  <c r="E771" i="48"/>
  <c r="E772" i="48"/>
  <c r="E773" i="48"/>
  <c r="E774" i="48"/>
  <c r="E775" i="48"/>
  <c r="E776" i="48"/>
  <c r="E777" i="48"/>
  <c r="E778" i="48"/>
  <c r="E779" i="48"/>
  <c r="E780" i="48"/>
  <c r="E781" i="48"/>
  <c r="E782" i="48"/>
  <c r="E783" i="48"/>
  <c r="E784" i="48"/>
  <c r="E785" i="48"/>
  <c r="E786" i="48"/>
  <c r="E787" i="48"/>
  <c r="E788" i="48"/>
  <c r="E789" i="48"/>
  <c r="E790" i="48"/>
  <c r="E791" i="48"/>
  <c r="E792" i="48"/>
  <c r="E793" i="48"/>
  <c r="E794" i="48"/>
  <c r="E795" i="48"/>
  <c r="E796" i="48"/>
  <c r="E797" i="48"/>
  <c r="E798" i="48"/>
  <c r="E799" i="48"/>
  <c r="E800" i="48"/>
  <c r="E801" i="48"/>
  <c r="E802" i="48"/>
  <c r="E803" i="48"/>
  <c r="E804" i="48"/>
  <c r="E805" i="48"/>
  <c r="E806" i="48"/>
  <c r="E807" i="48"/>
  <c r="E808" i="48"/>
  <c r="E809" i="48"/>
  <c r="E810" i="48"/>
  <c r="E811" i="48"/>
  <c r="E812" i="48"/>
  <c r="E813" i="48"/>
  <c r="E814" i="48"/>
  <c r="E815" i="48"/>
  <c r="E816" i="48"/>
  <c r="E817" i="48"/>
  <c r="E818" i="48"/>
  <c r="E819" i="48"/>
  <c r="E820" i="48"/>
  <c r="E821" i="48"/>
  <c r="E822" i="48"/>
  <c r="E823" i="48"/>
  <c r="E824" i="48"/>
  <c r="E825" i="48"/>
  <c r="E826" i="48"/>
  <c r="E827" i="48"/>
  <c r="E828" i="48"/>
  <c r="E829" i="48"/>
  <c r="E830" i="48"/>
  <c r="E831" i="48"/>
  <c r="E832" i="48"/>
  <c r="E833" i="48"/>
  <c r="E834" i="48"/>
  <c r="E835" i="48"/>
  <c r="E836" i="48"/>
  <c r="E837" i="48"/>
  <c r="E838" i="48"/>
  <c r="E839" i="48"/>
  <c r="E840" i="48"/>
  <c r="E841" i="48"/>
  <c r="E842" i="48"/>
  <c r="E843" i="48"/>
  <c r="E844" i="48"/>
  <c r="E845" i="48"/>
  <c r="E846" i="48"/>
  <c r="E847" i="48"/>
  <c r="E848" i="48"/>
  <c r="E849" i="48"/>
  <c r="E850" i="48"/>
  <c r="E851" i="48"/>
  <c r="E852" i="48"/>
  <c r="E853" i="48"/>
  <c r="E854" i="48"/>
  <c r="E855" i="48"/>
  <c r="E856" i="48"/>
  <c r="E857" i="48"/>
  <c r="E858" i="48"/>
  <c r="E859" i="48"/>
  <c r="E860" i="48"/>
  <c r="E861" i="48"/>
  <c r="E862" i="48"/>
  <c r="E863" i="48"/>
  <c r="E864" i="48"/>
  <c r="E865" i="48"/>
  <c r="E866" i="48"/>
  <c r="E867" i="48"/>
  <c r="E868" i="48"/>
  <c r="E869" i="48"/>
  <c r="E870" i="48"/>
  <c r="E871" i="48"/>
  <c r="E872" i="48"/>
  <c r="E873" i="48"/>
  <c r="E874" i="48"/>
  <c r="E875" i="48"/>
  <c r="E876" i="48"/>
  <c r="E877" i="48"/>
  <c r="E878" i="48"/>
  <c r="E879" i="48"/>
  <c r="E880" i="48"/>
  <c r="E881" i="48"/>
  <c r="E882" i="48"/>
  <c r="E883" i="48"/>
  <c r="E884" i="48"/>
  <c r="E885" i="48"/>
  <c r="E886" i="48"/>
  <c r="E887" i="48"/>
  <c r="E888" i="48"/>
  <c r="E889" i="48"/>
  <c r="E890" i="48"/>
  <c r="E891" i="48"/>
  <c r="E892" i="48"/>
  <c r="E893" i="48"/>
  <c r="E894" i="48"/>
  <c r="E895" i="48"/>
  <c r="E896" i="48"/>
  <c r="E897" i="48"/>
  <c r="E898" i="48"/>
  <c r="E899" i="48"/>
  <c r="E900" i="48"/>
  <c r="E901" i="48"/>
  <c r="E902" i="48"/>
  <c r="E903" i="48"/>
  <c r="E904" i="48"/>
  <c r="E905" i="48"/>
  <c r="E906" i="48"/>
  <c r="E907" i="48"/>
  <c r="E908" i="48"/>
  <c r="E909" i="48"/>
  <c r="E910" i="48"/>
  <c r="E911" i="48"/>
  <c r="E912" i="48"/>
  <c r="E913" i="48"/>
  <c r="E914" i="48"/>
  <c r="E915" i="48"/>
  <c r="E916" i="48"/>
  <c r="E917" i="48"/>
  <c r="E918" i="48"/>
  <c r="E919" i="48"/>
  <c r="E920" i="48"/>
  <c r="E921" i="48"/>
  <c r="E922" i="48"/>
  <c r="E923" i="48"/>
  <c r="E924" i="48"/>
  <c r="E925" i="48"/>
  <c r="E926" i="48"/>
  <c r="E927" i="48"/>
  <c r="E928" i="48"/>
  <c r="E929" i="48"/>
  <c r="E930" i="48"/>
  <c r="E931" i="48"/>
  <c r="E932" i="48"/>
  <c r="E933" i="48"/>
  <c r="E934" i="48"/>
  <c r="E935" i="48"/>
  <c r="E936" i="48"/>
  <c r="E937" i="48"/>
  <c r="E938" i="48"/>
  <c r="E939" i="48"/>
  <c r="E3" i="48"/>
  <c r="E4" i="48"/>
  <c r="E5" i="48"/>
  <c r="E6" i="48"/>
  <c r="E7" i="48"/>
  <c r="E8" i="48"/>
  <c r="E9" i="48"/>
  <c r="E10" i="48"/>
  <c r="E11" i="48"/>
  <c r="E12" i="48"/>
  <c r="E13" i="48"/>
  <c r="E14" i="48"/>
  <c r="E15" i="48"/>
  <c r="E16" i="48"/>
  <c r="E17" i="48"/>
  <c r="E18" i="48"/>
  <c r="E19" i="48"/>
  <c r="E20" i="48"/>
  <c r="E21" i="48"/>
  <c r="E22" i="48"/>
  <c r="E23" i="48"/>
  <c r="E24" i="48"/>
  <c r="E25" i="48"/>
  <c r="E26" i="48"/>
  <c r="E27" i="48"/>
  <c r="E28" i="48"/>
  <c r="E29" i="48"/>
  <c r="E30" i="48"/>
  <c r="E31" i="48"/>
  <c r="E32" i="48"/>
  <c r="E33" i="48"/>
  <c r="E34" i="48"/>
  <c r="E35" i="48"/>
  <c r="E36" i="48"/>
  <c r="E37" i="48"/>
  <c r="E38" i="48"/>
  <c r="E39" i="48"/>
  <c r="E40" i="48"/>
  <c r="E41" i="48"/>
  <c r="E42" i="48"/>
  <c r="E43" i="48"/>
  <c r="E44" i="48"/>
  <c r="E45" i="48"/>
  <c r="E46" i="48"/>
  <c r="E47" i="48"/>
  <c r="E48" i="48"/>
  <c r="E49" i="48"/>
  <c r="E50" i="48"/>
  <c r="E51" i="48"/>
  <c r="E52" i="48"/>
  <c r="E53" i="48"/>
  <c r="E54" i="48"/>
  <c r="E55" i="48"/>
  <c r="E56" i="48"/>
  <c r="E57" i="48"/>
  <c r="E58" i="48"/>
  <c r="E59" i="48"/>
  <c r="E60" i="48"/>
  <c r="E61" i="48"/>
  <c r="E62" i="48"/>
  <c r="E63" i="48"/>
  <c r="E64" i="48"/>
  <c r="E65" i="48"/>
  <c r="E66" i="48"/>
  <c r="E67" i="48"/>
  <c r="E68" i="48"/>
  <c r="E69" i="48"/>
  <c r="E70" i="48"/>
  <c r="E71" i="48"/>
  <c r="E72" i="48"/>
  <c r="E73" i="48"/>
  <c r="E74" i="48"/>
  <c r="E75" i="48"/>
  <c r="E76" i="48"/>
  <c r="E77" i="48"/>
  <c r="E78" i="48"/>
  <c r="E79" i="48"/>
  <c r="E80" i="48"/>
  <c r="E81" i="48"/>
  <c r="E82" i="48"/>
  <c r="E83" i="48"/>
  <c r="E84" i="48"/>
  <c r="E85" i="48"/>
  <c r="E86" i="48"/>
  <c r="E87" i="48"/>
  <c r="E88" i="48"/>
  <c r="E89" i="48"/>
  <c r="E90" i="48"/>
  <c r="E91" i="48"/>
  <c r="E92" i="48"/>
  <c r="E93" i="48"/>
  <c r="E94" i="48"/>
  <c r="E95" i="48"/>
  <c r="E96" i="48"/>
  <c r="E97" i="48"/>
  <c r="E98" i="48"/>
  <c r="E99" i="48"/>
  <c r="E100" i="48"/>
  <c r="E101" i="48"/>
  <c r="E102" i="48"/>
  <c r="E103" i="48"/>
  <c r="E104" i="48"/>
  <c r="E105" i="48"/>
  <c r="E106" i="48"/>
  <c r="E107" i="48"/>
  <c r="E108" i="48"/>
  <c r="E109" i="48"/>
  <c r="E110" i="48"/>
  <c r="E111" i="48"/>
  <c r="E112" i="48"/>
  <c r="E113" i="48"/>
  <c r="E114" i="48"/>
  <c r="E115" i="48"/>
  <c r="E116" i="48"/>
  <c r="E117" i="48"/>
  <c r="E118" i="48"/>
  <c r="E119" i="48"/>
  <c r="E120" i="48"/>
  <c r="E121" i="48"/>
  <c r="E122" i="48"/>
  <c r="E123" i="48"/>
  <c r="E124" i="48"/>
  <c r="E125" i="48"/>
  <c r="E126" i="48"/>
  <c r="E127" i="48"/>
  <c r="E128" i="48"/>
  <c r="E129" i="48"/>
  <c r="E130" i="48"/>
  <c r="E131" i="48"/>
  <c r="E132" i="48"/>
  <c r="E133" i="48"/>
  <c r="E134" i="48"/>
  <c r="E135" i="48"/>
  <c r="E136" i="48"/>
  <c r="E137" i="48"/>
  <c r="E138" i="48"/>
  <c r="E139" i="48"/>
  <c r="E140" i="48"/>
  <c r="E141" i="48"/>
  <c r="E142" i="48"/>
  <c r="E143" i="48"/>
  <c r="E144" i="48"/>
  <c r="E145" i="48"/>
  <c r="E146" i="48"/>
  <c r="E147" i="48"/>
  <c r="E148" i="48"/>
  <c r="E149" i="48"/>
  <c r="E2" i="48"/>
  <c r="D3" i="48"/>
  <c r="D4" i="48"/>
  <c r="D5" i="48"/>
  <c r="D6" i="48"/>
  <c r="D7" i="48"/>
  <c r="D8" i="48"/>
  <c r="D9" i="48"/>
  <c r="D10" i="48"/>
  <c r="D11" i="48"/>
  <c r="D12" i="48"/>
  <c r="D13" i="48"/>
  <c r="D14" i="48"/>
  <c r="D15" i="48"/>
  <c r="D16" i="48"/>
  <c r="D17" i="48"/>
  <c r="D18" i="48"/>
  <c r="D19" i="48"/>
  <c r="D20" i="48"/>
  <c r="D21" i="48"/>
  <c r="D22" i="48"/>
  <c r="D23" i="48"/>
  <c r="D24" i="48"/>
  <c r="D25" i="48"/>
  <c r="D26" i="48"/>
  <c r="D27" i="48"/>
  <c r="D28" i="48"/>
  <c r="D29" i="48"/>
  <c r="D30" i="48"/>
  <c r="D31" i="48"/>
  <c r="D32" i="48"/>
  <c r="D33" i="48"/>
  <c r="D34" i="48"/>
  <c r="D35" i="48"/>
  <c r="D36" i="48"/>
  <c r="D37" i="48"/>
  <c r="D38" i="48"/>
  <c r="D39" i="48"/>
  <c r="D40" i="48"/>
  <c r="D41" i="48"/>
  <c r="D42" i="48"/>
  <c r="D43" i="48"/>
  <c r="D44" i="48"/>
  <c r="D45" i="48"/>
  <c r="D46" i="48"/>
  <c r="D47" i="48"/>
  <c r="D48" i="48"/>
  <c r="D49" i="48"/>
  <c r="D50" i="48"/>
  <c r="D51" i="48"/>
  <c r="D52" i="48"/>
  <c r="D53" i="48"/>
  <c r="D54" i="48"/>
  <c r="D55" i="48"/>
  <c r="D56" i="48"/>
  <c r="D57" i="48"/>
  <c r="D58" i="48"/>
  <c r="D59" i="48"/>
  <c r="D60" i="48"/>
  <c r="D61" i="48"/>
  <c r="D62" i="48"/>
  <c r="D63" i="48"/>
  <c r="D64" i="48"/>
  <c r="D65" i="48"/>
  <c r="D66" i="48"/>
  <c r="D67" i="48"/>
  <c r="D68" i="48"/>
  <c r="D69" i="48"/>
  <c r="D70" i="48"/>
  <c r="D71" i="48"/>
  <c r="D72" i="48"/>
  <c r="D73" i="48"/>
  <c r="D74" i="48"/>
  <c r="D75" i="48"/>
  <c r="D76" i="48"/>
  <c r="D77" i="48"/>
  <c r="D78" i="48"/>
  <c r="D79" i="48"/>
  <c r="D80" i="48"/>
  <c r="D81" i="48"/>
  <c r="D82" i="48"/>
  <c r="D83" i="48"/>
  <c r="D84" i="48"/>
  <c r="D85" i="48"/>
  <c r="D86" i="48"/>
  <c r="D87" i="48"/>
  <c r="D88" i="48"/>
  <c r="D89" i="48"/>
  <c r="D90" i="48"/>
  <c r="D91" i="48"/>
  <c r="D92" i="48"/>
  <c r="D93" i="48"/>
  <c r="D94" i="48"/>
  <c r="D95" i="48"/>
  <c r="D96" i="48"/>
  <c r="D97" i="48"/>
  <c r="D98" i="48"/>
  <c r="D99" i="48"/>
  <c r="D100" i="48"/>
  <c r="D101" i="48"/>
  <c r="D102" i="48"/>
  <c r="D103" i="48"/>
  <c r="D104" i="48"/>
  <c r="D105" i="48"/>
  <c r="D106" i="48"/>
  <c r="D107" i="48"/>
  <c r="D108" i="48"/>
  <c r="D109" i="48"/>
  <c r="D110" i="48"/>
  <c r="D111" i="48"/>
  <c r="D112" i="48"/>
  <c r="D113" i="48"/>
  <c r="D114" i="48"/>
  <c r="D115" i="48"/>
  <c r="D116" i="48"/>
  <c r="D117" i="48"/>
  <c r="D118" i="48"/>
  <c r="D119" i="48"/>
  <c r="D120" i="48"/>
  <c r="D121" i="48"/>
  <c r="D122" i="48"/>
  <c r="D123" i="48"/>
  <c r="D124" i="48"/>
  <c r="D125" i="48"/>
  <c r="D126" i="48"/>
  <c r="D127" i="48"/>
  <c r="D128" i="48"/>
  <c r="D129" i="48"/>
  <c r="D130" i="48"/>
  <c r="D131" i="48"/>
  <c r="D132" i="48"/>
  <c r="D133" i="48"/>
  <c r="D134" i="48"/>
  <c r="D135" i="48"/>
  <c r="D136" i="48"/>
  <c r="D137" i="48"/>
  <c r="D138" i="48"/>
  <c r="D139" i="48"/>
  <c r="D140" i="48"/>
  <c r="D141" i="48"/>
  <c r="D142" i="48"/>
  <c r="D143" i="48"/>
  <c r="D144" i="48"/>
  <c r="D145" i="48"/>
  <c r="D146" i="48"/>
  <c r="D147" i="48"/>
  <c r="D148" i="48"/>
  <c r="D149" i="48"/>
  <c r="D150" i="48"/>
  <c r="D151" i="48"/>
  <c r="D152" i="48"/>
  <c r="D153" i="48"/>
  <c r="D154" i="48"/>
  <c r="D155" i="48"/>
  <c r="D156" i="48"/>
  <c r="D157" i="48"/>
  <c r="D158" i="48"/>
  <c r="D159" i="48"/>
  <c r="D160" i="48"/>
  <c r="D161" i="48"/>
  <c r="D162" i="48"/>
  <c r="D163" i="48"/>
  <c r="D164" i="48"/>
  <c r="D165" i="48"/>
  <c r="D166" i="48"/>
  <c r="D167" i="48"/>
  <c r="D168" i="48"/>
  <c r="D169" i="48"/>
  <c r="D170" i="48"/>
  <c r="D171" i="48"/>
  <c r="D172" i="48"/>
  <c r="D173" i="48"/>
  <c r="D174" i="48"/>
  <c r="D175" i="48"/>
  <c r="D176" i="48"/>
  <c r="D177" i="48"/>
  <c r="D178" i="48"/>
  <c r="D179" i="48"/>
  <c r="D180" i="48"/>
  <c r="D181" i="48"/>
  <c r="D182" i="48"/>
  <c r="D183" i="48"/>
  <c r="D184" i="48"/>
  <c r="D185" i="48"/>
  <c r="D186" i="48"/>
  <c r="D187" i="48"/>
  <c r="D188" i="48"/>
  <c r="D189" i="48"/>
  <c r="D190" i="48"/>
  <c r="D191" i="48"/>
  <c r="D192" i="48"/>
  <c r="D193" i="48"/>
  <c r="D194" i="48"/>
  <c r="D195" i="48"/>
  <c r="D196" i="48"/>
  <c r="D197" i="48"/>
  <c r="D198" i="48"/>
  <c r="D199" i="48"/>
  <c r="D200" i="48"/>
  <c r="D201" i="48"/>
  <c r="D202" i="48"/>
  <c r="D203" i="48"/>
  <c r="D204" i="48"/>
  <c r="D205" i="48"/>
  <c r="D206" i="48"/>
  <c r="D207" i="48"/>
  <c r="D208" i="48"/>
  <c r="D209" i="48"/>
  <c r="D210" i="48"/>
  <c r="D211" i="48"/>
  <c r="D212" i="48"/>
  <c r="D213" i="48"/>
  <c r="D214" i="48"/>
  <c r="D215" i="48"/>
  <c r="D216" i="48"/>
  <c r="D217" i="48"/>
  <c r="D218" i="48"/>
  <c r="D219" i="48"/>
  <c r="D220" i="48"/>
  <c r="D221" i="48"/>
  <c r="D222" i="48"/>
  <c r="D223" i="48"/>
  <c r="D224" i="48"/>
  <c r="D225" i="48"/>
  <c r="D226" i="48"/>
  <c r="D227" i="48"/>
  <c r="D228" i="48"/>
  <c r="D229" i="48"/>
  <c r="D230" i="48"/>
  <c r="D231" i="48"/>
  <c r="D232" i="48"/>
  <c r="D233" i="48"/>
  <c r="D234" i="48"/>
  <c r="D235" i="48"/>
  <c r="D236" i="48"/>
  <c r="D237" i="48"/>
  <c r="D238" i="48"/>
  <c r="D239" i="48"/>
  <c r="D240" i="48"/>
  <c r="D241" i="48"/>
  <c r="D242" i="48"/>
  <c r="D243" i="48"/>
  <c r="D244" i="48"/>
  <c r="D245" i="48"/>
  <c r="D246" i="48"/>
  <c r="D247" i="48"/>
  <c r="D248" i="48"/>
  <c r="D249" i="48"/>
  <c r="D250" i="48"/>
  <c r="D251" i="48"/>
  <c r="D252" i="48"/>
  <c r="D253" i="48"/>
  <c r="D254" i="48"/>
  <c r="D255" i="48"/>
  <c r="D256" i="48"/>
  <c r="D257" i="48"/>
  <c r="D258" i="48"/>
  <c r="D259" i="48"/>
  <c r="D260" i="48"/>
  <c r="D261" i="48"/>
  <c r="D262" i="48"/>
  <c r="D263" i="48"/>
  <c r="D264" i="48"/>
  <c r="D265" i="48"/>
  <c r="D266" i="48"/>
  <c r="D267" i="48"/>
  <c r="D268" i="48"/>
  <c r="D269" i="48"/>
  <c r="D270" i="48"/>
  <c r="D271" i="48"/>
  <c r="D272" i="48"/>
  <c r="D273" i="48"/>
  <c r="D274" i="48"/>
  <c r="D275" i="48"/>
  <c r="D276" i="48"/>
  <c r="D277" i="48"/>
  <c r="D278" i="48"/>
  <c r="D279" i="48"/>
  <c r="D280" i="48"/>
  <c r="D281" i="48"/>
  <c r="D282" i="48"/>
  <c r="D283" i="48"/>
  <c r="D284" i="48"/>
  <c r="D285" i="48"/>
  <c r="D286" i="48"/>
  <c r="D287" i="48"/>
  <c r="D288" i="48"/>
  <c r="D289" i="48"/>
  <c r="D290" i="48"/>
  <c r="D291" i="48"/>
  <c r="D292" i="48"/>
  <c r="D293" i="48"/>
  <c r="D294" i="48"/>
  <c r="D295" i="48"/>
  <c r="D296" i="48"/>
  <c r="D297" i="48"/>
  <c r="D298" i="48"/>
  <c r="D299" i="48"/>
  <c r="D300" i="48"/>
  <c r="D301" i="48"/>
  <c r="D302" i="48"/>
  <c r="D303" i="48"/>
  <c r="D304" i="48"/>
  <c r="D305" i="48"/>
  <c r="D306" i="48"/>
  <c r="D307" i="48"/>
  <c r="D308" i="48"/>
  <c r="D309" i="48"/>
  <c r="D310" i="48"/>
  <c r="D311" i="48"/>
  <c r="D312" i="48"/>
  <c r="D313" i="48"/>
  <c r="D314" i="48"/>
  <c r="D315" i="48"/>
  <c r="D316" i="48"/>
  <c r="D317" i="48"/>
  <c r="D318" i="48"/>
  <c r="D319" i="48"/>
  <c r="D320" i="48"/>
  <c r="D321" i="48"/>
  <c r="D322" i="48"/>
  <c r="D323" i="48"/>
  <c r="D324" i="48"/>
  <c r="D325" i="48"/>
  <c r="D326" i="48"/>
  <c r="D327" i="48"/>
  <c r="D328" i="48"/>
  <c r="D329" i="48"/>
  <c r="D330" i="48"/>
  <c r="D331" i="48"/>
  <c r="D332" i="48"/>
  <c r="D333" i="48"/>
  <c r="D334" i="48"/>
  <c r="D335" i="48"/>
  <c r="D336" i="48"/>
  <c r="D337" i="48"/>
  <c r="D338" i="48"/>
  <c r="D339" i="48"/>
  <c r="D340" i="48"/>
  <c r="D341" i="48"/>
  <c r="D342" i="48"/>
  <c r="D343" i="48"/>
  <c r="D344" i="48"/>
  <c r="D345" i="48"/>
  <c r="D346" i="48"/>
  <c r="D347" i="48"/>
  <c r="D348" i="48"/>
  <c r="D349" i="48"/>
  <c r="D350" i="48"/>
  <c r="D351" i="48"/>
  <c r="D352" i="48"/>
  <c r="D353" i="48"/>
  <c r="D354" i="48"/>
  <c r="D355" i="48"/>
  <c r="D356" i="48"/>
  <c r="D357" i="48"/>
  <c r="D358" i="48"/>
  <c r="D359" i="48"/>
  <c r="D360" i="48"/>
  <c r="D361" i="48"/>
  <c r="D362" i="48"/>
  <c r="D363" i="48"/>
  <c r="D364" i="48"/>
  <c r="D365" i="48"/>
  <c r="D366" i="48"/>
  <c r="D367" i="48"/>
  <c r="D368" i="48"/>
  <c r="D369" i="48"/>
  <c r="D370" i="48"/>
  <c r="D371" i="48"/>
  <c r="D372" i="48"/>
  <c r="D373" i="48"/>
  <c r="D374" i="48"/>
  <c r="D375" i="48"/>
  <c r="D376" i="48"/>
  <c r="D377" i="48"/>
  <c r="D378" i="48"/>
  <c r="D379" i="48"/>
  <c r="D380" i="48"/>
  <c r="D381" i="48"/>
  <c r="D382" i="48"/>
  <c r="D383" i="48"/>
  <c r="D384" i="48"/>
  <c r="D385" i="48"/>
  <c r="D386" i="48"/>
  <c r="D387" i="48"/>
  <c r="D388" i="48"/>
  <c r="D389" i="48"/>
  <c r="D390" i="48"/>
  <c r="D391" i="48"/>
  <c r="D392" i="48"/>
  <c r="D393" i="48"/>
  <c r="D394" i="48"/>
  <c r="D395" i="48"/>
  <c r="D396" i="48"/>
  <c r="D397" i="48"/>
  <c r="D398" i="48"/>
  <c r="D399" i="48"/>
  <c r="D400" i="48"/>
  <c r="D401" i="48"/>
  <c r="D402" i="48"/>
  <c r="D403" i="48"/>
  <c r="D404" i="48"/>
  <c r="D405" i="48"/>
  <c r="D406" i="48"/>
  <c r="D407" i="48"/>
  <c r="D408" i="48"/>
  <c r="D409" i="48"/>
  <c r="D410" i="48"/>
  <c r="D411" i="48"/>
  <c r="D412" i="48"/>
  <c r="D413" i="48"/>
  <c r="D414" i="48"/>
  <c r="D415" i="48"/>
  <c r="D416" i="48"/>
  <c r="D417" i="48"/>
  <c r="D418" i="48"/>
  <c r="D419" i="48"/>
  <c r="D420" i="48"/>
  <c r="D421" i="48"/>
  <c r="D422" i="48"/>
  <c r="D423" i="48"/>
  <c r="D424" i="48"/>
  <c r="D425" i="48"/>
  <c r="D426" i="48"/>
  <c r="D427" i="48"/>
  <c r="D428" i="48"/>
  <c r="D429" i="48"/>
  <c r="D430" i="48"/>
  <c r="D431" i="48"/>
  <c r="D432" i="48"/>
  <c r="D433" i="48"/>
  <c r="D434" i="48"/>
  <c r="D435" i="48"/>
  <c r="D436" i="48"/>
  <c r="D437" i="48"/>
  <c r="D438" i="48"/>
  <c r="D439" i="48"/>
  <c r="D440" i="48"/>
  <c r="D441" i="48"/>
  <c r="D442" i="48"/>
  <c r="D443" i="48"/>
  <c r="D444" i="48"/>
  <c r="D445" i="48"/>
  <c r="D446" i="48"/>
  <c r="D447" i="48"/>
  <c r="D448" i="48"/>
  <c r="D449" i="48"/>
  <c r="D450" i="48"/>
  <c r="D451" i="48"/>
  <c r="D452" i="48"/>
  <c r="D453" i="48"/>
  <c r="D454" i="48"/>
  <c r="D455" i="48"/>
  <c r="D456" i="48"/>
  <c r="D457" i="48"/>
  <c r="D458" i="48"/>
  <c r="D459" i="48"/>
  <c r="D460" i="48"/>
  <c r="D461" i="48"/>
  <c r="D462" i="48"/>
  <c r="D463" i="48"/>
  <c r="D464" i="48"/>
  <c r="D465" i="48"/>
  <c r="D466" i="48"/>
  <c r="D467" i="48"/>
  <c r="D468" i="48"/>
  <c r="D469" i="48"/>
  <c r="D470" i="48"/>
  <c r="D471" i="48"/>
  <c r="D472" i="48"/>
  <c r="D473" i="48"/>
  <c r="D474" i="48"/>
  <c r="D475" i="48"/>
  <c r="D476" i="48"/>
  <c r="D477" i="48"/>
  <c r="D478" i="48"/>
  <c r="D479" i="48"/>
  <c r="D480" i="48"/>
  <c r="D481" i="48"/>
  <c r="D482" i="48"/>
  <c r="D483" i="48"/>
  <c r="D484" i="48"/>
  <c r="D485" i="48"/>
  <c r="D486" i="48"/>
  <c r="D487" i="48"/>
  <c r="D488" i="48"/>
  <c r="D489" i="48"/>
  <c r="D490" i="48"/>
  <c r="D491" i="48"/>
  <c r="D492" i="48"/>
  <c r="D493" i="48"/>
  <c r="D494" i="48"/>
  <c r="D495" i="48"/>
  <c r="D496" i="48"/>
  <c r="D497" i="48"/>
  <c r="D498" i="48"/>
  <c r="D499" i="48"/>
  <c r="D500" i="48"/>
  <c r="D501" i="48"/>
  <c r="D502" i="48"/>
  <c r="D503" i="48"/>
  <c r="D504" i="48"/>
  <c r="D505" i="48"/>
  <c r="D506" i="48"/>
  <c r="D507" i="48"/>
  <c r="D508" i="48"/>
  <c r="D509" i="48"/>
  <c r="D510" i="48"/>
  <c r="D511" i="48"/>
  <c r="D512" i="48"/>
  <c r="D513" i="48"/>
  <c r="D514" i="48"/>
  <c r="D515" i="48"/>
  <c r="D516" i="48"/>
  <c r="D517" i="48"/>
  <c r="D518" i="48"/>
  <c r="D519" i="48"/>
  <c r="D520" i="48"/>
  <c r="D521" i="48"/>
  <c r="D522" i="48"/>
  <c r="D523" i="48"/>
  <c r="D524" i="48"/>
  <c r="D525" i="48"/>
  <c r="D526" i="48"/>
  <c r="D527" i="48"/>
  <c r="D528" i="48"/>
  <c r="D529" i="48"/>
  <c r="D530" i="48"/>
  <c r="D531" i="48"/>
  <c r="D532" i="48"/>
  <c r="D533" i="48"/>
  <c r="D534" i="48"/>
  <c r="D535" i="48"/>
  <c r="D536" i="48"/>
  <c r="D537" i="48"/>
  <c r="D538" i="48"/>
  <c r="D539" i="48"/>
  <c r="D540" i="48"/>
  <c r="D541" i="48"/>
  <c r="D542" i="48"/>
  <c r="D543" i="48"/>
  <c r="D544" i="48"/>
  <c r="D545" i="48"/>
  <c r="D546" i="48"/>
  <c r="D547" i="48"/>
  <c r="D548" i="48"/>
  <c r="D549" i="48"/>
  <c r="D550" i="48"/>
  <c r="D551" i="48"/>
  <c r="D552" i="48"/>
  <c r="D553" i="48"/>
  <c r="D554" i="48"/>
  <c r="D555" i="48"/>
  <c r="D556" i="48"/>
  <c r="D557" i="48"/>
  <c r="D558" i="48"/>
  <c r="D559" i="48"/>
  <c r="D560" i="48"/>
  <c r="D561" i="48"/>
  <c r="D562" i="48"/>
  <c r="D563" i="48"/>
  <c r="D564" i="48"/>
  <c r="D565" i="48"/>
  <c r="D566" i="48"/>
  <c r="D567" i="48"/>
  <c r="D568" i="48"/>
  <c r="D569" i="48"/>
  <c r="D570" i="48"/>
  <c r="D571" i="48"/>
  <c r="D572" i="48"/>
  <c r="D573" i="48"/>
  <c r="D574" i="48"/>
  <c r="D575" i="48"/>
  <c r="D576" i="48"/>
  <c r="D577" i="48"/>
  <c r="D578" i="48"/>
  <c r="D579" i="48"/>
  <c r="D580" i="48"/>
  <c r="D581" i="48"/>
  <c r="D582" i="48"/>
  <c r="D583" i="48"/>
  <c r="D584" i="48"/>
  <c r="D585" i="48"/>
  <c r="D586" i="48"/>
  <c r="D587" i="48"/>
  <c r="D588" i="48"/>
  <c r="D589" i="48"/>
  <c r="D590" i="48"/>
  <c r="D591" i="48"/>
  <c r="D592" i="48"/>
  <c r="D593" i="48"/>
  <c r="D594" i="48"/>
  <c r="D595" i="48"/>
  <c r="D596" i="48"/>
  <c r="D597" i="48"/>
  <c r="D598" i="48"/>
  <c r="D599" i="48"/>
  <c r="D600" i="48"/>
  <c r="D601" i="48"/>
  <c r="D602" i="48"/>
  <c r="D603" i="48"/>
  <c r="D604" i="48"/>
  <c r="D605" i="48"/>
  <c r="D606" i="48"/>
  <c r="D607" i="48"/>
  <c r="D608" i="48"/>
  <c r="D609" i="48"/>
  <c r="D610" i="48"/>
  <c r="D611" i="48"/>
  <c r="D612" i="48"/>
  <c r="D613" i="48"/>
  <c r="D614" i="48"/>
  <c r="D615" i="48"/>
  <c r="D616" i="48"/>
  <c r="D617" i="48"/>
  <c r="D618" i="48"/>
  <c r="D619" i="48"/>
  <c r="D620" i="48"/>
  <c r="D621" i="48"/>
  <c r="D622" i="48"/>
  <c r="D623" i="48"/>
  <c r="D624" i="48"/>
  <c r="D625" i="48"/>
  <c r="D626" i="48"/>
  <c r="D627" i="48"/>
  <c r="D628" i="48"/>
  <c r="D629" i="48"/>
  <c r="D630" i="48"/>
  <c r="D631" i="48"/>
  <c r="D632" i="48"/>
  <c r="D633" i="48"/>
  <c r="D634" i="48"/>
  <c r="D635" i="48"/>
  <c r="D636" i="48"/>
  <c r="D637" i="48"/>
  <c r="D638" i="48"/>
  <c r="D639" i="48"/>
  <c r="D640" i="48"/>
  <c r="D641" i="48"/>
  <c r="D642" i="48"/>
  <c r="D643" i="48"/>
  <c r="D644" i="48"/>
  <c r="D645" i="48"/>
  <c r="D646" i="48"/>
  <c r="D647" i="48"/>
  <c r="D648" i="48"/>
  <c r="D649" i="48"/>
  <c r="D650" i="48"/>
  <c r="D651" i="48"/>
  <c r="D652" i="48"/>
  <c r="D653" i="48"/>
  <c r="D654" i="48"/>
  <c r="D655" i="48"/>
  <c r="D656" i="48"/>
  <c r="D657" i="48"/>
  <c r="D658" i="48"/>
  <c r="D659" i="48"/>
  <c r="D660" i="48"/>
  <c r="D661" i="48"/>
  <c r="D662" i="48"/>
  <c r="D663" i="48"/>
  <c r="D664" i="48"/>
  <c r="D665" i="48"/>
  <c r="D666" i="48"/>
  <c r="D667" i="48"/>
  <c r="D668" i="48"/>
  <c r="D669" i="48"/>
  <c r="D670" i="48"/>
  <c r="D671" i="48"/>
  <c r="D672" i="48"/>
  <c r="D673" i="48"/>
  <c r="D674" i="48"/>
  <c r="D675" i="48"/>
  <c r="D676" i="48"/>
  <c r="D677" i="48"/>
  <c r="D678" i="48"/>
  <c r="D679" i="48"/>
  <c r="D680" i="48"/>
  <c r="D681" i="48"/>
  <c r="D682" i="48"/>
  <c r="D683" i="48"/>
  <c r="D684" i="48"/>
  <c r="D685" i="48"/>
  <c r="D686" i="48"/>
  <c r="D687" i="48"/>
  <c r="D688" i="48"/>
  <c r="D689" i="48"/>
  <c r="D690" i="48"/>
  <c r="D691" i="48"/>
  <c r="D692" i="48"/>
  <c r="D693" i="48"/>
  <c r="D694" i="48"/>
  <c r="D695" i="48"/>
  <c r="D696" i="48"/>
  <c r="D697" i="48"/>
  <c r="D698" i="48"/>
  <c r="D699" i="48"/>
  <c r="D700" i="48"/>
  <c r="D701" i="48"/>
  <c r="D702" i="48"/>
  <c r="D703" i="48"/>
  <c r="D704" i="48"/>
  <c r="D705" i="48"/>
  <c r="D706" i="48"/>
  <c r="D707" i="48"/>
  <c r="D708" i="48"/>
  <c r="D709" i="48"/>
  <c r="D710" i="48"/>
  <c r="D711" i="48"/>
  <c r="D712" i="48"/>
  <c r="D713" i="48"/>
  <c r="D714" i="48"/>
  <c r="D715" i="48"/>
  <c r="D716" i="48"/>
  <c r="D717" i="48"/>
  <c r="D718" i="48"/>
  <c r="D719" i="48"/>
  <c r="D720" i="48"/>
  <c r="D721" i="48"/>
  <c r="D722" i="48"/>
  <c r="D723" i="48"/>
  <c r="D724" i="48"/>
  <c r="D725" i="48"/>
  <c r="D726" i="48"/>
  <c r="D727" i="48"/>
  <c r="D728" i="48"/>
  <c r="D729" i="48"/>
  <c r="D730" i="48"/>
  <c r="D731" i="48"/>
  <c r="D732" i="48"/>
  <c r="D733" i="48"/>
  <c r="D734" i="48"/>
  <c r="D735" i="48"/>
  <c r="D736" i="48"/>
  <c r="D737" i="48"/>
  <c r="D738" i="48"/>
  <c r="D739" i="48"/>
  <c r="D740" i="48"/>
  <c r="D741" i="48"/>
  <c r="D742" i="48"/>
  <c r="D743" i="48"/>
  <c r="D744" i="48"/>
  <c r="D745" i="48"/>
  <c r="D746" i="48"/>
  <c r="D747" i="48"/>
  <c r="D748" i="48"/>
  <c r="D749" i="48"/>
  <c r="D750" i="48"/>
  <c r="D751" i="48"/>
  <c r="D752" i="48"/>
  <c r="D753" i="48"/>
  <c r="D754" i="48"/>
  <c r="D755" i="48"/>
  <c r="D756" i="48"/>
  <c r="D757" i="48"/>
  <c r="D758" i="48"/>
  <c r="D759" i="48"/>
  <c r="D760" i="48"/>
  <c r="D761" i="48"/>
  <c r="D762" i="48"/>
  <c r="D763" i="48"/>
  <c r="D764" i="48"/>
  <c r="D765" i="48"/>
  <c r="D766" i="48"/>
  <c r="D767" i="48"/>
  <c r="D768" i="48"/>
  <c r="D769" i="48"/>
  <c r="D770" i="48"/>
  <c r="D771" i="48"/>
  <c r="D772" i="48"/>
  <c r="D773" i="48"/>
  <c r="D774" i="48"/>
  <c r="D775" i="48"/>
  <c r="D776" i="48"/>
  <c r="D777" i="48"/>
  <c r="D778" i="48"/>
  <c r="D779" i="48"/>
  <c r="D780" i="48"/>
  <c r="D781" i="48"/>
  <c r="D782" i="48"/>
  <c r="D783" i="48"/>
  <c r="D784" i="48"/>
  <c r="D785" i="48"/>
  <c r="D786" i="48"/>
  <c r="D787" i="48"/>
  <c r="D788" i="48"/>
  <c r="D789" i="48"/>
  <c r="D790" i="48"/>
  <c r="D791" i="48"/>
  <c r="D792" i="48"/>
  <c r="D793" i="48"/>
  <c r="D794" i="48"/>
  <c r="D795" i="48"/>
  <c r="D796" i="48"/>
  <c r="D797" i="48"/>
  <c r="D798" i="48"/>
  <c r="D799" i="48"/>
  <c r="D800" i="48"/>
  <c r="D801" i="48"/>
  <c r="D802" i="48"/>
  <c r="D803" i="48"/>
  <c r="D804" i="48"/>
  <c r="D805" i="48"/>
  <c r="D806" i="48"/>
  <c r="D807" i="48"/>
  <c r="D808" i="48"/>
  <c r="D809" i="48"/>
  <c r="D810" i="48"/>
  <c r="D811" i="48"/>
  <c r="D812" i="48"/>
  <c r="D813" i="48"/>
  <c r="D814" i="48"/>
  <c r="D815" i="48"/>
  <c r="D816" i="48"/>
  <c r="D817" i="48"/>
  <c r="D818" i="48"/>
  <c r="D819" i="48"/>
  <c r="D820" i="48"/>
  <c r="D821" i="48"/>
  <c r="D822" i="48"/>
  <c r="D823" i="48"/>
  <c r="D824" i="48"/>
  <c r="D825" i="48"/>
  <c r="D826" i="48"/>
  <c r="D827" i="48"/>
  <c r="D828" i="48"/>
  <c r="D829" i="48"/>
  <c r="D830" i="48"/>
  <c r="D831" i="48"/>
  <c r="D832" i="48"/>
  <c r="D833" i="48"/>
  <c r="D834" i="48"/>
  <c r="D835" i="48"/>
  <c r="D836" i="48"/>
  <c r="D837" i="48"/>
  <c r="D838" i="48"/>
  <c r="D839" i="48"/>
  <c r="D840" i="48"/>
  <c r="D841" i="48"/>
  <c r="D842" i="48"/>
  <c r="D843" i="48"/>
  <c r="D844" i="48"/>
  <c r="D845" i="48"/>
  <c r="D846" i="48"/>
  <c r="D847" i="48"/>
  <c r="D848" i="48"/>
  <c r="D849" i="48"/>
  <c r="D850" i="48"/>
  <c r="D851" i="48"/>
  <c r="D852" i="48"/>
  <c r="D853" i="48"/>
  <c r="D854" i="48"/>
  <c r="D855" i="48"/>
  <c r="D856" i="48"/>
  <c r="D857" i="48"/>
  <c r="D858" i="48"/>
  <c r="D859" i="48"/>
  <c r="D860" i="48"/>
  <c r="D861" i="48"/>
  <c r="D862" i="48"/>
  <c r="D863" i="48"/>
  <c r="D864" i="48"/>
  <c r="D865" i="48"/>
  <c r="D866" i="48"/>
  <c r="D867" i="48"/>
  <c r="D868" i="48"/>
  <c r="D869" i="48"/>
  <c r="D870" i="48"/>
  <c r="D871" i="48"/>
  <c r="D872" i="48"/>
  <c r="D873" i="48"/>
  <c r="D874" i="48"/>
  <c r="D875" i="48"/>
  <c r="D876" i="48"/>
  <c r="D877" i="48"/>
  <c r="D878" i="48"/>
  <c r="D879" i="48"/>
  <c r="D880" i="48"/>
  <c r="D881" i="48"/>
  <c r="D882" i="48"/>
  <c r="D883" i="48"/>
  <c r="D884" i="48"/>
  <c r="D885" i="48"/>
  <c r="D886" i="48"/>
  <c r="D887" i="48"/>
  <c r="D888" i="48"/>
  <c r="D889" i="48"/>
  <c r="D890" i="48"/>
  <c r="D891" i="48"/>
  <c r="D892" i="48"/>
  <c r="D893" i="48"/>
  <c r="D894" i="48"/>
  <c r="D895" i="48"/>
  <c r="D896" i="48"/>
  <c r="D897" i="48"/>
  <c r="D898" i="48"/>
  <c r="D899" i="48"/>
  <c r="D900" i="48"/>
  <c r="D901" i="48"/>
  <c r="D902" i="48"/>
  <c r="D903" i="48"/>
  <c r="D904" i="48"/>
  <c r="D905" i="48"/>
  <c r="D906" i="48"/>
  <c r="D907" i="48"/>
  <c r="D908" i="48"/>
  <c r="D909" i="48"/>
  <c r="D910" i="48"/>
  <c r="D911" i="48"/>
  <c r="D912" i="48"/>
  <c r="D913" i="48"/>
  <c r="D914" i="48"/>
  <c r="D915" i="48"/>
  <c r="D916" i="48"/>
  <c r="D917" i="48"/>
  <c r="D918" i="48"/>
  <c r="D919" i="48"/>
  <c r="D920" i="48"/>
  <c r="D921" i="48"/>
  <c r="D922" i="48"/>
  <c r="D923" i="48"/>
  <c r="D924" i="48"/>
  <c r="D925" i="48"/>
  <c r="D926" i="48"/>
  <c r="D927" i="48"/>
  <c r="D928" i="48"/>
  <c r="D929" i="48"/>
  <c r="D930" i="48"/>
  <c r="D931" i="48"/>
  <c r="D932" i="48"/>
  <c r="D933" i="48"/>
  <c r="D934" i="48"/>
  <c r="D935" i="48"/>
  <c r="D936" i="48"/>
  <c r="D937" i="48"/>
  <c r="D938" i="48"/>
  <c r="D939" i="48"/>
  <c r="D2" i="48"/>
  <c r="B61" i="48"/>
  <c r="B62" i="48"/>
  <c r="B63" i="48"/>
  <c r="B64" i="48"/>
  <c r="B65" i="48"/>
  <c r="B66" i="48"/>
  <c r="B67" i="48"/>
  <c r="B68" i="48"/>
  <c r="B69" i="48"/>
  <c r="B70" i="48"/>
  <c r="B71" i="48"/>
  <c r="B72" i="48"/>
  <c r="B73" i="48"/>
  <c r="B74" i="48"/>
  <c r="B75" i="48"/>
  <c r="B76" i="48"/>
  <c r="B77" i="48"/>
  <c r="B78" i="48"/>
  <c r="B79" i="48"/>
  <c r="B80" i="48"/>
  <c r="B81" i="48"/>
  <c r="B82" i="48"/>
  <c r="B83" i="48"/>
  <c r="B84" i="48"/>
  <c r="B85" i="48"/>
  <c r="B86" i="48"/>
  <c r="B87" i="48"/>
  <c r="B88" i="48"/>
  <c r="B89" i="48"/>
  <c r="B90" i="48"/>
  <c r="B91" i="48"/>
  <c r="B92" i="48"/>
  <c r="B93" i="48"/>
  <c r="B94" i="48"/>
  <c r="B95" i="48"/>
  <c r="B96" i="48"/>
  <c r="B97" i="48"/>
  <c r="B98" i="48"/>
  <c r="B99" i="48"/>
  <c r="B100" i="48"/>
  <c r="B101" i="48"/>
  <c r="B102" i="48"/>
  <c r="B103" i="48"/>
  <c r="B104" i="48"/>
  <c r="B105" i="48"/>
  <c r="B106" i="48"/>
  <c r="B107" i="48"/>
  <c r="B108" i="48"/>
  <c r="B109" i="48"/>
  <c r="B110" i="48"/>
  <c r="B111" i="48"/>
  <c r="B112" i="48"/>
  <c r="B113" i="48"/>
  <c r="B114" i="48"/>
  <c r="B115" i="48"/>
  <c r="B116" i="48"/>
  <c r="B117" i="48"/>
  <c r="B118" i="48"/>
  <c r="B119" i="48"/>
  <c r="B120" i="48"/>
  <c r="B121" i="48"/>
  <c r="B122" i="48"/>
  <c r="B123" i="48"/>
  <c r="B124" i="48"/>
  <c r="B125" i="48"/>
  <c r="B126" i="48"/>
  <c r="B127" i="48"/>
  <c r="B128" i="48"/>
  <c r="B129" i="48"/>
  <c r="B130" i="48"/>
  <c r="B131" i="48"/>
  <c r="B132" i="48"/>
  <c r="B133" i="48"/>
  <c r="B134" i="48"/>
  <c r="B135" i="48"/>
  <c r="B136" i="48"/>
  <c r="B137" i="48"/>
  <c r="B138" i="48"/>
  <c r="B139" i="48"/>
  <c r="B140" i="48"/>
  <c r="B141" i="48"/>
  <c r="B142" i="48"/>
  <c r="B143" i="48"/>
  <c r="B144" i="48"/>
  <c r="B145" i="48"/>
  <c r="B146" i="48"/>
  <c r="B147" i="48"/>
  <c r="B148" i="48"/>
  <c r="B149" i="48"/>
  <c r="B150" i="48"/>
  <c r="B151" i="48"/>
  <c r="B152" i="48"/>
  <c r="B153" i="48"/>
  <c r="B154" i="48"/>
  <c r="B155" i="48"/>
  <c r="B156" i="48"/>
  <c r="B157" i="48"/>
  <c r="B158" i="48"/>
  <c r="B159" i="48"/>
  <c r="B160" i="48"/>
  <c r="B161" i="48"/>
  <c r="B162" i="48"/>
  <c r="B163" i="48"/>
  <c r="B164" i="48"/>
  <c r="B165" i="48"/>
  <c r="B166" i="48"/>
  <c r="B167" i="48"/>
  <c r="B168" i="48"/>
  <c r="B169" i="48"/>
  <c r="B170" i="48"/>
  <c r="B171" i="48"/>
  <c r="B172" i="48"/>
  <c r="B173" i="48"/>
  <c r="B174" i="48"/>
  <c r="B175" i="48"/>
  <c r="B176" i="48"/>
  <c r="B177" i="48"/>
  <c r="B178" i="48"/>
  <c r="B179" i="48"/>
  <c r="B180" i="48"/>
  <c r="B181" i="48"/>
  <c r="B182" i="48"/>
  <c r="B183" i="48"/>
  <c r="B184" i="48"/>
  <c r="B185" i="48"/>
  <c r="B186" i="48"/>
  <c r="B187" i="48"/>
  <c r="B188" i="48"/>
  <c r="B189" i="48"/>
  <c r="B190" i="48"/>
  <c r="B191" i="48"/>
  <c r="B192" i="48"/>
  <c r="B193" i="48"/>
  <c r="B194" i="48"/>
  <c r="B195" i="48"/>
  <c r="B196" i="48"/>
  <c r="B197" i="48"/>
  <c r="B198" i="48"/>
  <c r="B199" i="48"/>
  <c r="B200" i="48"/>
  <c r="B201" i="48"/>
  <c r="B202" i="48"/>
  <c r="B203" i="48"/>
  <c r="B204" i="48"/>
  <c r="B205" i="48"/>
  <c r="B206" i="48"/>
  <c r="B207" i="48"/>
  <c r="B208" i="48"/>
  <c r="B209" i="48"/>
  <c r="B210" i="48"/>
  <c r="B211" i="48"/>
  <c r="B212" i="48"/>
  <c r="B213" i="48"/>
  <c r="B214" i="48"/>
  <c r="B215" i="48"/>
  <c r="B216" i="48"/>
  <c r="B217" i="48"/>
  <c r="B218" i="48"/>
  <c r="B219" i="48"/>
  <c r="B220" i="48"/>
  <c r="B221" i="48"/>
  <c r="B222" i="48"/>
  <c r="B223" i="48"/>
  <c r="B224" i="48"/>
  <c r="B225" i="48"/>
  <c r="B226" i="48"/>
  <c r="B227" i="48"/>
  <c r="B228" i="48"/>
  <c r="B229" i="48"/>
  <c r="B230" i="48"/>
  <c r="B231" i="48"/>
  <c r="B232" i="48"/>
  <c r="B233" i="48"/>
  <c r="B234" i="48"/>
  <c r="B235" i="48"/>
  <c r="B236" i="48"/>
  <c r="B237" i="48"/>
  <c r="B238" i="48"/>
  <c r="B239" i="48"/>
  <c r="B240" i="48"/>
  <c r="B241" i="48"/>
  <c r="B242" i="48"/>
  <c r="B243" i="48"/>
  <c r="B244" i="48"/>
  <c r="B245" i="48"/>
  <c r="B246" i="48"/>
  <c r="B247" i="48"/>
  <c r="B248" i="48"/>
  <c r="B249" i="48"/>
  <c r="B250" i="48"/>
  <c r="B251" i="48"/>
  <c r="B252" i="48"/>
  <c r="B253" i="48"/>
  <c r="B254" i="48"/>
  <c r="B255" i="48"/>
  <c r="B256" i="48"/>
  <c r="B257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87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B311" i="48"/>
  <c r="B312" i="48"/>
  <c r="B313" i="48"/>
  <c r="B314" i="48"/>
  <c r="B315" i="48"/>
  <c r="B316" i="48"/>
  <c r="B317" i="48"/>
  <c r="B318" i="48"/>
  <c r="B319" i="48"/>
  <c r="B320" i="48"/>
  <c r="B321" i="48"/>
  <c r="B322" i="48"/>
  <c r="B323" i="48"/>
  <c r="B324" i="48"/>
  <c r="B325" i="48"/>
  <c r="B326" i="48"/>
  <c r="B327" i="48"/>
  <c r="B328" i="48"/>
  <c r="B329" i="48"/>
  <c r="B330" i="48"/>
  <c r="B331" i="48"/>
  <c r="B332" i="48"/>
  <c r="B333" i="48"/>
  <c r="B334" i="48"/>
  <c r="B335" i="48"/>
  <c r="B336" i="48"/>
  <c r="B337" i="48"/>
  <c r="B338" i="48"/>
  <c r="B339" i="48"/>
  <c r="B340" i="48"/>
  <c r="B341" i="48"/>
  <c r="B342" i="48"/>
  <c r="B343" i="48"/>
  <c r="B344" i="48"/>
  <c r="B345" i="48"/>
  <c r="B346" i="48"/>
  <c r="B347" i="48"/>
  <c r="B348" i="48"/>
  <c r="B349" i="48"/>
  <c r="B350" i="48"/>
  <c r="B351" i="48"/>
  <c r="B352" i="48"/>
  <c r="B353" i="48"/>
  <c r="B354" i="48"/>
  <c r="B355" i="48"/>
  <c r="B356" i="48"/>
  <c r="B357" i="48"/>
  <c r="B358" i="48"/>
  <c r="B359" i="48"/>
  <c r="B360" i="48"/>
  <c r="B361" i="48"/>
  <c r="B362" i="48"/>
  <c r="B363" i="48"/>
  <c r="B364" i="48"/>
  <c r="B365" i="48"/>
  <c r="B366" i="48"/>
  <c r="B367" i="48"/>
  <c r="B368" i="48"/>
  <c r="B369" i="48"/>
  <c r="B370" i="48"/>
  <c r="B371" i="48"/>
  <c r="B372" i="48"/>
  <c r="B373" i="48"/>
  <c r="B374" i="48"/>
  <c r="B375" i="48"/>
  <c r="B376" i="48"/>
  <c r="B377" i="48"/>
  <c r="B378" i="48"/>
  <c r="B379" i="48"/>
  <c r="B380" i="48"/>
  <c r="B381" i="48"/>
  <c r="B382" i="48"/>
  <c r="B383" i="48"/>
  <c r="B384" i="48"/>
  <c r="B385" i="48"/>
  <c r="B386" i="48"/>
  <c r="B387" i="48"/>
  <c r="B388" i="48"/>
  <c r="B389" i="48"/>
  <c r="B390" i="48"/>
  <c r="B391" i="48"/>
  <c r="B392" i="48"/>
  <c r="B393" i="48"/>
  <c r="B394" i="48"/>
  <c r="B395" i="48"/>
  <c r="B396" i="48"/>
  <c r="B397" i="48"/>
  <c r="B398" i="48"/>
  <c r="B399" i="48"/>
  <c r="B400" i="48"/>
  <c r="B401" i="48"/>
  <c r="B402" i="48"/>
  <c r="B403" i="48"/>
  <c r="B404" i="48"/>
  <c r="B405" i="48"/>
  <c r="B406" i="48"/>
  <c r="B407" i="48"/>
  <c r="B408" i="48"/>
  <c r="B409" i="48"/>
  <c r="B410" i="48"/>
  <c r="B411" i="48"/>
  <c r="B412" i="48"/>
  <c r="B413" i="48"/>
  <c r="B414" i="48"/>
  <c r="B415" i="48"/>
  <c r="B416" i="48"/>
  <c r="B417" i="48"/>
  <c r="B418" i="48"/>
  <c r="B419" i="48"/>
  <c r="B420" i="48"/>
  <c r="B421" i="48"/>
  <c r="B422" i="48"/>
  <c r="B423" i="48"/>
  <c r="B424" i="48"/>
  <c r="B425" i="48"/>
  <c r="B426" i="48"/>
  <c r="B427" i="48"/>
  <c r="B428" i="48"/>
  <c r="B429" i="48"/>
  <c r="B430" i="48"/>
  <c r="B431" i="48"/>
  <c r="B432" i="48"/>
  <c r="B433" i="48"/>
  <c r="B434" i="48"/>
  <c r="B435" i="48"/>
  <c r="B436" i="48"/>
  <c r="B437" i="48"/>
  <c r="B438" i="48"/>
  <c r="B439" i="48"/>
  <c r="B440" i="48"/>
  <c r="B441" i="48"/>
  <c r="B442" i="48"/>
  <c r="B443" i="48"/>
  <c r="B444" i="48"/>
  <c r="B445" i="48"/>
  <c r="B446" i="48"/>
  <c r="B447" i="48"/>
  <c r="B448" i="48"/>
  <c r="B449" i="48"/>
  <c r="B450" i="48"/>
  <c r="B451" i="48"/>
  <c r="B452" i="48"/>
  <c r="B453" i="48"/>
  <c r="B454" i="48"/>
  <c r="B455" i="48"/>
  <c r="B456" i="48"/>
  <c r="B457" i="48"/>
  <c r="B458" i="48"/>
  <c r="B459" i="48"/>
  <c r="B460" i="48"/>
  <c r="B461" i="48"/>
  <c r="B462" i="48"/>
  <c r="B463" i="48"/>
  <c r="B464" i="48"/>
  <c r="B465" i="48"/>
  <c r="B466" i="48"/>
  <c r="B467" i="48"/>
  <c r="B468" i="48"/>
  <c r="B469" i="48"/>
  <c r="B470" i="48"/>
  <c r="B471" i="48"/>
  <c r="B472" i="48"/>
  <c r="B473" i="48"/>
  <c r="B474" i="48"/>
  <c r="B475" i="48"/>
  <c r="B476" i="48"/>
  <c r="B477" i="48"/>
  <c r="B478" i="48"/>
  <c r="B479" i="48"/>
  <c r="B480" i="48"/>
  <c r="B481" i="48"/>
  <c r="B482" i="48"/>
  <c r="B483" i="48"/>
  <c r="B484" i="48"/>
  <c r="B485" i="48"/>
  <c r="B486" i="48"/>
  <c r="B487" i="48"/>
  <c r="B488" i="48"/>
  <c r="B489" i="48"/>
  <c r="B490" i="48"/>
  <c r="B491" i="48"/>
  <c r="B492" i="48"/>
  <c r="B493" i="48"/>
  <c r="B494" i="48"/>
  <c r="B495" i="48"/>
  <c r="B496" i="48"/>
  <c r="B497" i="48"/>
  <c r="B498" i="48"/>
  <c r="B499" i="48"/>
  <c r="B500" i="48"/>
  <c r="B501" i="48"/>
  <c r="B502" i="48"/>
  <c r="B503" i="48"/>
  <c r="B504" i="48"/>
  <c r="B505" i="48"/>
  <c r="B506" i="48"/>
  <c r="B507" i="48"/>
  <c r="B508" i="48"/>
  <c r="B509" i="48"/>
  <c r="B510" i="48"/>
  <c r="B511" i="48"/>
  <c r="B512" i="48"/>
  <c r="B513" i="48"/>
  <c r="B514" i="48"/>
  <c r="B515" i="48"/>
  <c r="B516" i="48"/>
  <c r="B517" i="48"/>
  <c r="B518" i="48"/>
  <c r="B519" i="48"/>
  <c r="B520" i="48"/>
  <c r="B521" i="48"/>
  <c r="B522" i="48"/>
  <c r="B523" i="48"/>
  <c r="B524" i="48"/>
  <c r="B525" i="48"/>
  <c r="B526" i="48"/>
  <c r="B527" i="48"/>
  <c r="B528" i="48"/>
  <c r="B529" i="48"/>
  <c r="B530" i="48"/>
  <c r="B531" i="48"/>
  <c r="B532" i="48"/>
  <c r="B533" i="48"/>
  <c r="B534" i="48"/>
  <c r="B535" i="48"/>
  <c r="B536" i="48"/>
  <c r="B537" i="48"/>
  <c r="B538" i="48"/>
  <c r="B539" i="48"/>
  <c r="B540" i="48"/>
  <c r="B541" i="48"/>
  <c r="B542" i="48"/>
  <c r="B543" i="48"/>
  <c r="B544" i="48"/>
  <c r="B545" i="48"/>
  <c r="B546" i="48"/>
  <c r="B547" i="48"/>
  <c r="B548" i="48"/>
  <c r="B549" i="48"/>
  <c r="B550" i="48"/>
  <c r="B551" i="48"/>
  <c r="B552" i="48"/>
  <c r="B553" i="48"/>
  <c r="B554" i="48"/>
  <c r="B555" i="48"/>
  <c r="B556" i="48"/>
  <c r="B557" i="48"/>
  <c r="B558" i="48"/>
  <c r="B559" i="48"/>
  <c r="B560" i="48"/>
  <c r="B561" i="48"/>
  <c r="B562" i="48"/>
  <c r="B563" i="48"/>
  <c r="B564" i="48"/>
  <c r="B565" i="48"/>
  <c r="B566" i="48"/>
  <c r="B567" i="48"/>
  <c r="B568" i="48"/>
  <c r="B569" i="48"/>
  <c r="B570" i="48"/>
  <c r="B571" i="48"/>
  <c r="B572" i="48"/>
  <c r="B573" i="48"/>
  <c r="B574" i="48"/>
  <c r="B575" i="48"/>
  <c r="B576" i="48"/>
  <c r="B577" i="48"/>
  <c r="B578" i="48"/>
  <c r="B579" i="48"/>
  <c r="B580" i="48"/>
  <c r="B581" i="48"/>
  <c r="B582" i="48"/>
  <c r="B583" i="48"/>
  <c r="B584" i="48"/>
  <c r="B585" i="48"/>
  <c r="B586" i="48"/>
  <c r="B587" i="48"/>
  <c r="B588" i="48"/>
  <c r="B589" i="48"/>
  <c r="B590" i="48"/>
  <c r="B591" i="48"/>
  <c r="B592" i="48"/>
  <c r="B593" i="48"/>
  <c r="B594" i="48"/>
  <c r="B595" i="48"/>
  <c r="B596" i="48"/>
  <c r="B597" i="48"/>
  <c r="B598" i="48"/>
  <c r="B599" i="48"/>
  <c r="B600" i="48"/>
  <c r="B601" i="48"/>
  <c r="B602" i="48"/>
  <c r="B603" i="48"/>
  <c r="B604" i="48"/>
  <c r="B605" i="48"/>
  <c r="B606" i="48"/>
  <c r="B607" i="48"/>
  <c r="B608" i="48"/>
  <c r="B609" i="48"/>
  <c r="B610" i="48"/>
  <c r="B611" i="48"/>
  <c r="B612" i="48"/>
  <c r="B613" i="48"/>
  <c r="B614" i="48"/>
  <c r="B615" i="48"/>
  <c r="B616" i="48"/>
  <c r="B617" i="48"/>
  <c r="B618" i="48"/>
  <c r="B619" i="48"/>
  <c r="B620" i="48"/>
  <c r="B621" i="48"/>
  <c r="B622" i="48"/>
  <c r="B623" i="48"/>
  <c r="B624" i="48"/>
  <c r="B625" i="48"/>
  <c r="B626" i="48"/>
  <c r="B627" i="48"/>
  <c r="B628" i="48"/>
  <c r="B629" i="48"/>
  <c r="B630" i="48"/>
  <c r="B631" i="48"/>
  <c r="B632" i="48"/>
  <c r="B633" i="48"/>
  <c r="B634" i="48"/>
  <c r="B635" i="48"/>
  <c r="B636" i="48"/>
  <c r="B637" i="48"/>
  <c r="B638" i="48"/>
  <c r="B639" i="48"/>
  <c r="B640" i="48"/>
  <c r="B641" i="48"/>
  <c r="B642" i="48"/>
  <c r="B643" i="48"/>
  <c r="B644" i="48"/>
  <c r="B645" i="48"/>
  <c r="B646" i="48"/>
  <c r="B647" i="48"/>
  <c r="B648" i="48"/>
  <c r="B649" i="48"/>
  <c r="B650" i="48"/>
  <c r="B651" i="48"/>
  <c r="B652" i="48"/>
  <c r="B653" i="48"/>
  <c r="B654" i="48"/>
  <c r="B655" i="48"/>
  <c r="B656" i="48"/>
  <c r="B657" i="48"/>
  <c r="B658" i="48"/>
  <c r="B659" i="48"/>
  <c r="B660" i="48"/>
  <c r="B661" i="48"/>
  <c r="B662" i="48"/>
  <c r="B663" i="48"/>
  <c r="B664" i="48"/>
  <c r="B665" i="48"/>
  <c r="B666" i="48"/>
  <c r="B667" i="48"/>
  <c r="B668" i="48"/>
  <c r="B669" i="48"/>
  <c r="B670" i="48"/>
  <c r="B671" i="48"/>
  <c r="B672" i="48"/>
  <c r="B673" i="48"/>
  <c r="B674" i="48"/>
  <c r="B675" i="48"/>
  <c r="B676" i="48"/>
  <c r="B677" i="48"/>
  <c r="B678" i="48"/>
  <c r="B679" i="48"/>
  <c r="B680" i="48"/>
  <c r="B681" i="48"/>
  <c r="B682" i="48"/>
  <c r="B683" i="48"/>
  <c r="B684" i="48"/>
  <c r="B685" i="48"/>
  <c r="B686" i="48"/>
  <c r="B687" i="48"/>
  <c r="B688" i="48"/>
  <c r="B689" i="48"/>
  <c r="B690" i="48"/>
  <c r="B691" i="48"/>
  <c r="B692" i="48"/>
  <c r="B693" i="48"/>
  <c r="B694" i="48"/>
  <c r="B695" i="48"/>
  <c r="B696" i="48"/>
  <c r="B697" i="48"/>
  <c r="B698" i="48"/>
  <c r="B699" i="48"/>
  <c r="B700" i="48"/>
  <c r="B701" i="48"/>
  <c r="B702" i="48"/>
  <c r="B703" i="48"/>
  <c r="B704" i="48"/>
  <c r="B705" i="48"/>
  <c r="B706" i="48"/>
  <c r="B707" i="48"/>
  <c r="B708" i="48"/>
  <c r="B709" i="48"/>
  <c r="B710" i="48"/>
  <c r="B711" i="48"/>
  <c r="B712" i="48"/>
  <c r="B713" i="48"/>
  <c r="B714" i="48"/>
  <c r="B715" i="48"/>
  <c r="B716" i="48"/>
  <c r="B717" i="48"/>
  <c r="B718" i="48"/>
  <c r="B719" i="48"/>
  <c r="B720" i="48"/>
  <c r="B721" i="48"/>
  <c r="B722" i="48"/>
  <c r="B723" i="48"/>
  <c r="B724" i="48"/>
  <c r="B725" i="48"/>
  <c r="B726" i="48"/>
  <c r="B727" i="48"/>
  <c r="B728" i="48"/>
  <c r="B729" i="48"/>
  <c r="B730" i="48"/>
  <c r="B731" i="48"/>
  <c r="B732" i="48"/>
  <c r="B733" i="48"/>
  <c r="B734" i="48"/>
  <c r="B735" i="48"/>
  <c r="B736" i="48"/>
  <c r="B737" i="48"/>
  <c r="B738" i="48"/>
  <c r="B739" i="48"/>
  <c r="B740" i="48"/>
  <c r="B741" i="48"/>
  <c r="B742" i="48"/>
  <c r="B743" i="48"/>
  <c r="B744" i="48"/>
  <c r="B745" i="48"/>
  <c r="B746" i="48"/>
  <c r="B747" i="48"/>
  <c r="B748" i="48"/>
  <c r="B749" i="48"/>
  <c r="B750" i="48"/>
  <c r="B751" i="48"/>
  <c r="B752" i="48"/>
  <c r="B753" i="48"/>
  <c r="B754" i="48"/>
  <c r="B755" i="48"/>
  <c r="B756" i="48"/>
  <c r="B757" i="48"/>
  <c r="B758" i="48"/>
  <c r="B759" i="48"/>
  <c r="B760" i="48"/>
  <c r="B761" i="48"/>
  <c r="B762" i="48"/>
  <c r="B763" i="48"/>
  <c r="B764" i="48"/>
  <c r="B765" i="48"/>
  <c r="B766" i="48"/>
  <c r="B767" i="48"/>
  <c r="B768" i="48"/>
  <c r="B769" i="48"/>
  <c r="B770" i="48"/>
  <c r="B771" i="48"/>
  <c r="B772" i="48"/>
  <c r="B773" i="48"/>
  <c r="B774" i="48"/>
  <c r="B775" i="48"/>
  <c r="B776" i="48"/>
  <c r="B777" i="48"/>
  <c r="B778" i="48"/>
  <c r="B779" i="48"/>
  <c r="B780" i="48"/>
  <c r="B781" i="48"/>
  <c r="B782" i="48"/>
  <c r="B783" i="48"/>
  <c r="B784" i="48"/>
  <c r="B785" i="48"/>
  <c r="B786" i="48"/>
  <c r="B787" i="48"/>
  <c r="B788" i="48"/>
  <c r="B789" i="48"/>
  <c r="B790" i="48"/>
  <c r="B791" i="48"/>
  <c r="B792" i="48"/>
  <c r="B793" i="48"/>
  <c r="B794" i="48"/>
  <c r="B795" i="48"/>
  <c r="B796" i="48"/>
  <c r="B797" i="48"/>
  <c r="B798" i="48"/>
  <c r="B799" i="48"/>
  <c r="B800" i="48"/>
  <c r="B801" i="48"/>
  <c r="B802" i="48"/>
  <c r="B803" i="48"/>
  <c r="B804" i="48"/>
  <c r="B805" i="48"/>
  <c r="B806" i="48"/>
  <c r="B807" i="48"/>
  <c r="B808" i="48"/>
  <c r="B809" i="48"/>
  <c r="B810" i="48"/>
  <c r="B811" i="48"/>
  <c r="B812" i="48"/>
  <c r="B813" i="48"/>
  <c r="B814" i="48"/>
  <c r="B815" i="48"/>
  <c r="B816" i="48"/>
  <c r="B817" i="48"/>
  <c r="B818" i="48"/>
  <c r="B819" i="48"/>
  <c r="B820" i="48"/>
  <c r="B821" i="48"/>
  <c r="B822" i="48"/>
  <c r="B823" i="48"/>
  <c r="B824" i="48"/>
  <c r="B825" i="48"/>
  <c r="B826" i="48"/>
  <c r="B827" i="48"/>
  <c r="B828" i="48"/>
  <c r="B829" i="48"/>
  <c r="B830" i="48"/>
  <c r="B831" i="48"/>
  <c r="B832" i="48"/>
  <c r="B833" i="48"/>
  <c r="B834" i="48"/>
  <c r="B835" i="48"/>
  <c r="B836" i="48"/>
  <c r="B837" i="48"/>
  <c r="B838" i="48"/>
  <c r="B839" i="48"/>
  <c r="B840" i="48"/>
  <c r="B841" i="48"/>
  <c r="B842" i="48"/>
  <c r="B843" i="48"/>
  <c r="B844" i="48"/>
  <c r="B845" i="48"/>
  <c r="B846" i="48"/>
  <c r="B847" i="48"/>
  <c r="B848" i="48"/>
  <c r="B849" i="48"/>
  <c r="B850" i="48"/>
  <c r="B851" i="48"/>
  <c r="B852" i="48"/>
  <c r="B853" i="48"/>
  <c r="B854" i="48"/>
  <c r="B855" i="48"/>
  <c r="B856" i="48"/>
  <c r="B857" i="48"/>
  <c r="B858" i="48"/>
  <c r="B859" i="48"/>
  <c r="B860" i="48"/>
  <c r="B861" i="48"/>
  <c r="B862" i="48"/>
  <c r="B863" i="48"/>
  <c r="B864" i="48"/>
  <c r="B865" i="48"/>
  <c r="B866" i="48"/>
  <c r="B867" i="48"/>
  <c r="B868" i="48"/>
  <c r="B869" i="48"/>
  <c r="B870" i="48"/>
  <c r="B871" i="48"/>
  <c r="B872" i="48"/>
  <c r="B873" i="48"/>
  <c r="B874" i="48"/>
  <c r="B875" i="48"/>
  <c r="B876" i="48"/>
  <c r="B877" i="48"/>
  <c r="B878" i="48"/>
  <c r="B879" i="48"/>
  <c r="B880" i="48"/>
  <c r="B881" i="48"/>
  <c r="B882" i="48"/>
  <c r="B883" i="48"/>
  <c r="B884" i="48"/>
  <c r="B885" i="48"/>
  <c r="B886" i="48"/>
  <c r="B887" i="48"/>
  <c r="B888" i="48"/>
  <c r="B889" i="48"/>
  <c r="B890" i="48"/>
  <c r="B891" i="48"/>
  <c r="B892" i="48"/>
  <c r="B893" i="48"/>
  <c r="B894" i="48"/>
  <c r="B895" i="48"/>
  <c r="B896" i="48"/>
  <c r="B897" i="48"/>
  <c r="B898" i="48"/>
  <c r="B899" i="48"/>
  <c r="B900" i="48"/>
  <c r="B901" i="48"/>
  <c r="B902" i="48"/>
  <c r="B903" i="48"/>
  <c r="B904" i="48"/>
  <c r="B905" i="48"/>
  <c r="B906" i="48"/>
  <c r="B907" i="48"/>
  <c r="B908" i="48"/>
  <c r="B909" i="48"/>
  <c r="B910" i="48"/>
  <c r="B911" i="48"/>
  <c r="B912" i="48"/>
  <c r="B913" i="48"/>
  <c r="B914" i="48"/>
  <c r="B915" i="48"/>
  <c r="B916" i="48"/>
  <c r="B917" i="48"/>
  <c r="B918" i="48"/>
  <c r="B919" i="48"/>
  <c r="B920" i="48"/>
  <c r="B921" i="48"/>
  <c r="B922" i="48"/>
  <c r="B923" i="48"/>
  <c r="B924" i="48"/>
  <c r="B925" i="48"/>
  <c r="B926" i="48"/>
  <c r="B927" i="48"/>
  <c r="B928" i="48"/>
  <c r="B929" i="48"/>
  <c r="B930" i="48"/>
  <c r="B931" i="48"/>
  <c r="B932" i="48"/>
  <c r="B933" i="48"/>
  <c r="B934" i="48"/>
  <c r="B935" i="48"/>
  <c r="B936" i="48"/>
  <c r="B937" i="48"/>
  <c r="B938" i="48"/>
  <c r="B939" i="48"/>
  <c r="B3" i="48"/>
  <c r="B4" i="48"/>
  <c r="B5" i="48"/>
  <c r="B6" i="48"/>
  <c r="B7" i="48"/>
  <c r="B8" i="48"/>
  <c r="B9" i="48"/>
  <c r="B10" i="48"/>
  <c r="B11" i="48"/>
  <c r="B12" i="48"/>
  <c r="B13" i="48"/>
  <c r="B14" i="48"/>
  <c r="B15" i="48"/>
  <c r="B16" i="48"/>
  <c r="B17" i="48"/>
  <c r="B18" i="48"/>
  <c r="B19" i="48"/>
  <c r="B20" i="48"/>
  <c r="B21" i="48"/>
  <c r="B22" i="48"/>
  <c r="B23" i="48"/>
  <c r="B24" i="48"/>
  <c r="B25" i="48"/>
  <c r="B26" i="48"/>
  <c r="B27" i="48"/>
  <c r="B28" i="48"/>
  <c r="B29" i="48"/>
  <c r="B30" i="48"/>
  <c r="B31" i="48"/>
  <c r="B32" i="48"/>
  <c r="B33" i="48"/>
  <c r="B34" i="48"/>
  <c r="B35" i="48"/>
  <c r="B36" i="48"/>
  <c r="B37" i="48"/>
  <c r="B38" i="48"/>
  <c r="B39" i="48"/>
  <c r="B40" i="48"/>
  <c r="B41" i="48"/>
  <c r="B42" i="48"/>
  <c r="B43" i="48"/>
  <c r="B44" i="48"/>
  <c r="B45" i="48"/>
  <c r="B46" i="48"/>
  <c r="B47" i="48"/>
  <c r="B48" i="48"/>
  <c r="B49" i="48"/>
  <c r="B50" i="48"/>
  <c r="B51" i="48"/>
  <c r="B52" i="48"/>
  <c r="B53" i="48"/>
  <c r="B54" i="48"/>
  <c r="B55" i="48"/>
  <c r="B56" i="48"/>
  <c r="B57" i="48"/>
  <c r="B58" i="48"/>
  <c r="B59" i="48"/>
  <c r="B60" i="48"/>
  <c r="B2" i="48"/>
  <c r="AL3" i="51"/>
  <c r="AD3" i="51"/>
  <c r="V3" i="51"/>
  <c r="N3" i="51"/>
  <c r="F3" i="51"/>
  <c r="B3" i="51" a="1"/>
  <c r="AS3" i="51" s="1"/>
  <c r="AL3" i="50"/>
  <c r="AD3" i="50"/>
  <c r="V3" i="50"/>
  <c r="N3" i="50"/>
  <c r="F3" i="50"/>
  <c r="B3" i="50" a="1"/>
  <c r="AS3" i="50" s="1"/>
  <c r="AQ3" i="49"/>
  <c r="AI3" i="49"/>
  <c r="AA3" i="49"/>
  <c r="S3" i="49"/>
  <c r="K3" i="49"/>
  <c r="C3" i="49"/>
  <c r="B3" i="49" a="1"/>
  <c r="AS3" i="49" s="1"/>
  <c r="G3" i="51" l="1"/>
  <c r="O3" i="51"/>
  <c r="W3" i="51"/>
  <c r="AE3" i="51"/>
  <c r="AM3" i="51"/>
  <c r="H3" i="51"/>
  <c r="P3" i="51"/>
  <c r="X3" i="51"/>
  <c r="AF3" i="51"/>
  <c r="AN3" i="51"/>
  <c r="I3" i="51"/>
  <c r="Q3" i="51"/>
  <c r="Y3" i="51"/>
  <c r="AG3" i="51"/>
  <c r="AO3" i="51"/>
  <c r="B3" i="51"/>
  <c r="J3" i="51"/>
  <c r="R3" i="51"/>
  <c r="Z3" i="51"/>
  <c r="AH3" i="51"/>
  <c r="AP3" i="51"/>
  <c r="C3" i="51"/>
  <c r="K3" i="51"/>
  <c r="S3" i="51"/>
  <c r="AA3" i="51"/>
  <c r="AI3" i="51"/>
  <c r="AQ3" i="51"/>
  <c r="D3" i="51"/>
  <c r="L3" i="51"/>
  <c r="T3" i="51"/>
  <c r="AB3" i="51"/>
  <c r="AJ3" i="51"/>
  <c r="AR3" i="51"/>
  <c r="E3" i="51"/>
  <c r="M3" i="51"/>
  <c r="U3" i="51"/>
  <c r="AC3" i="51"/>
  <c r="AK3" i="51"/>
  <c r="G3" i="50"/>
  <c r="O3" i="50"/>
  <c r="W3" i="50"/>
  <c r="AE3" i="50"/>
  <c r="AM3" i="50"/>
  <c r="H3" i="50"/>
  <c r="P3" i="50"/>
  <c r="X3" i="50"/>
  <c r="AF3" i="50"/>
  <c r="AN3" i="50"/>
  <c r="I3" i="50"/>
  <c r="Q3" i="50"/>
  <c r="Y3" i="50"/>
  <c r="AG3" i="50"/>
  <c r="AO3" i="50"/>
  <c r="B3" i="50"/>
  <c r="J3" i="50"/>
  <c r="R3" i="50"/>
  <c r="Z3" i="50"/>
  <c r="AH3" i="50"/>
  <c r="AP3" i="50"/>
  <c r="C3" i="50"/>
  <c r="K3" i="50"/>
  <c r="S3" i="50"/>
  <c r="AA3" i="50"/>
  <c r="AI3" i="50"/>
  <c r="AQ3" i="50"/>
  <c r="D3" i="50"/>
  <c r="L3" i="50"/>
  <c r="T3" i="50"/>
  <c r="AB3" i="50"/>
  <c r="AJ3" i="50"/>
  <c r="AR3" i="50"/>
  <c r="E3" i="50"/>
  <c r="M3" i="50"/>
  <c r="U3" i="50"/>
  <c r="AC3" i="50"/>
  <c r="AK3" i="50"/>
  <c r="F3" i="49"/>
  <c r="N3" i="49"/>
  <c r="V3" i="49"/>
  <c r="AD3" i="49"/>
  <c r="AL3" i="49"/>
  <c r="G3" i="49"/>
  <c r="O3" i="49"/>
  <c r="W3" i="49"/>
  <c r="AE3" i="49"/>
  <c r="AM3" i="49"/>
  <c r="H3" i="49"/>
  <c r="P3" i="49"/>
  <c r="X3" i="49"/>
  <c r="AF3" i="49"/>
  <c r="AN3" i="49"/>
  <c r="I3" i="49"/>
  <c r="Q3" i="49"/>
  <c r="Y3" i="49"/>
  <c r="AG3" i="49"/>
  <c r="AO3" i="49"/>
  <c r="B3" i="49"/>
  <c r="J3" i="49"/>
  <c r="R3" i="49"/>
  <c r="Z3" i="49"/>
  <c r="AH3" i="49"/>
  <c r="AP3" i="49"/>
  <c r="D3" i="49"/>
  <c r="L3" i="49"/>
  <c r="T3" i="49"/>
  <c r="AB3" i="49"/>
  <c r="AJ3" i="49"/>
  <c r="AR3" i="49"/>
  <c r="E3" i="49"/>
  <c r="M3" i="49"/>
  <c r="U3" i="49"/>
  <c r="AC3" i="49"/>
  <c r="AK3" i="49"/>
  <c r="BA998" i="48" l="1"/>
  <c r="I278" i="48"/>
  <c r="I325" i="48" s="1"/>
  <c r="I372" i="48" s="1"/>
  <c r="I419" i="48" s="1"/>
  <c r="I466" i="48" s="1"/>
  <c r="I513" i="48" s="1"/>
  <c r="I560" i="48" s="1"/>
  <c r="I607" i="48" s="1"/>
  <c r="I654" i="48" s="1"/>
  <c r="I701" i="48" s="1"/>
  <c r="I748" i="48" s="1"/>
  <c r="I270" i="48"/>
  <c r="I317" i="48" s="1"/>
  <c r="I364" i="48" s="1"/>
  <c r="I411" i="48" s="1"/>
  <c r="I458" i="48" s="1"/>
  <c r="I505" i="48" s="1"/>
  <c r="I552" i="48" s="1"/>
  <c r="I599" i="48" s="1"/>
  <c r="I646" i="48" s="1"/>
  <c r="I693" i="48" s="1"/>
  <c r="I740" i="48" s="1"/>
  <c r="I202" i="48"/>
  <c r="I249" i="48" s="1"/>
  <c r="I296" i="48" s="1"/>
  <c r="I343" i="48" s="1"/>
  <c r="I390" i="48" s="1"/>
  <c r="I437" i="48" s="1"/>
  <c r="I484" i="48" s="1"/>
  <c r="I531" i="48" s="1"/>
  <c r="I578" i="48" s="1"/>
  <c r="I625" i="48" s="1"/>
  <c r="I672" i="48" s="1"/>
  <c r="I719" i="48" s="1"/>
  <c r="I179" i="48"/>
  <c r="I226" i="48" s="1"/>
  <c r="I273" i="48" s="1"/>
  <c r="I320" i="48" s="1"/>
  <c r="I367" i="48" s="1"/>
  <c r="I414" i="48" s="1"/>
  <c r="I461" i="48" s="1"/>
  <c r="I508" i="48" s="1"/>
  <c r="I555" i="48" s="1"/>
  <c r="I602" i="48" s="1"/>
  <c r="I649" i="48" s="1"/>
  <c r="I696" i="48" s="1"/>
  <c r="I743" i="48" s="1"/>
  <c r="I168" i="48"/>
  <c r="I215" i="48" s="1"/>
  <c r="I262" i="48" s="1"/>
  <c r="I309" i="48" s="1"/>
  <c r="I356" i="48" s="1"/>
  <c r="I403" i="48" s="1"/>
  <c r="I450" i="48" s="1"/>
  <c r="I497" i="48" s="1"/>
  <c r="I544" i="48" s="1"/>
  <c r="I591" i="48" s="1"/>
  <c r="I638" i="48" s="1"/>
  <c r="I685" i="48" s="1"/>
  <c r="I732" i="48" s="1"/>
  <c r="I156" i="48"/>
  <c r="I203" i="48" s="1"/>
  <c r="I250" i="48" s="1"/>
  <c r="I297" i="48" s="1"/>
  <c r="I344" i="48" s="1"/>
  <c r="I391" i="48" s="1"/>
  <c r="I438" i="48" s="1"/>
  <c r="I485" i="48" s="1"/>
  <c r="I532" i="48" s="1"/>
  <c r="I579" i="48" s="1"/>
  <c r="I626" i="48" s="1"/>
  <c r="I673" i="48" s="1"/>
  <c r="I720" i="48" s="1"/>
  <c r="I140" i="48"/>
  <c r="I187" i="48" s="1"/>
  <c r="I234" i="48" s="1"/>
  <c r="I281" i="48" s="1"/>
  <c r="I328" i="48" s="1"/>
  <c r="I375" i="48" s="1"/>
  <c r="I422" i="48" s="1"/>
  <c r="I469" i="48" s="1"/>
  <c r="I516" i="48" s="1"/>
  <c r="I563" i="48" s="1"/>
  <c r="I610" i="48" s="1"/>
  <c r="I657" i="48" s="1"/>
  <c r="I704" i="48" s="1"/>
  <c r="I751" i="48" s="1"/>
  <c r="I139" i="48"/>
  <c r="I186" i="48" s="1"/>
  <c r="I233" i="48" s="1"/>
  <c r="I280" i="48" s="1"/>
  <c r="I327" i="48" s="1"/>
  <c r="I374" i="48" s="1"/>
  <c r="I421" i="48" s="1"/>
  <c r="I468" i="48" s="1"/>
  <c r="I515" i="48" s="1"/>
  <c r="I562" i="48" s="1"/>
  <c r="I609" i="48" s="1"/>
  <c r="I656" i="48" s="1"/>
  <c r="I703" i="48" s="1"/>
  <c r="I750" i="48" s="1"/>
  <c r="I138" i="48"/>
  <c r="I185" i="48" s="1"/>
  <c r="I232" i="48" s="1"/>
  <c r="I279" i="48" s="1"/>
  <c r="I326" i="48" s="1"/>
  <c r="I373" i="48" s="1"/>
  <c r="I420" i="48" s="1"/>
  <c r="I467" i="48" s="1"/>
  <c r="I514" i="48" s="1"/>
  <c r="I561" i="48" s="1"/>
  <c r="I608" i="48" s="1"/>
  <c r="I655" i="48" s="1"/>
  <c r="I702" i="48" s="1"/>
  <c r="I749" i="48" s="1"/>
  <c r="I135" i="48"/>
  <c r="I182" i="48" s="1"/>
  <c r="I229" i="48" s="1"/>
  <c r="I276" i="48" s="1"/>
  <c r="I323" i="48" s="1"/>
  <c r="I370" i="48" s="1"/>
  <c r="I417" i="48" s="1"/>
  <c r="I464" i="48" s="1"/>
  <c r="I511" i="48" s="1"/>
  <c r="I558" i="48" s="1"/>
  <c r="I605" i="48" s="1"/>
  <c r="I652" i="48" s="1"/>
  <c r="I699" i="48" s="1"/>
  <c r="I746" i="48" s="1"/>
  <c r="I133" i="48"/>
  <c r="I180" i="48" s="1"/>
  <c r="I227" i="48" s="1"/>
  <c r="I274" i="48" s="1"/>
  <c r="I321" i="48" s="1"/>
  <c r="I368" i="48" s="1"/>
  <c r="I415" i="48" s="1"/>
  <c r="I462" i="48" s="1"/>
  <c r="I509" i="48" s="1"/>
  <c r="I556" i="48" s="1"/>
  <c r="I603" i="48" s="1"/>
  <c r="I650" i="48" s="1"/>
  <c r="I697" i="48" s="1"/>
  <c r="I744" i="48" s="1"/>
  <c r="I131" i="48"/>
  <c r="I178" i="48" s="1"/>
  <c r="I225" i="48" s="1"/>
  <c r="I272" i="48" s="1"/>
  <c r="I319" i="48" s="1"/>
  <c r="I366" i="48" s="1"/>
  <c r="I413" i="48" s="1"/>
  <c r="I460" i="48" s="1"/>
  <c r="I507" i="48" s="1"/>
  <c r="I554" i="48" s="1"/>
  <c r="I601" i="48" s="1"/>
  <c r="I648" i="48" s="1"/>
  <c r="I695" i="48" s="1"/>
  <c r="I742" i="48" s="1"/>
  <c r="I130" i="48"/>
  <c r="I177" i="48" s="1"/>
  <c r="I224" i="48" s="1"/>
  <c r="I271" i="48" s="1"/>
  <c r="I318" i="48" s="1"/>
  <c r="I365" i="48" s="1"/>
  <c r="I412" i="48" s="1"/>
  <c r="I459" i="48" s="1"/>
  <c r="I506" i="48" s="1"/>
  <c r="I553" i="48" s="1"/>
  <c r="I600" i="48" s="1"/>
  <c r="I647" i="48" s="1"/>
  <c r="I694" i="48" s="1"/>
  <c r="I741" i="48" s="1"/>
  <c r="I125" i="48"/>
  <c r="I172" i="48" s="1"/>
  <c r="I219" i="48" s="1"/>
  <c r="I266" i="48" s="1"/>
  <c r="I313" i="48" s="1"/>
  <c r="I360" i="48" s="1"/>
  <c r="I407" i="48" s="1"/>
  <c r="I454" i="48" s="1"/>
  <c r="I501" i="48" s="1"/>
  <c r="I548" i="48" s="1"/>
  <c r="I595" i="48" s="1"/>
  <c r="I642" i="48" s="1"/>
  <c r="I689" i="48" s="1"/>
  <c r="I736" i="48" s="1"/>
  <c r="I123" i="48"/>
  <c r="I170" i="48" s="1"/>
  <c r="I217" i="48" s="1"/>
  <c r="I264" i="48" s="1"/>
  <c r="I311" i="48" s="1"/>
  <c r="I358" i="48" s="1"/>
  <c r="I405" i="48" s="1"/>
  <c r="I452" i="48" s="1"/>
  <c r="I499" i="48" s="1"/>
  <c r="I546" i="48" s="1"/>
  <c r="I593" i="48" s="1"/>
  <c r="I640" i="48" s="1"/>
  <c r="I687" i="48" s="1"/>
  <c r="I734" i="48" s="1"/>
  <c r="I122" i="48"/>
  <c r="I169" i="48" s="1"/>
  <c r="I216" i="48" s="1"/>
  <c r="I263" i="48" s="1"/>
  <c r="I310" i="48" s="1"/>
  <c r="I357" i="48" s="1"/>
  <c r="I404" i="48" s="1"/>
  <c r="I451" i="48" s="1"/>
  <c r="I498" i="48" s="1"/>
  <c r="I545" i="48" s="1"/>
  <c r="I592" i="48" s="1"/>
  <c r="I639" i="48" s="1"/>
  <c r="I686" i="48" s="1"/>
  <c r="I733" i="48" s="1"/>
  <c r="I120" i="48"/>
  <c r="I167" i="48" s="1"/>
  <c r="I214" i="48" s="1"/>
  <c r="I261" i="48" s="1"/>
  <c r="I308" i="48" s="1"/>
  <c r="I355" i="48" s="1"/>
  <c r="I402" i="48" s="1"/>
  <c r="I449" i="48" s="1"/>
  <c r="I496" i="48" s="1"/>
  <c r="I543" i="48" s="1"/>
  <c r="I590" i="48" s="1"/>
  <c r="I637" i="48" s="1"/>
  <c r="I684" i="48" s="1"/>
  <c r="I731" i="48" s="1"/>
  <c r="I117" i="48"/>
  <c r="I164" i="48" s="1"/>
  <c r="I211" i="48" s="1"/>
  <c r="I258" i="48" s="1"/>
  <c r="I305" i="48" s="1"/>
  <c r="I352" i="48" s="1"/>
  <c r="I399" i="48" s="1"/>
  <c r="I446" i="48" s="1"/>
  <c r="I493" i="48" s="1"/>
  <c r="I540" i="48" s="1"/>
  <c r="I587" i="48" s="1"/>
  <c r="I634" i="48" s="1"/>
  <c r="I681" i="48" s="1"/>
  <c r="I728" i="48" s="1"/>
  <c r="I114" i="48"/>
  <c r="I161" i="48" s="1"/>
  <c r="I208" i="48" s="1"/>
  <c r="I255" i="48" s="1"/>
  <c r="I302" i="48" s="1"/>
  <c r="I349" i="48" s="1"/>
  <c r="I396" i="48" s="1"/>
  <c r="I443" i="48" s="1"/>
  <c r="I490" i="48" s="1"/>
  <c r="I537" i="48" s="1"/>
  <c r="I584" i="48" s="1"/>
  <c r="I631" i="48" s="1"/>
  <c r="I678" i="48" s="1"/>
  <c r="I725" i="48" s="1"/>
  <c r="I112" i="48"/>
  <c r="I159" i="48" s="1"/>
  <c r="I206" i="48" s="1"/>
  <c r="I253" i="48" s="1"/>
  <c r="I300" i="48" s="1"/>
  <c r="I347" i="48" s="1"/>
  <c r="I394" i="48" s="1"/>
  <c r="I441" i="48" s="1"/>
  <c r="I488" i="48" s="1"/>
  <c r="I535" i="48" s="1"/>
  <c r="I582" i="48" s="1"/>
  <c r="I629" i="48" s="1"/>
  <c r="I676" i="48" s="1"/>
  <c r="I723" i="48" s="1"/>
  <c r="I109" i="48"/>
  <c r="I107" i="48"/>
  <c r="I154" i="48" s="1"/>
  <c r="I201" i="48" s="1"/>
  <c r="I248" i="48" s="1"/>
  <c r="I295" i="48" s="1"/>
  <c r="I342" i="48" s="1"/>
  <c r="I389" i="48" s="1"/>
  <c r="I436" i="48" s="1"/>
  <c r="I483" i="48" s="1"/>
  <c r="I530" i="48" s="1"/>
  <c r="I577" i="48" s="1"/>
  <c r="I624" i="48" s="1"/>
  <c r="I671" i="48" s="1"/>
  <c r="I718" i="48" s="1"/>
  <c r="I106" i="48"/>
  <c r="I153" i="48" s="1"/>
  <c r="I200" i="48" s="1"/>
  <c r="I247" i="48" s="1"/>
  <c r="I294" i="48" s="1"/>
  <c r="I341" i="48" s="1"/>
  <c r="I388" i="48" s="1"/>
  <c r="I435" i="48" s="1"/>
  <c r="I482" i="48" s="1"/>
  <c r="I529" i="48" s="1"/>
  <c r="I576" i="48" s="1"/>
  <c r="I623" i="48" s="1"/>
  <c r="I670" i="48" s="1"/>
  <c r="I717" i="48" s="1"/>
  <c r="I103" i="48"/>
  <c r="I150" i="48" s="1"/>
  <c r="I197" i="48" s="1"/>
  <c r="I244" i="48" s="1"/>
  <c r="I291" i="48" s="1"/>
  <c r="I338" i="48" s="1"/>
  <c r="I385" i="48" s="1"/>
  <c r="I432" i="48" s="1"/>
  <c r="I479" i="48" s="1"/>
  <c r="I526" i="48" s="1"/>
  <c r="I573" i="48" s="1"/>
  <c r="I620" i="48" s="1"/>
  <c r="I667" i="48" s="1"/>
  <c r="I714" i="48" s="1"/>
  <c r="I101" i="48"/>
  <c r="I148" i="48" s="1"/>
  <c r="I195" i="48" s="1"/>
  <c r="I242" i="48" s="1"/>
  <c r="I289" i="48" s="1"/>
  <c r="I336" i="48" s="1"/>
  <c r="I383" i="48" s="1"/>
  <c r="I430" i="48" s="1"/>
  <c r="I477" i="48" s="1"/>
  <c r="I524" i="48" s="1"/>
  <c r="I571" i="48" s="1"/>
  <c r="I618" i="48" s="1"/>
  <c r="I665" i="48" s="1"/>
  <c r="I712" i="48" s="1"/>
  <c r="I100" i="48"/>
  <c r="I147" i="48" s="1"/>
  <c r="I194" i="48" s="1"/>
  <c r="I241" i="48" s="1"/>
  <c r="I288" i="48" s="1"/>
  <c r="I335" i="48" s="1"/>
  <c r="I382" i="48" s="1"/>
  <c r="I429" i="48" s="1"/>
  <c r="I476" i="48" s="1"/>
  <c r="I523" i="48" s="1"/>
  <c r="I570" i="48" s="1"/>
  <c r="I617" i="48" s="1"/>
  <c r="I664" i="48" s="1"/>
  <c r="I711" i="48" s="1"/>
  <c r="I98" i="48"/>
  <c r="I145" i="48" s="1"/>
  <c r="I192" i="48" s="1"/>
  <c r="I239" i="48" s="1"/>
  <c r="I286" i="48" s="1"/>
  <c r="I333" i="48" s="1"/>
  <c r="I380" i="48" s="1"/>
  <c r="I427" i="48" s="1"/>
  <c r="I474" i="48" s="1"/>
  <c r="I521" i="48" s="1"/>
  <c r="I568" i="48" s="1"/>
  <c r="I615" i="48" s="1"/>
  <c r="I662" i="48" s="1"/>
  <c r="I709" i="48" s="1"/>
  <c r="I93" i="48"/>
  <c r="I92" i="48"/>
  <c r="I91" i="48"/>
  <c r="I90" i="48"/>
  <c r="I137" i="48" s="1"/>
  <c r="I184" i="48" s="1"/>
  <c r="I231" i="48" s="1"/>
  <c r="I89" i="48"/>
  <c r="I136" i="48" s="1"/>
  <c r="I183" i="48" s="1"/>
  <c r="I230" i="48" s="1"/>
  <c r="I277" i="48" s="1"/>
  <c r="I324" i="48" s="1"/>
  <c r="I371" i="48" s="1"/>
  <c r="I418" i="48" s="1"/>
  <c r="I465" i="48" s="1"/>
  <c r="I512" i="48" s="1"/>
  <c r="I559" i="48" s="1"/>
  <c r="I606" i="48" s="1"/>
  <c r="I653" i="48" s="1"/>
  <c r="I700" i="48" s="1"/>
  <c r="I747" i="48" s="1"/>
  <c r="I88" i="48"/>
  <c r="I87" i="48"/>
  <c r="I134" i="48" s="1"/>
  <c r="I181" i="48" s="1"/>
  <c r="I228" i="48" s="1"/>
  <c r="I275" i="48" s="1"/>
  <c r="I322" i="48" s="1"/>
  <c r="I369" i="48" s="1"/>
  <c r="I416" i="48" s="1"/>
  <c r="I463" i="48" s="1"/>
  <c r="I510" i="48" s="1"/>
  <c r="I557" i="48" s="1"/>
  <c r="I604" i="48" s="1"/>
  <c r="I651" i="48" s="1"/>
  <c r="I698" i="48" s="1"/>
  <c r="I745" i="48" s="1"/>
  <c r="I86" i="48"/>
  <c r="I85" i="48"/>
  <c r="I132" i="48" s="1"/>
  <c r="I84" i="48"/>
  <c r="I83" i="48"/>
  <c r="I82" i="48"/>
  <c r="I129" i="48" s="1"/>
  <c r="I176" i="48" s="1"/>
  <c r="I223" i="48" s="1"/>
  <c r="I81" i="48"/>
  <c r="I128" i="48" s="1"/>
  <c r="I175" i="48" s="1"/>
  <c r="I222" i="48" s="1"/>
  <c r="I269" i="48" s="1"/>
  <c r="I316" i="48" s="1"/>
  <c r="I363" i="48" s="1"/>
  <c r="I410" i="48" s="1"/>
  <c r="I457" i="48" s="1"/>
  <c r="I504" i="48" s="1"/>
  <c r="I551" i="48" s="1"/>
  <c r="I598" i="48" s="1"/>
  <c r="I645" i="48" s="1"/>
  <c r="I692" i="48" s="1"/>
  <c r="I739" i="48" s="1"/>
  <c r="I80" i="48"/>
  <c r="I127" i="48" s="1"/>
  <c r="I174" i="48" s="1"/>
  <c r="I221" i="48" s="1"/>
  <c r="I268" i="48" s="1"/>
  <c r="I315" i="48" s="1"/>
  <c r="I362" i="48" s="1"/>
  <c r="I409" i="48" s="1"/>
  <c r="I456" i="48" s="1"/>
  <c r="I503" i="48" s="1"/>
  <c r="I550" i="48" s="1"/>
  <c r="I597" i="48" s="1"/>
  <c r="I644" i="48" s="1"/>
  <c r="I691" i="48" s="1"/>
  <c r="I738" i="48" s="1"/>
  <c r="I79" i="48"/>
  <c r="I126" i="48" s="1"/>
  <c r="I173" i="48" s="1"/>
  <c r="I220" i="48" s="1"/>
  <c r="I267" i="48" s="1"/>
  <c r="I314" i="48" s="1"/>
  <c r="I361" i="48" s="1"/>
  <c r="I408" i="48" s="1"/>
  <c r="I455" i="48" s="1"/>
  <c r="I502" i="48" s="1"/>
  <c r="I549" i="48" s="1"/>
  <c r="I596" i="48" s="1"/>
  <c r="I643" i="48" s="1"/>
  <c r="I690" i="48" s="1"/>
  <c r="I737" i="48" s="1"/>
  <c r="I78" i="48"/>
  <c r="I77" i="48"/>
  <c r="I124" i="48" s="1"/>
  <c r="I171" i="48" s="1"/>
  <c r="I218" i="48" s="1"/>
  <c r="I265" i="48" s="1"/>
  <c r="I312" i="48" s="1"/>
  <c r="I359" i="48" s="1"/>
  <c r="I406" i="48" s="1"/>
  <c r="I453" i="48" s="1"/>
  <c r="I500" i="48" s="1"/>
  <c r="I547" i="48" s="1"/>
  <c r="I594" i="48" s="1"/>
  <c r="I641" i="48" s="1"/>
  <c r="I688" i="48" s="1"/>
  <c r="I735" i="48" s="1"/>
  <c r="I76" i="48"/>
  <c r="I75" i="48"/>
  <c r="I74" i="48"/>
  <c r="I121" i="48" s="1"/>
  <c r="I73" i="48"/>
  <c r="I72" i="48"/>
  <c r="I119" i="48" s="1"/>
  <c r="I166" i="48" s="1"/>
  <c r="I213" i="48" s="1"/>
  <c r="I260" i="48" s="1"/>
  <c r="I307" i="48" s="1"/>
  <c r="I354" i="48" s="1"/>
  <c r="I401" i="48" s="1"/>
  <c r="I448" i="48" s="1"/>
  <c r="I495" i="48" s="1"/>
  <c r="I542" i="48" s="1"/>
  <c r="I589" i="48" s="1"/>
  <c r="I636" i="48" s="1"/>
  <c r="I683" i="48" s="1"/>
  <c r="I730" i="48" s="1"/>
  <c r="I71" i="48"/>
  <c r="I118" i="48" s="1"/>
  <c r="I165" i="48" s="1"/>
  <c r="I212" i="48" s="1"/>
  <c r="I259" i="48" s="1"/>
  <c r="I306" i="48" s="1"/>
  <c r="I353" i="48" s="1"/>
  <c r="I400" i="48" s="1"/>
  <c r="I447" i="48" s="1"/>
  <c r="I494" i="48" s="1"/>
  <c r="I541" i="48" s="1"/>
  <c r="I588" i="48" s="1"/>
  <c r="I635" i="48" s="1"/>
  <c r="I682" i="48" s="1"/>
  <c r="I729" i="48" s="1"/>
  <c r="I70" i="48"/>
  <c r="I69" i="48"/>
  <c r="I116" i="48" s="1"/>
  <c r="I163" i="48" s="1"/>
  <c r="I210" i="48" s="1"/>
  <c r="I257" i="48" s="1"/>
  <c r="I304" i="48" s="1"/>
  <c r="I351" i="48" s="1"/>
  <c r="I398" i="48" s="1"/>
  <c r="I445" i="48" s="1"/>
  <c r="I492" i="48" s="1"/>
  <c r="I539" i="48" s="1"/>
  <c r="I586" i="48" s="1"/>
  <c r="I633" i="48" s="1"/>
  <c r="I680" i="48" s="1"/>
  <c r="I727" i="48" s="1"/>
  <c r="I68" i="48"/>
  <c r="I115" i="48" s="1"/>
  <c r="I162" i="48" s="1"/>
  <c r="I209" i="48" s="1"/>
  <c r="I256" i="48" s="1"/>
  <c r="I303" i="48" s="1"/>
  <c r="I350" i="48" s="1"/>
  <c r="I397" i="48" s="1"/>
  <c r="I444" i="48" s="1"/>
  <c r="I491" i="48" s="1"/>
  <c r="I538" i="48" s="1"/>
  <c r="I585" i="48" s="1"/>
  <c r="I632" i="48" s="1"/>
  <c r="I679" i="48" s="1"/>
  <c r="I726" i="48" s="1"/>
  <c r="I67" i="48"/>
  <c r="I66" i="48"/>
  <c r="I113" i="48" s="1"/>
  <c r="I160" i="48" s="1"/>
  <c r="I207" i="48" s="1"/>
  <c r="I254" i="48" s="1"/>
  <c r="I301" i="48" s="1"/>
  <c r="I348" i="48" s="1"/>
  <c r="I395" i="48" s="1"/>
  <c r="I442" i="48" s="1"/>
  <c r="I489" i="48" s="1"/>
  <c r="I536" i="48" s="1"/>
  <c r="I583" i="48" s="1"/>
  <c r="I630" i="48" s="1"/>
  <c r="I677" i="48" s="1"/>
  <c r="I724" i="48" s="1"/>
  <c r="I65" i="48"/>
  <c r="I64" i="48"/>
  <c r="I111" i="48" s="1"/>
  <c r="I158" i="48" s="1"/>
  <c r="I205" i="48" s="1"/>
  <c r="I252" i="48" s="1"/>
  <c r="I299" i="48" s="1"/>
  <c r="I346" i="48" s="1"/>
  <c r="I393" i="48" s="1"/>
  <c r="I440" i="48" s="1"/>
  <c r="I487" i="48" s="1"/>
  <c r="I534" i="48" s="1"/>
  <c r="I581" i="48" s="1"/>
  <c r="I628" i="48" s="1"/>
  <c r="I675" i="48" s="1"/>
  <c r="I722" i="48" s="1"/>
  <c r="I63" i="48"/>
  <c r="I110" i="48" s="1"/>
  <c r="I157" i="48" s="1"/>
  <c r="I204" i="48" s="1"/>
  <c r="I251" i="48" s="1"/>
  <c r="I298" i="48" s="1"/>
  <c r="I345" i="48" s="1"/>
  <c r="I392" i="48" s="1"/>
  <c r="I439" i="48" s="1"/>
  <c r="I486" i="48" s="1"/>
  <c r="I533" i="48" s="1"/>
  <c r="I580" i="48" s="1"/>
  <c r="I627" i="48" s="1"/>
  <c r="I674" i="48" s="1"/>
  <c r="I721" i="48" s="1"/>
  <c r="I62" i="48"/>
  <c r="I61" i="48"/>
  <c r="I108" i="48" s="1"/>
  <c r="I155" i="48" s="1"/>
  <c r="I60" i="48"/>
  <c r="I59" i="48"/>
  <c r="I58" i="48"/>
  <c r="I105" i="48" s="1"/>
  <c r="I152" i="48" s="1"/>
  <c r="I199" i="48" s="1"/>
  <c r="I246" i="48" s="1"/>
  <c r="I293" i="48" s="1"/>
  <c r="I340" i="48" s="1"/>
  <c r="I387" i="48" s="1"/>
  <c r="I434" i="48" s="1"/>
  <c r="I481" i="48" s="1"/>
  <c r="I528" i="48" s="1"/>
  <c r="I575" i="48" s="1"/>
  <c r="I622" i="48" s="1"/>
  <c r="I669" i="48" s="1"/>
  <c r="I716" i="48" s="1"/>
  <c r="I57" i="48"/>
  <c r="I104" i="48" s="1"/>
  <c r="I151" i="48" s="1"/>
  <c r="I198" i="48" s="1"/>
  <c r="I245" i="48" s="1"/>
  <c r="I292" i="48" s="1"/>
  <c r="I339" i="48" s="1"/>
  <c r="I386" i="48" s="1"/>
  <c r="I433" i="48" s="1"/>
  <c r="I480" i="48" s="1"/>
  <c r="I527" i="48" s="1"/>
  <c r="I574" i="48" s="1"/>
  <c r="I621" i="48" s="1"/>
  <c r="I668" i="48" s="1"/>
  <c r="I715" i="48" s="1"/>
  <c r="I56" i="48"/>
  <c r="I55" i="48"/>
  <c r="I102" i="48" s="1"/>
  <c r="I149" i="48" s="1"/>
  <c r="I196" i="48" s="1"/>
  <c r="I243" i="48" s="1"/>
  <c r="I290" i="48" s="1"/>
  <c r="I337" i="48" s="1"/>
  <c r="I384" i="48" s="1"/>
  <c r="I431" i="48" s="1"/>
  <c r="I478" i="48" s="1"/>
  <c r="I525" i="48" s="1"/>
  <c r="I572" i="48" s="1"/>
  <c r="I619" i="48" s="1"/>
  <c r="I666" i="48" s="1"/>
  <c r="I713" i="48" s="1"/>
  <c r="I54" i="48"/>
  <c r="I53" i="48"/>
  <c r="I52" i="48"/>
  <c r="I99" i="48" s="1"/>
  <c r="I146" i="48" s="1"/>
  <c r="I193" i="48" s="1"/>
  <c r="I240" i="48" s="1"/>
  <c r="I287" i="48" s="1"/>
  <c r="I334" i="48" s="1"/>
  <c r="I381" i="48" s="1"/>
  <c r="I428" i="48" s="1"/>
  <c r="I475" i="48" s="1"/>
  <c r="I522" i="48" s="1"/>
  <c r="I569" i="48" s="1"/>
  <c r="I616" i="48" s="1"/>
  <c r="I663" i="48" s="1"/>
  <c r="I710" i="48" s="1"/>
  <c r="I51" i="48"/>
  <c r="I50" i="48"/>
  <c r="I97" i="48" s="1"/>
  <c r="I144" i="48" s="1"/>
  <c r="I191" i="48" s="1"/>
  <c r="I238" i="48" s="1"/>
  <c r="I285" i="48" s="1"/>
  <c r="I332" i="48" s="1"/>
  <c r="I379" i="48" s="1"/>
  <c r="I426" i="48" s="1"/>
  <c r="I473" i="48" s="1"/>
  <c r="I520" i="48" s="1"/>
  <c r="I567" i="48" s="1"/>
  <c r="I614" i="48" s="1"/>
  <c r="I661" i="48" s="1"/>
  <c r="I708" i="48" s="1"/>
  <c r="AV49" i="48"/>
  <c r="AV96" i="48" s="1"/>
  <c r="AV143" i="48" s="1"/>
  <c r="AV190" i="48" s="1"/>
  <c r="AV237" i="48" s="1"/>
  <c r="AV284" i="48" s="1"/>
  <c r="AV331" i="48" s="1"/>
  <c r="AV378" i="48" s="1"/>
  <c r="AV425" i="48" s="1"/>
  <c r="AV472" i="48" s="1"/>
  <c r="AV519" i="48" s="1"/>
  <c r="AV566" i="48" s="1"/>
  <c r="AV613" i="48" s="1"/>
  <c r="AV660" i="48" s="1"/>
  <c r="AV707" i="48" s="1"/>
  <c r="AJ49" i="48"/>
  <c r="AJ96" i="48" s="1"/>
  <c r="AJ143" i="48" s="1"/>
  <c r="AJ190" i="48" s="1"/>
  <c r="AJ237" i="48" s="1"/>
  <c r="AJ284" i="48" s="1"/>
  <c r="AJ331" i="48" s="1"/>
  <c r="AJ378" i="48" s="1"/>
  <c r="AJ425" i="48" s="1"/>
  <c r="AJ472" i="48" s="1"/>
  <c r="AJ519" i="48" s="1"/>
  <c r="AJ566" i="48" s="1"/>
  <c r="AJ613" i="48" s="1"/>
  <c r="AJ660" i="48" s="1"/>
  <c r="AJ707" i="48" s="1"/>
  <c r="Z49" i="48"/>
  <c r="Z96" i="48" s="1"/>
  <c r="Z143" i="48" s="1"/>
  <c r="Z190" i="48" s="1"/>
  <c r="Z237" i="48" s="1"/>
  <c r="Z284" i="48" s="1"/>
  <c r="Z331" i="48" s="1"/>
  <c r="Z378" i="48" s="1"/>
  <c r="Z425" i="48" s="1"/>
  <c r="Z472" i="48" s="1"/>
  <c r="Z519" i="48" s="1"/>
  <c r="Z566" i="48" s="1"/>
  <c r="Z613" i="48" s="1"/>
  <c r="Z660" i="48" s="1"/>
  <c r="Z707" i="48" s="1"/>
  <c r="P49" i="48"/>
  <c r="P96" i="48" s="1"/>
  <c r="P143" i="48" s="1"/>
  <c r="P190" i="48" s="1"/>
  <c r="P237" i="48" s="1"/>
  <c r="P284" i="48" s="1"/>
  <c r="P331" i="48" s="1"/>
  <c r="P378" i="48" s="1"/>
  <c r="P425" i="48" s="1"/>
  <c r="P472" i="48" s="1"/>
  <c r="P519" i="48" s="1"/>
  <c r="P566" i="48" s="1"/>
  <c r="P613" i="48" s="1"/>
  <c r="P660" i="48" s="1"/>
  <c r="P707" i="48" s="1"/>
  <c r="AV2" i="48"/>
  <c r="AS2" i="48"/>
  <c r="AS49" i="48" s="1"/>
  <c r="AS96" i="48" s="1"/>
  <c r="AS143" i="48" s="1"/>
  <c r="AS190" i="48" s="1"/>
  <c r="AS237" i="48" s="1"/>
  <c r="AS284" i="48" s="1"/>
  <c r="AS331" i="48" s="1"/>
  <c r="AS378" i="48" s="1"/>
  <c r="AS425" i="48" s="1"/>
  <c r="AS472" i="48" s="1"/>
  <c r="AS519" i="48" s="1"/>
  <c r="AS566" i="48" s="1"/>
  <c r="AS613" i="48" s="1"/>
  <c r="AS660" i="48" s="1"/>
  <c r="AS707" i="48" s="1"/>
  <c r="AR2" i="48"/>
  <c r="AR49" i="48" s="1"/>
  <c r="AR96" i="48" s="1"/>
  <c r="AR143" i="48" s="1"/>
  <c r="AR190" i="48" s="1"/>
  <c r="AR237" i="48" s="1"/>
  <c r="AR284" i="48" s="1"/>
  <c r="AR331" i="48" s="1"/>
  <c r="AR378" i="48" s="1"/>
  <c r="AR425" i="48" s="1"/>
  <c r="AR472" i="48" s="1"/>
  <c r="AR519" i="48" s="1"/>
  <c r="AR566" i="48" s="1"/>
  <c r="AR613" i="48" s="1"/>
  <c r="AR660" i="48" s="1"/>
  <c r="AR707" i="48" s="1"/>
  <c r="AJ2" i="48"/>
  <c r="AI2" i="48"/>
  <c r="AI49" i="48" s="1"/>
  <c r="AI96" i="48" s="1"/>
  <c r="AI143" i="48" s="1"/>
  <c r="AI190" i="48" s="1"/>
  <c r="AI237" i="48" s="1"/>
  <c r="AI284" i="48" s="1"/>
  <c r="AI331" i="48" s="1"/>
  <c r="AI378" i="48" s="1"/>
  <c r="AI425" i="48" s="1"/>
  <c r="AI472" i="48" s="1"/>
  <c r="AI519" i="48" s="1"/>
  <c r="AI566" i="48" s="1"/>
  <c r="AI613" i="48" s="1"/>
  <c r="AI660" i="48" s="1"/>
  <c r="AI707" i="48" s="1"/>
  <c r="AH2" i="48"/>
  <c r="AH49" i="48" s="1"/>
  <c r="AH96" i="48" s="1"/>
  <c r="AH143" i="48" s="1"/>
  <c r="AH190" i="48" s="1"/>
  <c r="AH237" i="48" s="1"/>
  <c r="AH284" i="48" s="1"/>
  <c r="AH331" i="48" s="1"/>
  <c r="AH378" i="48" s="1"/>
  <c r="AH425" i="48" s="1"/>
  <c r="AH472" i="48" s="1"/>
  <c r="AH519" i="48" s="1"/>
  <c r="AH566" i="48" s="1"/>
  <c r="AH613" i="48" s="1"/>
  <c r="AH660" i="48" s="1"/>
  <c r="AH707" i="48" s="1"/>
  <c r="Z2" i="48"/>
  <c r="Y2" i="48"/>
  <c r="Y49" i="48" s="1"/>
  <c r="Y96" i="48" s="1"/>
  <c r="Y143" i="48" s="1"/>
  <c r="Y190" i="48" s="1"/>
  <c r="Y237" i="48" s="1"/>
  <c r="Y284" i="48" s="1"/>
  <c r="Y331" i="48" s="1"/>
  <c r="Y378" i="48" s="1"/>
  <c r="Y425" i="48" s="1"/>
  <c r="Y472" i="48" s="1"/>
  <c r="Y519" i="48" s="1"/>
  <c r="Y566" i="48" s="1"/>
  <c r="Y613" i="48" s="1"/>
  <c r="Y660" i="48" s="1"/>
  <c r="Y707" i="48" s="1"/>
  <c r="X2" i="48"/>
  <c r="X49" i="48" s="1"/>
  <c r="X96" i="48" s="1"/>
  <c r="X143" i="48" s="1"/>
  <c r="X190" i="48" s="1"/>
  <c r="X237" i="48" s="1"/>
  <c r="X284" i="48" s="1"/>
  <c r="X331" i="48" s="1"/>
  <c r="X378" i="48" s="1"/>
  <c r="X425" i="48" s="1"/>
  <c r="X472" i="48" s="1"/>
  <c r="X519" i="48" s="1"/>
  <c r="X566" i="48" s="1"/>
  <c r="X613" i="48" s="1"/>
  <c r="X660" i="48" s="1"/>
  <c r="X707" i="48" s="1"/>
  <c r="P2" i="48"/>
  <c r="M2" i="48"/>
  <c r="M49" i="48" s="1"/>
  <c r="M96" i="48" s="1"/>
  <c r="M143" i="48" s="1"/>
  <c r="M190" i="48" s="1"/>
  <c r="M237" i="48" s="1"/>
  <c r="M284" i="48" s="1"/>
  <c r="M331" i="48" s="1"/>
  <c r="M378" i="48" s="1"/>
  <c r="M425" i="48" s="1"/>
  <c r="M472" i="48" s="1"/>
  <c r="M519" i="48" s="1"/>
  <c r="M566" i="48" s="1"/>
  <c r="M613" i="48" s="1"/>
  <c r="M660" i="48" s="1"/>
  <c r="M707" i="48" s="1"/>
  <c r="L2" i="48"/>
  <c r="L49" i="48" s="1"/>
  <c r="L96" i="48" s="1"/>
  <c r="L143" i="48" s="1"/>
  <c r="L190" i="48" s="1"/>
  <c r="L237" i="48" s="1"/>
  <c r="L284" i="48" s="1"/>
  <c r="L331" i="48" s="1"/>
  <c r="L378" i="48" s="1"/>
  <c r="L425" i="48" s="1"/>
  <c r="L472" i="48" s="1"/>
  <c r="L519" i="48" s="1"/>
  <c r="L566" i="48" s="1"/>
  <c r="L613" i="48" s="1"/>
  <c r="L660" i="48" s="1"/>
  <c r="L707" i="48" s="1"/>
  <c r="J2" i="48" a="1"/>
  <c r="AX2" i="48" s="1"/>
  <c r="AX49" i="48" s="1"/>
  <c r="AX96" i="48" s="1"/>
  <c r="AX143" i="48" s="1"/>
  <c r="AX190" i="48" s="1"/>
  <c r="AX237" i="48" s="1"/>
  <c r="AX284" i="48" s="1"/>
  <c r="AX331" i="48" s="1"/>
  <c r="AX378" i="48" s="1"/>
  <c r="AX425" i="48" s="1"/>
  <c r="AX472" i="48" s="1"/>
  <c r="AX519" i="48" s="1"/>
  <c r="AX566" i="48" s="1"/>
  <c r="AX613" i="48" s="1"/>
  <c r="AX660" i="48" s="1"/>
  <c r="AX707" i="48" s="1"/>
  <c r="I960" i="48" l="1"/>
  <c r="I760" i="48"/>
  <c r="I807" i="48" s="1"/>
  <c r="I854" i="48" s="1"/>
  <c r="I901" i="48" s="1"/>
  <c r="I783" i="48"/>
  <c r="I830" i="48" s="1"/>
  <c r="I877" i="48" s="1"/>
  <c r="I924" i="48" s="1"/>
  <c r="I983" i="48"/>
  <c r="M954" i="48"/>
  <c r="M754" i="48"/>
  <c r="M801" i="48" s="1"/>
  <c r="M848" i="48" s="1"/>
  <c r="M895" i="48" s="1"/>
  <c r="I978" i="48"/>
  <c r="I778" i="48"/>
  <c r="I825" i="48" s="1"/>
  <c r="I872" i="48" s="1"/>
  <c r="I919" i="48" s="1"/>
  <c r="X954" i="48"/>
  <c r="X754" i="48"/>
  <c r="X801" i="48" s="1"/>
  <c r="X848" i="48" s="1"/>
  <c r="X895" i="48" s="1"/>
  <c r="Z954" i="48"/>
  <c r="Z754" i="48"/>
  <c r="Z801" i="48" s="1"/>
  <c r="Z848" i="48" s="1"/>
  <c r="Z895" i="48" s="1"/>
  <c r="I963" i="48"/>
  <c r="I763" i="48"/>
  <c r="I810" i="48" s="1"/>
  <c r="I857" i="48" s="1"/>
  <c r="I904" i="48" s="1"/>
  <c r="I968" i="48"/>
  <c r="I768" i="48"/>
  <c r="I815" i="48" s="1"/>
  <c r="I862" i="48" s="1"/>
  <c r="I909" i="48" s="1"/>
  <c r="I785" i="48"/>
  <c r="I832" i="48" s="1"/>
  <c r="I879" i="48" s="1"/>
  <c r="I926" i="48" s="1"/>
  <c r="I985" i="48"/>
  <c r="I756" i="48"/>
  <c r="I803" i="48" s="1"/>
  <c r="I850" i="48" s="1"/>
  <c r="I897" i="48" s="1"/>
  <c r="I956" i="48"/>
  <c r="I964" i="48"/>
  <c r="I764" i="48"/>
  <c r="I811" i="48" s="1"/>
  <c r="I858" i="48" s="1"/>
  <c r="I905" i="48" s="1"/>
  <c r="I972" i="48"/>
  <c r="I772" i="48"/>
  <c r="I819" i="48" s="1"/>
  <c r="I866" i="48" s="1"/>
  <c r="I913" i="48" s="1"/>
  <c r="I975" i="48"/>
  <c r="I775" i="48"/>
  <c r="I822" i="48" s="1"/>
  <c r="I869" i="48" s="1"/>
  <c r="I916" i="48" s="1"/>
  <c r="Y954" i="48"/>
  <c r="Y754" i="48"/>
  <c r="Y801" i="48" s="1"/>
  <c r="Y848" i="48" s="1"/>
  <c r="Y895" i="48" s="1"/>
  <c r="AJ754" i="48"/>
  <c r="AJ801" i="48" s="1"/>
  <c r="AJ848" i="48" s="1"/>
  <c r="AJ895" i="48" s="1"/>
  <c r="AJ954" i="48"/>
  <c r="I973" i="48"/>
  <c r="I773" i="48"/>
  <c r="I820" i="48" s="1"/>
  <c r="I867" i="48" s="1"/>
  <c r="I914" i="48" s="1"/>
  <c r="I759" i="48"/>
  <c r="I806" i="48" s="1"/>
  <c r="I853" i="48" s="1"/>
  <c r="I900" i="48" s="1"/>
  <c r="I959" i="48"/>
  <c r="I796" i="48"/>
  <c r="I843" i="48" s="1"/>
  <c r="I890" i="48" s="1"/>
  <c r="I937" i="48" s="1"/>
  <c r="I996" i="48"/>
  <c r="I767" i="48"/>
  <c r="I814" i="48" s="1"/>
  <c r="I861" i="48" s="1"/>
  <c r="I908" i="48" s="1"/>
  <c r="I967" i="48"/>
  <c r="I994" i="48"/>
  <c r="I794" i="48"/>
  <c r="I841" i="48" s="1"/>
  <c r="I888" i="48" s="1"/>
  <c r="I935" i="48" s="1"/>
  <c r="AR754" i="48"/>
  <c r="AR801" i="48" s="1"/>
  <c r="AR848" i="48" s="1"/>
  <c r="AR895" i="48" s="1"/>
  <c r="AR954" i="48"/>
  <c r="I990" i="48"/>
  <c r="I790" i="48"/>
  <c r="I837" i="48" s="1"/>
  <c r="I884" i="48" s="1"/>
  <c r="I931" i="48" s="1"/>
  <c r="AV954" i="48"/>
  <c r="AV754" i="48"/>
  <c r="AV801" i="48" s="1"/>
  <c r="AV848" i="48" s="1"/>
  <c r="AV895" i="48" s="1"/>
  <c r="I971" i="48"/>
  <c r="I771" i="48"/>
  <c r="I818" i="48" s="1"/>
  <c r="I865" i="48" s="1"/>
  <c r="I912" i="48" s="1"/>
  <c r="I976" i="48"/>
  <c r="I776" i="48"/>
  <c r="I823" i="48" s="1"/>
  <c r="I870" i="48" s="1"/>
  <c r="I917" i="48" s="1"/>
  <c r="I979" i="48"/>
  <c r="I779" i="48"/>
  <c r="I826" i="48" s="1"/>
  <c r="I873" i="48" s="1"/>
  <c r="I920" i="48" s="1"/>
  <c r="I984" i="48"/>
  <c r="I784" i="48"/>
  <c r="I831" i="48" s="1"/>
  <c r="I878" i="48" s="1"/>
  <c r="I925" i="48" s="1"/>
  <c r="P954" i="48"/>
  <c r="P754" i="48"/>
  <c r="P801" i="48" s="1"/>
  <c r="P848" i="48" s="1"/>
  <c r="P895" i="48" s="1"/>
  <c r="AH954" i="48"/>
  <c r="AH754" i="48"/>
  <c r="AH801" i="48" s="1"/>
  <c r="AH848" i="48" s="1"/>
  <c r="AH895" i="48" s="1"/>
  <c r="I962" i="48"/>
  <c r="I762" i="48"/>
  <c r="I809" i="48" s="1"/>
  <c r="I856" i="48" s="1"/>
  <c r="I903" i="48" s="1"/>
  <c r="I969" i="48"/>
  <c r="I769" i="48"/>
  <c r="I816" i="48" s="1"/>
  <c r="I863" i="48" s="1"/>
  <c r="I910" i="48" s="1"/>
  <c r="I986" i="48"/>
  <c r="I786" i="48"/>
  <c r="I833" i="48" s="1"/>
  <c r="I880" i="48" s="1"/>
  <c r="I927" i="48" s="1"/>
  <c r="I965" i="48"/>
  <c r="I765" i="48"/>
  <c r="I812" i="48" s="1"/>
  <c r="I859" i="48" s="1"/>
  <c r="I906" i="48" s="1"/>
  <c r="I970" i="48"/>
  <c r="I770" i="48"/>
  <c r="I817" i="48" s="1"/>
  <c r="I864" i="48" s="1"/>
  <c r="I911" i="48" s="1"/>
  <c r="I991" i="48"/>
  <c r="I791" i="48"/>
  <c r="I838" i="48" s="1"/>
  <c r="I885" i="48" s="1"/>
  <c r="I932" i="48" s="1"/>
  <c r="L754" i="48"/>
  <c r="L801" i="48" s="1"/>
  <c r="L848" i="48" s="1"/>
  <c r="L895" i="48" s="1"/>
  <c r="L954" i="48"/>
  <c r="I777" i="48"/>
  <c r="I824" i="48" s="1"/>
  <c r="I871" i="48" s="1"/>
  <c r="I918" i="48" s="1"/>
  <c r="I977" i="48"/>
  <c r="I958" i="48"/>
  <c r="I758" i="48"/>
  <c r="I805" i="48" s="1"/>
  <c r="I852" i="48" s="1"/>
  <c r="I899" i="48" s="1"/>
  <c r="AS954" i="48"/>
  <c r="AS754" i="48"/>
  <c r="AS801" i="48" s="1"/>
  <c r="AS848" i="48" s="1"/>
  <c r="AS895" i="48" s="1"/>
  <c r="I998" i="48"/>
  <c r="I798" i="48"/>
  <c r="I845" i="48" s="1"/>
  <c r="I892" i="48" s="1"/>
  <c r="I939" i="48" s="1"/>
  <c r="AX954" i="48"/>
  <c r="AX754" i="48"/>
  <c r="AX801" i="48" s="1"/>
  <c r="AX848" i="48" s="1"/>
  <c r="AX895" i="48" s="1"/>
  <c r="AI754" i="48"/>
  <c r="AI801" i="48" s="1"/>
  <c r="AI848" i="48" s="1"/>
  <c r="AI895" i="48" s="1"/>
  <c r="AI954" i="48"/>
  <c r="I957" i="48"/>
  <c r="I757" i="48"/>
  <c r="I804" i="48" s="1"/>
  <c r="I851" i="48" s="1"/>
  <c r="I898" i="48" s="1"/>
  <c r="I997" i="48"/>
  <c r="I797" i="48"/>
  <c r="I844" i="48" s="1"/>
  <c r="I891" i="48" s="1"/>
  <c r="I938" i="48" s="1"/>
  <c r="I993" i="48"/>
  <c r="I793" i="48"/>
  <c r="I840" i="48" s="1"/>
  <c r="I887" i="48" s="1"/>
  <c r="I934" i="48" s="1"/>
  <c r="I995" i="48"/>
  <c r="I795" i="48"/>
  <c r="I842" i="48" s="1"/>
  <c r="I889" i="48" s="1"/>
  <c r="I936" i="48" s="1"/>
  <c r="Q2" i="48"/>
  <c r="Q49" i="48" s="1"/>
  <c r="Q96" i="48" s="1"/>
  <c r="Q143" i="48" s="1"/>
  <c r="Q190" i="48" s="1"/>
  <c r="Q237" i="48" s="1"/>
  <c r="Q284" i="48" s="1"/>
  <c r="Q331" i="48" s="1"/>
  <c r="Q378" i="48" s="1"/>
  <c r="Q425" i="48" s="1"/>
  <c r="Q472" i="48" s="1"/>
  <c r="Q519" i="48" s="1"/>
  <c r="Q566" i="48" s="1"/>
  <c r="Q613" i="48" s="1"/>
  <c r="Q660" i="48" s="1"/>
  <c r="Q707" i="48" s="1"/>
  <c r="AA2" i="48"/>
  <c r="AA49" i="48" s="1"/>
  <c r="AA96" i="48" s="1"/>
  <c r="AA143" i="48" s="1"/>
  <c r="AA190" i="48" s="1"/>
  <c r="AA237" i="48" s="1"/>
  <c r="AA284" i="48" s="1"/>
  <c r="AA331" i="48" s="1"/>
  <c r="AA378" i="48" s="1"/>
  <c r="AA425" i="48" s="1"/>
  <c r="AA472" i="48" s="1"/>
  <c r="AA519" i="48" s="1"/>
  <c r="AA566" i="48" s="1"/>
  <c r="AA613" i="48" s="1"/>
  <c r="AA660" i="48" s="1"/>
  <c r="AA707" i="48" s="1"/>
  <c r="AK2" i="48"/>
  <c r="AK49" i="48" s="1"/>
  <c r="AK96" i="48" s="1"/>
  <c r="AK143" i="48" s="1"/>
  <c r="AK190" i="48" s="1"/>
  <c r="AK237" i="48" s="1"/>
  <c r="AK284" i="48" s="1"/>
  <c r="AK331" i="48" s="1"/>
  <c r="AK378" i="48" s="1"/>
  <c r="AK425" i="48" s="1"/>
  <c r="AK472" i="48" s="1"/>
  <c r="AK519" i="48" s="1"/>
  <c r="AK566" i="48" s="1"/>
  <c r="AK613" i="48" s="1"/>
  <c r="AK660" i="48" s="1"/>
  <c r="AK707" i="48" s="1"/>
  <c r="AW2" i="48"/>
  <c r="AW49" i="48" s="1"/>
  <c r="AW96" i="48" s="1"/>
  <c r="AW143" i="48" s="1"/>
  <c r="AW190" i="48" s="1"/>
  <c r="AW237" i="48" s="1"/>
  <c r="AW284" i="48" s="1"/>
  <c r="AW331" i="48" s="1"/>
  <c r="AW378" i="48" s="1"/>
  <c r="AW425" i="48" s="1"/>
  <c r="AW472" i="48" s="1"/>
  <c r="AW519" i="48" s="1"/>
  <c r="AW566" i="48" s="1"/>
  <c r="AW613" i="48" s="1"/>
  <c r="AW660" i="48" s="1"/>
  <c r="AW707" i="48" s="1"/>
  <c r="I982" i="48"/>
  <c r="I782" i="48"/>
  <c r="I829" i="48" s="1"/>
  <c r="I876" i="48" s="1"/>
  <c r="I923" i="48" s="1"/>
  <c r="I981" i="48"/>
  <c r="I781" i="48"/>
  <c r="I828" i="48" s="1"/>
  <c r="I875" i="48" s="1"/>
  <c r="I922" i="48" s="1"/>
  <c r="I992" i="48"/>
  <c r="I792" i="48"/>
  <c r="I839" i="48" s="1"/>
  <c r="I886" i="48" s="1"/>
  <c r="I933" i="48" s="1"/>
  <c r="I955" i="48"/>
  <c r="I755" i="48"/>
  <c r="I802" i="48" s="1"/>
  <c r="I849" i="48" s="1"/>
  <c r="I896" i="48" s="1"/>
  <c r="I989" i="48"/>
  <c r="I789" i="48"/>
  <c r="I836" i="48" s="1"/>
  <c r="I883" i="48" s="1"/>
  <c r="I930" i="48" s="1"/>
  <c r="R2" i="48"/>
  <c r="R49" i="48" s="1"/>
  <c r="R96" i="48" s="1"/>
  <c r="R143" i="48" s="1"/>
  <c r="R190" i="48" s="1"/>
  <c r="R237" i="48" s="1"/>
  <c r="R284" i="48" s="1"/>
  <c r="R331" i="48" s="1"/>
  <c r="R378" i="48" s="1"/>
  <c r="R425" i="48" s="1"/>
  <c r="R472" i="48" s="1"/>
  <c r="R519" i="48" s="1"/>
  <c r="R566" i="48" s="1"/>
  <c r="R613" i="48" s="1"/>
  <c r="R660" i="48" s="1"/>
  <c r="R707" i="48" s="1"/>
  <c r="AB2" i="48"/>
  <c r="AB49" i="48" s="1"/>
  <c r="AB96" i="48" s="1"/>
  <c r="AB143" i="48" s="1"/>
  <c r="AB190" i="48" s="1"/>
  <c r="AB237" i="48" s="1"/>
  <c r="AB284" i="48" s="1"/>
  <c r="AB331" i="48" s="1"/>
  <c r="AB378" i="48" s="1"/>
  <c r="AB425" i="48" s="1"/>
  <c r="AB472" i="48" s="1"/>
  <c r="AB519" i="48" s="1"/>
  <c r="AB566" i="48" s="1"/>
  <c r="AB613" i="48" s="1"/>
  <c r="AB660" i="48" s="1"/>
  <c r="AB707" i="48" s="1"/>
  <c r="AN2" i="48"/>
  <c r="AN49" i="48" s="1"/>
  <c r="AN96" i="48" s="1"/>
  <c r="AN143" i="48" s="1"/>
  <c r="AN190" i="48" s="1"/>
  <c r="AN237" i="48" s="1"/>
  <c r="AN284" i="48" s="1"/>
  <c r="AN331" i="48" s="1"/>
  <c r="AN378" i="48" s="1"/>
  <c r="AN425" i="48" s="1"/>
  <c r="AN472" i="48" s="1"/>
  <c r="AN519" i="48" s="1"/>
  <c r="AN566" i="48" s="1"/>
  <c r="AN613" i="48" s="1"/>
  <c r="AN660" i="48" s="1"/>
  <c r="AN707" i="48" s="1"/>
  <c r="AU2" i="48"/>
  <c r="AU49" i="48" s="1"/>
  <c r="AU96" i="48" s="1"/>
  <c r="AU143" i="48" s="1"/>
  <c r="AU190" i="48" s="1"/>
  <c r="AU237" i="48" s="1"/>
  <c r="AU284" i="48" s="1"/>
  <c r="AU331" i="48" s="1"/>
  <c r="AU378" i="48" s="1"/>
  <c r="AU425" i="48" s="1"/>
  <c r="AU472" i="48" s="1"/>
  <c r="AU519" i="48" s="1"/>
  <c r="AU566" i="48" s="1"/>
  <c r="AU613" i="48" s="1"/>
  <c r="AU660" i="48" s="1"/>
  <c r="AU707" i="48" s="1"/>
  <c r="AM2" i="48"/>
  <c r="AM49" i="48" s="1"/>
  <c r="AM96" i="48" s="1"/>
  <c r="AM143" i="48" s="1"/>
  <c r="AM190" i="48" s="1"/>
  <c r="AM237" i="48" s="1"/>
  <c r="AM284" i="48" s="1"/>
  <c r="AM331" i="48" s="1"/>
  <c r="AM378" i="48" s="1"/>
  <c r="AM425" i="48" s="1"/>
  <c r="AM472" i="48" s="1"/>
  <c r="AM519" i="48" s="1"/>
  <c r="AM566" i="48" s="1"/>
  <c r="AM613" i="48" s="1"/>
  <c r="AM660" i="48" s="1"/>
  <c r="AM707" i="48" s="1"/>
  <c r="AE2" i="48"/>
  <c r="AE49" i="48" s="1"/>
  <c r="AE96" i="48" s="1"/>
  <c r="AE143" i="48" s="1"/>
  <c r="AE190" i="48" s="1"/>
  <c r="AE237" i="48" s="1"/>
  <c r="AE284" i="48" s="1"/>
  <c r="AE331" i="48" s="1"/>
  <c r="AE378" i="48" s="1"/>
  <c r="AE425" i="48" s="1"/>
  <c r="AE472" i="48" s="1"/>
  <c r="AE519" i="48" s="1"/>
  <c r="AE566" i="48" s="1"/>
  <c r="AE613" i="48" s="1"/>
  <c r="AE660" i="48" s="1"/>
  <c r="AE707" i="48" s="1"/>
  <c r="W2" i="48"/>
  <c r="W49" i="48" s="1"/>
  <c r="W96" i="48" s="1"/>
  <c r="W143" i="48" s="1"/>
  <c r="W190" i="48" s="1"/>
  <c r="W237" i="48" s="1"/>
  <c r="W284" i="48" s="1"/>
  <c r="W331" i="48" s="1"/>
  <c r="W378" i="48" s="1"/>
  <c r="W425" i="48" s="1"/>
  <c r="W472" i="48" s="1"/>
  <c r="W519" i="48" s="1"/>
  <c r="W566" i="48" s="1"/>
  <c r="W613" i="48" s="1"/>
  <c r="W660" i="48" s="1"/>
  <c r="W707" i="48" s="1"/>
  <c r="O2" i="48"/>
  <c r="O49" i="48" s="1"/>
  <c r="O96" i="48" s="1"/>
  <c r="O143" i="48" s="1"/>
  <c r="O190" i="48" s="1"/>
  <c r="O237" i="48" s="1"/>
  <c r="O284" i="48" s="1"/>
  <c r="O331" i="48" s="1"/>
  <c r="O378" i="48" s="1"/>
  <c r="O425" i="48" s="1"/>
  <c r="O472" i="48" s="1"/>
  <c r="O519" i="48" s="1"/>
  <c r="O566" i="48" s="1"/>
  <c r="O613" i="48" s="1"/>
  <c r="O660" i="48" s="1"/>
  <c r="O707" i="48" s="1"/>
  <c r="AT2" i="48"/>
  <c r="AT49" i="48" s="1"/>
  <c r="AT96" i="48" s="1"/>
  <c r="AT143" i="48" s="1"/>
  <c r="AT190" i="48" s="1"/>
  <c r="AT237" i="48" s="1"/>
  <c r="AT284" i="48" s="1"/>
  <c r="AT331" i="48" s="1"/>
  <c r="AT378" i="48" s="1"/>
  <c r="AT425" i="48" s="1"/>
  <c r="AT472" i="48" s="1"/>
  <c r="AT519" i="48" s="1"/>
  <c r="AT566" i="48" s="1"/>
  <c r="AT613" i="48" s="1"/>
  <c r="AT660" i="48" s="1"/>
  <c r="AT707" i="48" s="1"/>
  <c r="AL2" i="48"/>
  <c r="AL49" i="48" s="1"/>
  <c r="AL96" i="48" s="1"/>
  <c r="AL143" i="48" s="1"/>
  <c r="AL190" i="48" s="1"/>
  <c r="AL237" i="48" s="1"/>
  <c r="AL284" i="48" s="1"/>
  <c r="AL331" i="48" s="1"/>
  <c r="AL378" i="48" s="1"/>
  <c r="AL425" i="48" s="1"/>
  <c r="AL472" i="48" s="1"/>
  <c r="AL519" i="48" s="1"/>
  <c r="AL566" i="48" s="1"/>
  <c r="AL613" i="48" s="1"/>
  <c r="AL660" i="48" s="1"/>
  <c r="AL707" i="48" s="1"/>
  <c r="AD2" i="48"/>
  <c r="AD49" i="48" s="1"/>
  <c r="AD96" i="48" s="1"/>
  <c r="AD143" i="48" s="1"/>
  <c r="AD190" i="48" s="1"/>
  <c r="AD237" i="48" s="1"/>
  <c r="AD284" i="48" s="1"/>
  <c r="AD331" i="48" s="1"/>
  <c r="AD378" i="48" s="1"/>
  <c r="AD425" i="48" s="1"/>
  <c r="AD472" i="48" s="1"/>
  <c r="AD519" i="48" s="1"/>
  <c r="AD566" i="48" s="1"/>
  <c r="AD613" i="48" s="1"/>
  <c r="AD660" i="48" s="1"/>
  <c r="AD707" i="48" s="1"/>
  <c r="V2" i="48"/>
  <c r="V49" i="48" s="1"/>
  <c r="V96" i="48" s="1"/>
  <c r="V143" i="48" s="1"/>
  <c r="V190" i="48" s="1"/>
  <c r="V237" i="48" s="1"/>
  <c r="V284" i="48" s="1"/>
  <c r="V331" i="48" s="1"/>
  <c r="V378" i="48" s="1"/>
  <c r="V425" i="48" s="1"/>
  <c r="V472" i="48" s="1"/>
  <c r="V519" i="48" s="1"/>
  <c r="V566" i="48" s="1"/>
  <c r="V613" i="48" s="1"/>
  <c r="V660" i="48" s="1"/>
  <c r="V707" i="48" s="1"/>
  <c r="N2" i="48"/>
  <c r="N49" i="48" s="1"/>
  <c r="N96" i="48" s="1"/>
  <c r="N143" i="48" s="1"/>
  <c r="N190" i="48" s="1"/>
  <c r="N237" i="48" s="1"/>
  <c r="N284" i="48" s="1"/>
  <c r="N331" i="48" s="1"/>
  <c r="N378" i="48" s="1"/>
  <c r="N425" i="48" s="1"/>
  <c r="N472" i="48" s="1"/>
  <c r="N519" i="48" s="1"/>
  <c r="N566" i="48" s="1"/>
  <c r="N613" i="48" s="1"/>
  <c r="N660" i="48" s="1"/>
  <c r="N707" i="48" s="1"/>
  <c r="S2" i="48"/>
  <c r="S49" i="48" s="1"/>
  <c r="S96" i="48" s="1"/>
  <c r="S143" i="48" s="1"/>
  <c r="S190" i="48" s="1"/>
  <c r="S237" i="48" s="1"/>
  <c r="S284" i="48" s="1"/>
  <c r="S331" i="48" s="1"/>
  <c r="S378" i="48" s="1"/>
  <c r="S425" i="48" s="1"/>
  <c r="S472" i="48" s="1"/>
  <c r="S519" i="48" s="1"/>
  <c r="S566" i="48" s="1"/>
  <c r="S613" i="48" s="1"/>
  <c r="S660" i="48" s="1"/>
  <c r="S707" i="48" s="1"/>
  <c r="AC2" i="48"/>
  <c r="AC49" i="48" s="1"/>
  <c r="AC96" i="48" s="1"/>
  <c r="AC143" i="48" s="1"/>
  <c r="AC190" i="48" s="1"/>
  <c r="AC237" i="48" s="1"/>
  <c r="AC284" i="48" s="1"/>
  <c r="AC331" i="48" s="1"/>
  <c r="AC378" i="48" s="1"/>
  <c r="AC425" i="48" s="1"/>
  <c r="AC472" i="48" s="1"/>
  <c r="AC519" i="48" s="1"/>
  <c r="AC566" i="48" s="1"/>
  <c r="AC613" i="48" s="1"/>
  <c r="AC660" i="48" s="1"/>
  <c r="AC707" i="48" s="1"/>
  <c r="AO2" i="48"/>
  <c r="AO49" i="48" s="1"/>
  <c r="AO96" i="48" s="1"/>
  <c r="AO143" i="48" s="1"/>
  <c r="AO190" i="48" s="1"/>
  <c r="AO237" i="48" s="1"/>
  <c r="AO284" i="48" s="1"/>
  <c r="AO331" i="48" s="1"/>
  <c r="AO378" i="48" s="1"/>
  <c r="AO425" i="48" s="1"/>
  <c r="AO472" i="48" s="1"/>
  <c r="AO519" i="48" s="1"/>
  <c r="AO566" i="48" s="1"/>
  <c r="AO613" i="48" s="1"/>
  <c r="AO660" i="48" s="1"/>
  <c r="AO707" i="48" s="1"/>
  <c r="AY2" i="48"/>
  <c r="AY49" i="48" s="1"/>
  <c r="AY96" i="48" s="1"/>
  <c r="AY143" i="48" s="1"/>
  <c r="AY190" i="48" s="1"/>
  <c r="AY237" i="48" s="1"/>
  <c r="AY284" i="48" s="1"/>
  <c r="AY331" i="48" s="1"/>
  <c r="AY378" i="48" s="1"/>
  <c r="AY425" i="48" s="1"/>
  <c r="AY472" i="48" s="1"/>
  <c r="AY519" i="48" s="1"/>
  <c r="AY566" i="48" s="1"/>
  <c r="AY613" i="48" s="1"/>
  <c r="AY660" i="48" s="1"/>
  <c r="AY707" i="48" s="1"/>
  <c r="I961" i="48"/>
  <c r="I761" i="48"/>
  <c r="I808" i="48" s="1"/>
  <c r="I855" i="48" s="1"/>
  <c r="I902" i="48" s="1"/>
  <c r="J2" i="48"/>
  <c r="J49" i="48" s="1"/>
  <c r="J96" i="48" s="1"/>
  <c r="J143" i="48" s="1"/>
  <c r="J190" i="48" s="1"/>
  <c r="J237" i="48" s="1"/>
  <c r="J284" i="48" s="1"/>
  <c r="J331" i="48" s="1"/>
  <c r="J378" i="48" s="1"/>
  <c r="J425" i="48" s="1"/>
  <c r="J472" i="48" s="1"/>
  <c r="J519" i="48" s="1"/>
  <c r="J566" i="48" s="1"/>
  <c r="J613" i="48" s="1"/>
  <c r="J660" i="48" s="1"/>
  <c r="J707" i="48" s="1"/>
  <c r="T2" i="48"/>
  <c r="T49" i="48" s="1"/>
  <c r="T96" i="48" s="1"/>
  <c r="T143" i="48" s="1"/>
  <c r="T190" i="48" s="1"/>
  <c r="T237" i="48" s="1"/>
  <c r="T284" i="48" s="1"/>
  <c r="T331" i="48" s="1"/>
  <c r="T378" i="48" s="1"/>
  <c r="T425" i="48" s="1"/>
  <c r="T472" i="48" s="1"/>
  <c r="T519" i="48" s="1"/>
  <c r="T566" i="48" s="1"/>
  <c r="T613" i="48" s="1"/>
  <c r="T660" i="48" s="1"/>
  <c r="T707" i="48" s="1"/>
  <c r="AF2" i="48"/>
  <c r="AF49" i="48" s="1"/>
  <c r="AF96" i="48" s="1"/>
  <c r="AF143" i="48" s="1"/>
  <c r="AF190" i="48" s="1"/>
  <c r="AF237" i="48" s="1"/>
  <c r="AF284" i="48" s="1"/>
  <c r="AF331" i="48" s="1"/>
  <c r="AF378" i="48" s="1"/>
  <c r="AF425" i="48" s="1"/>
  <c r="AF472" i="48" s="1"/>
  <c r="AF519" i="48" s="1"/>
  <c r="AF566" i="48" s="1"/>
  <c r="AF613" i="48" s="1"/>
  <c r="AF660" i="48" s="1"/>
  <c r="AF707" i="48" s="1"/>
  <c r="AP2" i="48"/>
  <c r="AP49" i="48" s="1"/>
  <c r="AP96" i="48" s="1"/>
  <c r="AP143" i="48" s="1"/>
  <c r="AP190" i="48" s="1"/>
  <c r="AP237" i="48" s="1"/>
  <c r="AP284" i="48" s="1"/>
  <c r="AP331" i="48" s="1"/>
  <c r="AP378" i="48" s="1"/>
  <c r="AP425" i="48" s="1"/>
  <c r="AP472" i="48" s="1"/>
  <c r="AP519" i="48" s="1"/>
  <c r="AP566" i="48" s="1"/>
  <c r="AP613" i="48" s="1"/>
  <c r="AP660" i="48" s="1"/>
  <c r="AP707" i="48" s="1"/>
  <c r="AZ2" i="48"/>
  <c r="AZ49" i="48" s="1"/>
  <c r="AZ96" i="48" s="1"/>
  <c r="AZ143" i="48" s="1"/>
  <c r="AZ190" i="48" s="1"/>
  <c r="AZ237" i="48" s="1"/>
  <c r="AZ284" i="48" s="1"/>
  <c r="AZ331" i="48" s="1"/>
  <c r="AZ378" i="48" s="1"/>
  <c r="AZ425" i="48" s="1"/>
  <c r="AZ472" i="48" s="1"/>
  <c r="AZ519" i="48" s="1"/>
  <c r="AZ566" i="48" s="1"/>
  <c r="AZ613" i="48" s="1"/>
  <c r="AZ660" i="48" s="1"/>
  <c r="AZ707" i="48" s="1"/>
  <c r="I980" i="48"/>
  <c r="I780" i="48"/>
  <c r="I827" i="48" s="1"/>
  <c r="I874" i="48" s="1"/>
  <c r="I921" i="48" s="1"/>
  <c r="I966" i="48"/>
  <c r="I766" i="48"/>
  <c r="I813" i="48" s="1"/>
  <c r="I860" i="48" s="1"/>
  <c r="I907" i="48" s="1"/>
  <c r="I987" i="48"/>
  <c r="I787" i="48"/>
  <c r="I834" i="48" s="1"/>
  <c r="I881" i="48" s="1"/>
  <c r="I928" i="48" s="1"/>
  <c r="K2" i="48"/>
  <c r="K49" i="48" s="1"/>
  <c r="K96" i="48" s="1"/>
  <c r="K143" i="48" s="1"/>
  <c r="K190" i="48" s="1"/>
  <c r="K237" i="48" s="1"/>
  <c r="K284" i="48" s="1"/>
  <c r="K331" i="48" s="1"/>
  <c r="K378" i="48" s="1"/>
  <c r="K425" i="48" s="1"/>
  <c r="K472" i="48" s="1"/>
  <c r="K519" i="48" s="1"/>
  <c r="K566" i="48" s="1"/>
  <c r="K613" i="48" s="1"/>
  <c r="K660" i="48" s="1"/>
  <c r="K707" i="48" s="1"/>
  <c r="U2" i="48"/>
  <c r="U49" i="48" s="1"/>
  <c r="U96" i="48" s="1"/>
  <c r="U143" i="48" s="1"/>
  <c r="U190" i="48" s="1"/>
  <c r="U237" i="48" s="1"/>
  <c r="U284" i="48" s="1"/>
  <c r="U331" i="48" s="1"/>
  <c r="U378" i="48" s="1"/>
  <c r="U425" i="48" s="1"/>
  <c r="U472" i="48" s="1"/>
  <c r="U519" i="48" s="1"/>
  <c r="U566" i="48" s="1"/>
  <c r="U613" i="48" s="1"/>
  <c r="U660" i="48" s="1"/>
  <c r="U707" i="48" s="1"/>
  <c r="AG2" i="48"/>
  <c r="AG49" i="48" s="1"/>
  <c r="AG96" i="48" s="1"/>
  <c r="AG143" i="48" s="1"/>
  <c r="AG190" i="48" s="1"/>
  <c r="AG237" i="48" s="1"/>
  <c r="AG284" i="48" s="1"/>
  <c r="AG331" i="48" s="1"/>
  <c r="AG378" i="48" s="1"/>
  <c r="AG425" i="48" s="1"/>
  <c r="AG472" i="48" s="1"/>
  <c r="AG519" i="48" s="1"/>
  <c r="AG566" i="48" s="1"/>
  <c r="AG613" i="48" s="1"/>
  <c r="AG660" i="48" s="1"/>
  <c r="AG707" i="48" s="1"/>
  <c r="AQ2" i="48"/>
  <c r="AQ49" i="48" s="1"/>
  <c r="AQ96" i="48" s="1"/>
  <c r="AQ143" i="48" s="1"/>
  <c r="AQ190" i="48" s="1"/>
  <c r="AQ237" i="48" s="1"/>
  <c r="AQ284" i="48" s="1"/>
  <c r="AQ331" i="48" s="1"/>
  <c r="AQ378" i="48" s="1"/>
  <c r="AQ425" i="48" s="1"/>
  <c r="AQ472" i="48" s="1"/>
  <c r="AQ519" i="48" s="1"/>
  <c r="AQ566" i="48" s="1"/>
  <c r="AQ613" i="48" s="1"/>
  <c r="AQ660" i="48" s="1"/>
  <c r="AQ707" i="48" s="1"/>
  <c r="BA2" i="48"/>
  <c r="BA49" i="48" s="1"/>
  <c r="BA96" i="48" s="1"/>
  <c r="BA143" i="48" s="1"/>
  <c r="BA190" i="48" s="1"/>
  <c r="BA237" i="48" s="1"/>
  <c r="BA284" i="48" s="1"/>
  <c r="BA331" i="48" s="1"/>
  <c r="BA378" i="48" s="1"/>
  <c r="BA425" i="48" s="1"/>
  <c r="BA472" i="48" s="1"/>
  <c r="BA519" i="48" s="1"/>
  <c r="BA566" i="48" s="1"/>
  <c r="BA613" i="48" s="1"/>
  <c r="BA660" i="48" s="1"/>
  <c r="BA707" i="48" s="1"/>
  <c r="I974" i="48"/>
  <c r="I774" i="48"/>
  <c r="I821" i="48" s="1"/>
  <c r="I868" i="48" s="1"/>
  <c r="I915" i="48" s="1"/>
  <c r="I788" i="48"/>
  <c r="I835" i="48" s="1"/>
  <c r="I882" i="48" s="1"/>
  <c r="I929" i="48" s="1"/>
  <c r="I988" i="48"/>
  <c r="AP954" i="48" l="1"/>
  <c r="AP754" i="48"/>
  <c r="AP801" i="48" s="1"/>
  <c r="AP848" i="48" s="1"/>
  <c r="AP895" i="48" s="1"/>
  <c r="AL754" i="48"/>
  <c r="AL801" i="48" s="1"/>
  <c r="AL848" i="48" s="1"/>
  <c r="AL895" i="48" s="1"/>
  <c r="AL954" i="48"/>
  <c r="AB954" i="48"/>
  <c r="AB754" i="48"/>
  <c r="AB801" i="48" s="1"/>
  <c r="AB848" i="48" s="1"/>
  <c r="AB895" i="48" s="1"/>
  <c r="AA954" i="48"/>
  <c r="AA754" i="48"/>
  <c r="AA801" i="48" s="1"/>
  <c r="AA848" i="48" s="1"/>
  <c r="AA895" i="48" s="1"/>
  <c r="AF954" i="48"/>
  <c r="AF754" i="48"/>
  <c r="AF801" i="48" s="1"/>
  <c r="AF848" i="48" s="1"/>
  <c r="AF895" i="48" s="1"/>
  <c r="AY954" i="48"/>
  <c r="AY754" i="48"/>
  <c r="AY801" i="48" s="1"/>
  <c r="AY848" i="48" s="1"/>
  <c r="AY895" i="48" s="1"/>
  <c r="AT754" i="48"/>
  <c r="AT801" i="48" s="1"/>
  <c r="AT848" i="48" s="1"/>
  <c r="AT895" i="48" s="1"/>
  <c r="AT954" i="48"/>
  <c r="R954" i="48"/>
  <c r="R754" i="48"/>
  <c r="R801" i="48" s="1"/>
  <c r="R848" i="48" s="1"/>
  <c r="R895" i="48" s="1"/>
  <c r="Q954" i="48"/>
  <c r="Q754" i="48"/>
  <c r="Q801" i="48" s="1"/>
  <c r="Q848" i="48" s="1"/>
  <c r="Q895" i="48" s="1"/>
  <c r="T754" i="48"/>
  <c r="T801" i="48" s="1"/>
  <c r="T848" i="48" s="1"/>
  <c r="T895" i="48" s="1"/>
  <c r="T954" i="48"/>
  <c r="AO954" i="48"/>
  <c r="AO754" i="48"/>
  <c r="AO801" i="48" s="1"/>
  <c r="AO848" i="48" s="1"/>
  <c r="AO895" i="48" s="1"/>
  <c r="O954" i="48"/>
  <c r="O754" i="48"/>
  <c r="O801" i="48" s="1"/>
  <c r="O848" i="48" s="1"/>
  <c r="O895" i="48" s="1"/>
  <c r="BA954" i="48"/>
  <c r="BA754" i="48"/>
  <c r="BA801" i="48" s="1"/>
  <c r="BA848" i="48" s="1"/>
  <c r="BA895" i="48" s="1"/>
  <c r="J954" i="48"/>
  <c r="J754" i="48"/>
  <c r="J801" i="48" s="1"/>
  <c r="J848" i="48" s="1"/>
  <c r="J895" i="48" s="1"/>
  <c r="AC954" i="48"/>
  <c r="AC754" i="48"/>
  <c r="AC801" i="48" s="1"/>
  <c r="AC848" i="48" s="1"/>
  <c r="AC895" i="48" s="1"/>
  <c r="W754" i="48"/>
  <c r="W801" i="48" s="1"/>
  <c r="W848" i="48" s="1"/>
  <c r="W895" i="48" s="1"/>
  <c r="W954" i="48"/>
  <c r="AQ954" i="48"/>
  <c r="AQ754" i="48"/>
  <c r="AQ801" i="48" s="1"/>
  <c r="AQ848" i="48" s="1"/>
  <c r="AQ895" i="48" s="1"/>
  <c r="S754" i="48"/>
  <c r="S801" i="48" s="1"/>
  <c r="S848" i="48" s="1"/>
  <c r="S895" i="48" s="1"/>
  <c r="S954" i="48"/>
  <c r="AE954" i="48"/>
  <c r="AE754" i="48"/>
  <c r="AE801" i="48" s="1"/>
  <c r="AE848" i="48" s="1"/>
  <c r="AE895" i="48" s="1"/>
  <c r="AG954" i="48"/>
  <c r="AG754" i="48"/>
  <c r="AG801" i="48" s="1"/>
  <c r="AG848" i="48" s="1"/>
  <c r="AG895" i="48" s="1"/>
  <c r="N754" i="48"/>
  <c r="N801" i="48" s="1"/>
  <c r="N848" i="48" s="1"/>
  <c r="N895" i="48" s="1"/>
  <c r="N954" i="48"/>
  <c r="AM954" i="48"/>
  <c r="AM754" i="48"/>
  <c r="AM801" i="48" s="1"/>
  <c r="AM848" i="48" s="1"/>
  <c r="AM895" i="48" s="1"/>
  <c r="U954" i="48"/>
  <c r="U754" i="48"/>
  <c r="U801" i="48" s="1"/>
  <c r="U848" i="48" s="1"/>
  <c r="U895" i="48" s="1"/>
  <c r="V754" i="48"/>
  <c r="V801" i="48" s="1"/>
  <c r="V848" i="48" s="1"/>
  <c r="V895" i="48" s="1"/>
  <c r="V954" i="48"/>
  <c r="AU954" i="48"/>
  <c r="AU754" i="48"/>
  <c r="AU801" i="48" s="1"/>
  <c r="AU848" i="48" s="1"/>
  <c r="AU895" i="48" s="1"/>
  <c r="AW954" i="48"/>
  <c r="AW754" i="48"/>
  <c r="AW801" i="48" s="1"/>
  <c r="AW848" i="48" s="1"/>
  <c r="AW895" i="48" s="1"/>
  <c r="K754" i="48"/>
  <c r="K801" i="48" s="1"/>
  <c r="K848" i="48" s="1"/>
  <c r="K895" i="48" s="1"/>
  <c r="K954" i="48"/>
  <c r="AZ954" i="48"/>
  <c r="AZ754" i="48"/>
  <c r="AZ801" i="48" s="1"/>
  <c r="AZ848" i="48" s="1"/>
  <c r="AZ895" i="48" s="1"/>
  <c r="AD954" i="48"/>
  <c r="AD754" i="48"/>
  <c r="AD801" i="48" s="1"/>
  <c r="AD848" i="48" s="1"/>
  <c r="AD895" i="48" s="1"/>
  <c r="AN954" i="48"/>
  <c r="AN754" i="48"/>
  <c r="AN801" i="48" s="1"/>
  <c r="AN848" i="48" s="1"/>
  <c r="AN895" i="48" s="1"/>
  <c r="AK954" i="48"/>
  <c r="AK754" i="48"/>
  <c r="AK801" i="48" s="1"/>
  <c r="AK848" i="48" s="1"/>
  <c r="AK895" i="48" s="1"/>
  <c r="P37" i="47" l="1"/>
  <c r="P6" i="47"/>
  <c r="P7" i="47"/>
  <c r="P8" i="47"/>
  <c r="P9" i="47"/>
  <c r="P10" i="47"/>
  <c r="P11" i="47"/>
  <c r="P12" i="47"/>
  <c r="P13" i="47"/>
  <c r="P14" i="47"/>
  <c r="P15" i="47"/>
  <c r="P16" i="47"/>
  <c r="P17" i="47"/>
  <c r="P18" i="47"/>
  <c r="P19" i="47"/>
  <c r="P20" i="47"/>
  <c r="P21" i="47"/>
  <c r="P22" i="47"/>
  <c r="P23" i="47"/>
  <c r="P24" i="47"/>
  <c r="P25" i="47"/>
  <c r="P26" i="47"/>
  <c r="P27" i="47"/>
  <c r="P28" i="47"/>
  <c r="P29" i="47"/>
  <c r="P30" i="47"/>
  <c r="P5" i="47"/>
  <c r="N6" i="47"/>
  <c r="N7" i="47"/>
  <c r="N8" i="47"/>
  <c r="N9" i="47"/>
  <c r="N10" i="47"/>
  <c r="N11" i="47"/>
  <c r="N12" i="47"/>
  <c r="N13" i="47"/>
  <c r="N14" i="47"/>
  <c r="N15" i="47"/>
  <c r="N16" i="47"/>
  <c r="N17" i="47"/>
  <c r="N18" i="47"/>
  <c r="N19" i="47"/>
  <c r="N20" i="47"/>
  <c r="N21" i="47"/>
  <c r="N22" i="47"/>
  <c r="N23" i="47"/>
  <c r="N24" i="47"/>
  <c r="N25" i="47"/>
  <c r="N26" i="47"/>
  <c r="N27" i="47"/>
  <c r="N28" i="47"/>
  <c r="N29" i="47"/>
  <c r="N30" i="47"/>
  <c r="N5" i="47"/>
  <c r="M6" i="47"/>
  <c r="M7" i="47"/>
  <c r="M8" i="47"/>
  <c r="M9" i="47"/>
  <c r="M10" i="47"/>
  <c r="M11" i="47"/>
  <c r="M12" i="47"/>
  <c r="M13" i="47"/>
  <c r="M14" i="47"/>
  <c r="M15" i="47"/>
  <c r="M16" i="47"/>
  <c r="M17" i="47"/>
  <c r="M18" i="47"/>
  <c r="M19" i="47"/>
  <c r="M20" i="47"/>
  <c r="M21" i="47"/>
  <c r="M22" i="47"/>
  <c r="M23" i="47"/>
  <c r="M24" i="47"/>
  <c r="M25" i="47"/>
  <c r="M26" i="47"/>
  <c r="M27" i="47"/>
  <c r="M28" i="47"/>
  <c r="M29" i="47"/>
  <c r="M30" i="47"/>
  <c r="M5" i="47"/>
  <c r="J5" i="47"/>
  <c r="K5" i="47"/>
  <c r="L5" i="47"/>
  <c r="J6" i="47"/>
  <c r="K6" i="47"/>
  <c r="L6" i="47"/>
  <c r="J7" i="47"/>
  <c r="K7" i="47"/>
  <c r="L7" i="47"/>
  <c r="J8" i="47"/>
  <c r="K8" i="47"/>
  <c r="L8" i="47"/>
  <c r="J9" i="47"/>
  <c r="K9" i="47"/>
  <c r="L9" i="47"/>
  <c r="J10" i="47"/>
  <c r="K10" i="47"/>
  <c r="L10" i="47"/>
  <c r="J11" i="47"/>
  <c r="K11" i="47"/>
  <c r="L11" i="47"/>
  <c r="J12" i="47"/>
  <c r="K12" i="47"/>
  <c r="L12" i="47"/>
  <c r="J13" i="47"/>
  <c r="K13" i="47"/>
  <c r="L13" i="47"/>
  <c r="J14" i="47"/>
  <c r="K14" i="47"/>
  <c r="L14" i="47"/>
  <c r="J15" i="47"/>
  <c r="K15" i="47"/>
  <c r="L15" i="47"/>
  <c r="J16" i="47"/>
  <c r="K16" i="47"/>
  <c r="L16" i="47"/>
  <c r="J17" i="47"/>
  <c r="K17" i="47"/>
  <c r="L17" i="47"/>
  <c r="J18" i="47"/>
  <c r="K18" i="47"/>
  <c r="L18" i="47"/>
  <c r="J19" i="47"/>
  <c r="K19" i="47"/>
  <c r="L19" i="47"/>
  <c r="J20" i="47"/>
  <c r="K20" i="47"/>
  <c r="L20" i="47"/>
  <c r="J21" i="47"/>
  <c r="K21" i="47"/>
  <c r="L21" i="47"/>
  <c r="J22" i="47"/>
  <c r="K22" i="47"/>
  <c r="L22" i="47"/>
  <c r="J23" i="47"/>
  <c r="K23" i="47"/>
  <c r="L23" i="47"/>
  <c r="J24" i="47"/>
  <c r="K24" i="47"/>
  <c r="L24" i="47"/>
  <c r="J25" i="47"/>
  <c r="K25" i="47"/>
  <c r="L25" i="47"/>
  <c r="J26" i="47"/>
  <c r="K26" i="47"/>
  <c r="L26" i="47"/>
  <c r="J27" i="47"/>
  <c r="K27" i="47"/>
  <c r="L27" i="47"/>
  <c r="J28" i="47"/>
  <c r="K28" i="47"/>
  <c r="L28" i="47"/>
  <c r="J29" i="47"/>
  <c r="K29" i="47"/>
  <c r="L29" i="47"/>
  <c r="J30" i="47"/>
  <c r="K30" i="47"/>
  <c r="L30" i="47"/>
  <c r="I6" i="47"/>
  <c r="I7" i="47"/>
  <c r="I8" i="47"/>
  <c r="I9" i="47"/>
  <c r="I10" i="47"/>
  <c r="I11" i="47"/>
  <c r="I12" i="47"/>
  <c r="I13" i="47"/>
  <c r="I14" i="47"/>
  <c r="I15" i="47"/>
  <c r="I16" i="47"/>
  <c r="I17" i="47"/>
  <c r="I18" i="47"/>
  <c r="I19" i="47"/>
  <c r="I20" i="47"/>
  <c r="I21" i="47"/>
  <c r="I22" i="47"/>
  <c r="I23" i="47"/>
  <c r="I24" i="47"/>
  <c r="I25" i="47"/>
  <c r="I26" i="47"/>
  <c r="I27" i="47"/>
  <c r="I28" i="47"/>
  <c r="I29" i="47"/>
  <c r="I30" i="47"/>
  <c r="I5" i="47"/>
  <c r="H6" i="47"/>
  <c r="H7" i="47"/>
  <c r="H8" i="47"/>
  <c r="H9" i="47"/>
  <c r="H10" i="47"/>
  <c r="H11" i="47"/>
  <c r="H12" i="47"/>
  <c r="H13" i="47"/>
  <c r="H14" i="47"/>
  <c r="H15" i="47"/>
  <c r="H16" i="47"/>
  <c r="H17" i="47"/>
  <c r="H18" i="47"/>
  <c r="H19" i="47"/>
  <c r="H20" i="47"/>
  <c r="H21" i="47"/>
  <c r="H22" i="47"/>
  <c r="H23" i="47"/>
  <c r="H24" i="47"/>
  <c r="H25" i="47"/>
  <c r="H26" i="47"/>
  <c r="H27" i="47"/>
  <c r="H28" i="47"/>
  <c r="H29" i="47"/>
  <c r="H30" i="47"/>
  <c r="H5" i="47"/>
  <c r="F6" i="47"/>
  <c r="F7" i="47"/>
  <c r="G7" i="47" s="1"/>
  <c r="F8" i="47"/>
  <c r="F9" i="47"/>
  <c r="F10" i="47"/>
  <c r="F11" i="47"/>
  <c r="F12" i="47"/>
  <c r="G12" i="47" s="1"/>
  <c r="F13" i="47"/>
  <c r="G13" i="47" s="1"/>
  <c r="F14" i="47"/>
  <c r="F15" i="47"/>
  <c r="F16" i="47"/>
  <c r="F17" i="47"/>
  <c r="F18" i="47"/>
  <c r="F19" i="47"/>
  <c r="F20" i="47"/>
  <c r="F21" i="47"/>
  <c r="F22" i="47"/>
  <c r="F23" i="47"/>
  <c r="F24" i="47"/>
  <c r="F25" i="47"/>
  <c r="F26" i="47"/>
  <c r="G26" i="47" s="1"/>
  <c r="F27" i="47"/>
  <c r="F28" i="47"/>
  <c r="F29" i="47"/>
  <c r="F30" i="47"/>
  <c r="F5" i="47"/>
  <c r="G6" i="47"/>
  <c r="G8" i="47"/>
  <c r="G9" i="47"/>
  <c r="G10" i="47"/>
  <c r="G11" i="47"/>
  <c r="G14" i="47"/>
  <c r="G15" i="47"/>
  <c r="G16" i="47"/>
  <c r="G17" i="47"/>
  <c r="G18" i="47"/>
  <c r="G19" i="47"/>
  <c r="G20" i="47"/>
  <c r="G21" i="47"/>
  <c r="G22" i="47"/>
  <c r="G23" i="47"/>
  <c r="G24" i="47"/>
  <c r="G25" i="47"/>
  <c r="G27" i="47"/>
  <c r="G28" i="47"/>
  <c r="G29" i="47"/>
  <c r="G30" i="47"/>
  <c r="G5" i="47"/>
  <c r="E6" i="47"/>
  <c r="E7" i="47"/>
  <c r="E8" i="47"/>
  <c r="E9" i="47"/>
  <c r="E10" i="47"/>
  <c r="E11" i="47"/>
  <c r="E12" i="47"/>
  <c r="E13" i="47"/>
  <c r="E14" i="47"/>
  <c r="E15" i="47"/>
  <c r="E16" i="47"/>
  <c r="E1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E30" i="47"/>
  <c r="E5" i="47"/>
  <c r="C6" i="47"/>
  <c r="D6" i="47"/>
  <c r="C7" i="47"/>
  <c r="D7" i="47"/>
  <c r="C8" i="47"/>
  <c r="D8" i="47"/>
  <c r="C9" i="47"/>
  <c r="D9" i="47"/>
  <c r="C10" i="47"/>
  <c r="D10" i="47"/>
  <c r="C11" i="47"/>
  <c r="D11" i="47"/>
  <c r="C12" i="47"/>
  <c r="D12" i="47"/>
  <c r="C13" i="47"/>
  <c r="D13" i="47"/>
  <c r="C14" i="47"/>
  <c r="D14" i="47"/>
  <c r="C15" i="47"/>
  <c r="D15" i="47"/>
  <c r="C16" i="47"/>
  <c r="D16" i="47"/>
  <c r="C17" i="47"/>
  <c r="D17" i="47"/>
  <c r="C18" i="47"/>
  <c r="D18" i="47"/>
  <c r="C19" i="47"/>
  <c r="D19" i="47"/>
  <c r="C20" i="47"/>
  <c r="D20" i="47"/>
  <c r="C21" i="47"/>
  <c r="D21" i="47"/>
  <c r="C22" i="47"/>
  <c r="D22" i="47"/>
  <c r="C23" i="47"/>
  <c r="D23" i="47"/>
  <c r="C24" i="47"/>
  <c r="D24" i="47"/>
  <c r="C25" i="47"/>
  <c r="D25" i="47"/>
  <c r="C26" i="47"/>
  <c r="D26" i="47"/>
  <c r="C27" i="47"/>
  <c r="D27" i="47"/>
  <c r="C28" i="47"/>
  <c r="D28" i="47"/>
  <c r="C29" i="47"/>
  <c r="D29" i="47"/>
  <c r="C30" i="47"/>
  <c r="D30" i="47"/>
  <c r="D5" i="47"/>
  <c r="C5" i="47"/>
  <c r="B6" i="47"/>
  <c r="B7" i="47"/>
  <c r="B8" i="47"/>
  <c r="B9" i="47"/>
  <c r="B10" i="47"/>
  <c r="B11" i="47"/>
  <c r="B12" i="47"/>
  <c r="B13" i="47"/>
  <c r="B14" i="47"/>
  <c r="B15" i="47"/>
  <c r="B16" i="47"/>
  <c r="B17" i="47"/>
  <c r="B18" i="47"/>
  <c r="B19" i="47"/>
  <c r="B20" i="47"/>
  <c r="B21" i="47"/>
  <c r="B22" i="47"/>
  <c r="B23" i="47"/>
  <c r="B24" i="47"/>
  <c r="B25" i="47"/>
  <c r="B26" i="47"/>
  <c r="B27" i="47"/>
  <c r="B28" i="47"/>
  <c r="B29" i="47"/>
  <c r="B30" i="47"/>
  <c r="B5" i="47"/>
  <c r="D3" i="45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" i="45"/>
  <c r="A30" i="47"/>
  <c r="A29" i="47"/>
  <c r="A28" i="47"/>
  <c r="A27" i="47"/>
  <c r="A26" i="47"/>
  <c r="A25" i="47"/>
  <c r="A24" i="47"/>
  <c r="A23" i="47"/>
  <c r="A22" i="47"/>
  <c r="A21" i="47"/>
  <c r="A20" i="47"/>
  <c r="A19" i="47"/>
  <c r="A18" i="47"/>
  <c r="A17" i="47"/>
  <c r="A16" i="47"/>
  <c r="A15" i="47"/>
  <c r="A14" i="47"/>
  <c r="A13" i="47"/>
  <c r="A12" i="47"/>
  <c r="A11" i="47"/>
  <c r="A10" i="47"/>
  <c r="A9" i="47"/>
  <c r="A8" i="47"/>
  <c r="A7" i="47"/>
  <c r="A6" i="47"/>
  <c r="A5" i="47"/>
  <c r="B149" i="46"/>
  <c r="B148" i="46"/>
  <c r="B147" i="46"/>
  <c r="B146" i="46"/>
  <c r="B145" i="46"/>
  <c r="B144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B128" i="46"/>
  <c r="B127" i="46"/>
  <c r="B126" i="46"/>
  <c r="B125" i="46"/>
  <c r="B124" i="46"/>
  <c r="B123" i="46"/>
  <c r="B122" i="46"/>
  <c r="B121" i="46"/>
  <c r="B120" i="46"/>
  <c r="B119" i="46"/>
  <c r="B118" i="46"/>
  <c r="B117" i="46"/>
  <c r="B116" i="46"/>
  <c r="B115" i="46"/>
  <c r="B114" i="46"/>
  <c r="B113" i="46"/>
  <c r="B112" i="46"/>
  <c r="B111" i="46"/>
  <c r="B110" i="46"/>
  <c r="B109" i="46"/>
  <c r="B108" i="46"/>
  <c r="B107" i="46"/>
  <c r="B106" i="46"/>
  <c r="B105" i="46"/>
  <c r="B104" i="46"/>
  <c r="B103" i="46"/>
  <c r="B102" i="46"/>
  <c r="B101" i="46"/>
  <c r="B100" i="46"/>
  <c r="B99" i="46"/>
  <c r="B98" i="46"/>
  <c r="B97" i="46"/>
  <c r="B96" i="46"/>
  <c r="B95" i="46"/>
  <c r="B94" i="46"/>
  <c r="B93" i="46"/>
  <c r="B92" i="46"/>
  <c r="B91" i="46"/>
  <c r="B90" i="46"/>
  <c r="B89" i="46"/>
  <c r="B88" i="46"/>
  <c r="B87" i="46"/>
  <c r="B86" i="46"/>
  <c r="B85" i="46"/>
  <c r="B84" i="46"/>
  <c r="B83" i="46"/>
  <c r="B82" i="46"/>
  <c r="B81" i="46"/>
  <c r="B80" i="46"/>
  <c r="B79" i="46"/>
  <c r="B78" i="46"/>
  <c r="B77" i="46"/>
  <c r="B76" i="46"/>
  <c r="B75" i="46"/>
  <c r="B74" i="46"/>
  <c r="B73" i="46"/>
  <c r="B72" i="46"/>
  <c r="B71" i="46"/>
  <c r="B70" i="46"/>
  <c r="B69" i="46"/>
  <c r="B68" i="46"/>
  <c r="B67" i="46"/>
  <c r="B66" i="46"/>
  <c r="B65" i="46"/>
  <c r="B64" i="46"/>
  <c r="B63" i="46"/>
  <c r="B62" i="46"/>
  <c r="B61" i="46"/>
  <c r="B60" i="46"/>
  <c r="B59" i="46"/>
  <c r="B58" i="46"/>
  <c r="B57" i="46"/>
  <c r="B56" i="46"/>
  <c r="B55" i="46"/>
  <c r="B54" i="46"/>
  <c r="B53" i="46"/>
  <c r="B52" i="46"/>
  <c r="B51" i="46"/>
  <c r="B50" i="46"/>
  <c r="B49" i="46"/>
  <c r="B48" i="46"/>
  <c r="B47" i="46"/>
  <c r="B46" i="46"/>
  <c r="B45" i="46"/>
  <c r="B44" i="46"/>
  <c r="B43" i="46"/>
  <c r="B42" i="46"/>
  <c r="B41" i="46"/>
  <c r="B40" i="46"/>
  <c r="B39" i="46"/>
  <c r="B38" i="46"/>
  <c r="B37" i="46"/>
  <c r="B36" i="46"/>
  <c r="B35" i="46"/>
  <c r="B34" i="46"/>
  <c r="B33" i="46"/>
  <c r="B32" i="46"/>
  <c r="B31" i="46"/>
  <c r="B30" i="46"/>
  <c r="B29" i="46"/>
  <c r="B28" i="46"/>
  <c r="B27" i="46"/>
  <c r="B26" i="46"/>
  <c r="B25" i="46"/>
  <c r="B24" i="46"/>
  <c r="B23" i="46"/>
  <c r="B22" i="46"/>
  <c r="B21" i="46"/>
  <c r="B20" i="46"/>
  <c r="B19" i="46"/>
  <c r="B18" i="46"/>
  <c r="B17" i="46"/>
  <c r="B16" i="46"/>
  <c r="B15" i="46"/>
  <c r="B14" i="46"/>
  <c r="B13" i="46"/>
  <c r="B12" i="46"/>
  <c r="B11" i="46"/>
  <c r="B10" i="46"/>
  <c r="B9" i="46"/>
  <c r="B8" i="46"/>
  <c r="B7" i="46"/>
  <c r="B6" i="46"/>
  <c r="B5" i="46"/>
  <c r="B4" i="46"/>
  <c r="B3" i="46"/>
  <c r="B2" i="46"/>
  <c r="C3" i="45" l="1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C18" i="45"/>
  <c r="C19" i="45"/>
  <c r="C20" i="45"/>
  <c r="C21" i="45"/>
  <c r="C22" i="45"/>
  <c r="C23" i="45"/>
  <c r="C24" i="45"/>
  <c r="C25" i="45"/>
  <c r="C26" i="45"/>
  <c r="C27" i="45"/>
  <c r="C2" i="45"/>
  <c r="B3" i="45"/>
  <c r="B4" i="45"/>
  <c r="B5" i="45"/>
  <c r="B6" i="45"/>
  <c r="B7" i="45"/>
  <c r="B8" i="45"/>
  <c r="B9" i="45"/>
  <c r="B10" i="45"/>
  <c r="B11" i="45"/>
  <c r="B12" i="45"/>
  <c r="B13" i="45"/>
  <c r="B14" i="45"/>
  <c r="B15" i="45"/>
  <c r="B16" i="45"/>
  <c r="B17" i="45"/>
  <c r="B18" i="45"/>
  <c r="B19" i="45"/>
  <c r="B20" i="45"/>
  <c r="B21" i="45"/>
  <c r="B22" i="45"/>
  <c r="B23" i="45"/>
  <c r="B24" i="45"/>
  <c r="B25" i="45"/>
  <c r="B26" i="45"/>
  <c r="B27" i="45"/>
  <c r="B2" i="45"/>
  <c r="A3" i="45"/>
  <c r="A4" i="45"/>
  <c r="A5" i="45"/>
  <c r="A6" i="45"/>
  <c r="A7" i="45"/>
  <c r="A8" i="45"/>
  <c r="A9" i="45"/>
  <c r="A10" i="45"/>
  <c r="A11" i="45"/>
  <c r="A12" i="45"/>
  <c r="A13" i="45"/>
  <c r="A14" i="45"/>
  <c r="A15" i="45"/>
  <c r="A16" i="45"/>
  <c r="A17" i="45"/>
  <c r="A18" i="45"/>
  <c r="A19" i="45"/>
  <c r="A20" i="45"/>
  <c r="A21" i="45"/>
  <c r="A22" i="45"/>
  <c r="A23" i="45"/>
  <c r="A24" i="45"/>
  <c r="A25" i="45"/>
  <c r="A26" i="45"/>
  <c r="A27" i="45"/>
  <c r="A2" i="45"/>
  <c r="D2" i="44"/>
  <c r="J3" i="43"/>
  <c r="J4" i="43"/>
  <c r="J5" i="43"/>
  <c r="J6" i="43"/>
  <c r="J7" i="43"/>
  <c r="J8" i="43"/>
  <c r="J9" i="43"/>
  <c r="J10" i="43"/>
  <c r="J11" i="43"/>
  <c r="J12" i="43"/>
  <c r="J13" i="43"/>
  <c r="J14" i="43"/>
  <c r="J15" i="43"/>
  <c r="J16" i="43"/>
  <c r="J17" i="43"/>
  <c r="J18" i="43"/>
  <c r="J19" i="43"/>
  <c r="J20" i="43"/>
  <c r="J21" i="43"/>
  <c r="J22" i="43"/>
  <c r="J23" i="43"/>
  <c r="J24" i="43"/>
  <c r="J25" i="43"/>
  <c r="J26" i="43"/>
  <c r="J27" i="43"/>
  <c r="J28" i="43"/>
  <c r="J29" i="43"/>
  <c r="J30" i="43"/>
  <c r="J31" i="43"/>
  <c r="J32" i="43"/>
  <c r="J33" i="43"/>
  <c r="J34" i="43"/>
  <c r="J35" i="43"/>
  <c r="J36" i="43"/>
  <c r="J37" i="43"/>
  <c r="J38" i="43"/>
  <c r="J39" i="43"/>
  <c r="J40" i="43"/>
  <c r="J41" i="43"/>
  <c r="J42" i="43"/>
  <c r="J43" i="43"/>
  <c r="J44" i="43"/>
  <c r="J45" i="43"/>
  <c r="J46" i="43"/>
  <c r="J47" i="43"/>
  <c r="J48" i="43"/>
  <c r="J49" i="43"/>
  <c r="J50" i="43"/>
  <c r="J51" i="43"/>
  <c r="J52" i="43"/>
  <c r="J53" i="43"/>
  <c r="J54" i="43"/>
  <c r="J55" i="43"/>
  <c r="J56" i="43"/>
  <c r="J57" i="43"/>
  <c r="J58" i="43"/>
  <c r="J59" i="43"/>
  <c r="J60" i="43"/>
  <c r="J61" i="43"/>
  <c r="J62" i="43"/>
  <c r="J63" i="43"/>
  <c r="J64" i="43"/>
  <c r="J65" i="43"/>
  <c r="J66" i="43"/>
  <c r="J67" i="43"/>
  <c r="J68" i="43"/>
  <c r="J69" i="43"/>
  <c r="J70" i="43"/>
  <c r="J71" i="43"/>
  <c r="J72" i="43"/>
  <c r="J73" i="43"/>
  <c r="J74" i="43"/>
  <c r="J75" i="43"/>
  <c r="J76" i="43"/>
  <c r="J77" i="43"/>
  <c r="J78" i="43"/>
  <c r="J79" i="43"/>
  <c r="J80" i="43"/>
  <c r="J81" i="43"/>
  <c r="J82" i="43"/>
  <c r="J83" i="43"/>
  <c r="J84" i="43"/>
  <c r="J85" i="43"/>
  <c r="J86" i="43"/>
  <c r="J87" i="43"/>
  <c r="J88" i="43"/>
  <c r="J89" i="43"/>
  <c r="J90" i="43"/>
  <c r="J91" i="43"/>
  <c r="J92" i="43"/>
  <c r="J93" i="43"/>
  <c r="J94" i="43"/>
  <c r="J95" i="43"/>
  <c r="J96" i="43"/>
  <c r="J97" i="43"/>
  <c r="J98" i="43"/>
  <c r="J99" i="43"/>
  <c r="J100" i="43"/>
  <c r="J101" i="43"/>
  <c r="J102" i="43"/>
  <c r="J103" i="43"/>
  <c r="J104" i="43"/>
  <c r="J105" i="43"/>
  <c r="J106" i="43"/>
  <c r="J107" i="43"/>
  <c r="J108" i="43"/>
  <c r="J109" i="43"/>
  <c r="J110" i="43"/>
  <c r="J111" i="43"/>
  <c r="J112" i="43"/>
  <c r="J113" i="43"/>
  <c r="J114" i="43"/>
  <c r="J115" i="43"/>
  <c r="J116" i="43"/>
  <c r="J117" i="43"/>
  <c r="J118" i="43"/>
  <c r="J2" i="43"/>
  <c r="I3" i="43"/>
  <c r="I4" i="43"/>
  <c r="I5" i="43"/>
  <c r="I6" i="43"/>
  <c r="I7" i="43"/>
  <c r="I8" i="43"/>
  <c r="I9" i="43"/>
  <c r="I10" i="43"/>
  <c r="I11" i="43"/>
  <c r="I12" i="43"/>
  <c r="I13" i="43"/>
  <c r="I14" i="43"/>
  <c r="I15" i="43"/>
  <c r="I16" i="43"/>
  <c r="I17" i="43"/>
  <c r="I18" i="43"/>
  <c r="I19" i="43"/>
  <c r="I20" i="43"/>
  <c r="I21" i="43"/>
  <c r="I22" i="43"/>
  <c r="I23" i="43"/>
  <c r="I24" i="43"/>
  <c r="I25" i="43"/>
  <c r="I26" i="43"/>
  <c r="I27" i="43"/>
  <c r="I28" i="43"/>
  <c r="I29" i="43"/>
  <c r="I30" i="43"/>
  <c r="I31" i="43"/>
  <c r="I32" i="43"/>
  <c r="I33" i="43"/>
  <c r="I34" i="43"/>
  <c r="I35" i="43"/>
  <c r="I36" i="43"/>
  <c r="I37" i="43"/>
  <c r="I38" i="43"/>
  <c r="I39" i="43"/>
  <c r="I40" i="43"/>
  <c r="I41" i="43"/>
  <c r="I42" i="43"/>
  <c r="I43" i="43"/>
  <c r="I44" i="43"/>
  <c r="I45" i="43"/>
  <c r="I46" i="43"/>
  <c r="I47" i="43"/>
  <c r="I48" i="43"/>
  <c r="I49" i="43"/>
  <c r="I50" i="43"/>
  <c r="I51" i="43"/>
  <c r="I52" i="43"/>
  <c r="I53" i="43"/>
  <c r="I54" i="43"/>
  <c r="I55" i="43"/>
  <c r="I56" i="43"/>
  <c r="I57" i="43"/>
  <c r="I58" i="43"/>
  <c r="I59" i="43"/>
  <c r="I60" i="43"/>
  <c r="I61" i="43"/>
  <c r="I62" i="43"/>
  <c r="I63" i="43"/>
  <c r="I64" i="43"/>
  <c r="I65" i="43"/>
  <c r="I66" i="43"/>
  <c r="I67" i="43"/>
  <c r="I68" i="43"/>
  <c r="I69" i="43"/>
  <c r="I70" i="43"/>
  <c r="I71" i="43"/>
  <c r="I72" i="43"/>
  <c r="I73" i="43"/>
  <c r="I74" i="43"/>
  <c r="I75" i="43"/>
  <c r="I76" i="43"/>
  <c r="I77" i="43"/>
  <c r="I78" i="43"/>
  <c r="I79" i="43"/>
  <c r="I80" i="43"/>
  <c r="I81" i="43"/>
  <c r="I82" i="43"/>
  <c r="I83" i="43"/>
  <c r="I84" i="43"/>
  <c r="I85" i="43"/>
  <c r="I86" i="43"/>
  <c r="I87" i="43"/>
  <c r="I88" i="43"/>
  <c r="I89" i="43"/>
  <c r="I90" i="43"/>
  <c r="I91" i="43"/>
  <c r="I92" i="43"/>
  <c r="I93" i="43"/>
  <c r="I94" i="43"/>
  <c r="I95" i="43"/>
  <c r="I96" i="43"/>
  <c r="I97" i="43"/>
  <c r="I98" i="43"/>
  <c r="I99" i="43"/>
  <c r="I100" i="43"/>
  <c r="I101" i="43"/>
  <c r="I102" i="43"/>
  <c r="I103" i="43"/>
  <c r="I104" i="43"/>
  <c r="I105" i="43"/>
  <c r="I106" i="43"/>
  <c r="I107" i="43"/>
  <c r="I108" i="43"/>
  <c r="I109" i="43"/>
  <c r="I110" i="43"/>
  <c r="I111" i="43"/>
  <c r="I112" i="43"/>
  <c r="I113" i="43"/>
  <c r="I114" i="43"/>
  <c r="I115" i="43"/>
  <c r="I116" i="43"/>
  <c r="I117" i="43"/>
  <c r="I118" i="43"/>
  <c r="I2" i="43"/>
  <c r="Q3" i="43" a="1"/>
  <c r="Q3" i="43" s="1"/>
  <c r="Q2" i="43" a="1"/>
  <c r="Q2" i="43" s="1"/>
  <c r="H3" i="43"/>
  <c r="H4" i="43"/>
  <c r="H5" i="43"/>
  <c r="H6" i="43"/>
  <c r="H7" i="43"/>
  <c r="H8" i="43"/>
  <c r="H9" i="43"/>
  <c r="H10" i="43"/>
  <c r="H11" i="43"/>
  <c r="H12" i="43"/>
  <c r="H13" i="43"/>
  <c r="H14" i="43"/>
  <c r="H15" i="43"/>
  <c r="H16" i="43"/>
  <c r="H17" i="43"/>
  <c r="H18" i="43"/>
  <c r="H19" i="43"/>
  <c r="H20" i="43"/>
  <c r="H21" i="43"/>
  <c r="H22" i="43"/>
  <c r="H23" i="43"/>
  <c r="H24" i="43"/>
  <c r="H25" i="43"/>
  <c r="H26" i="43"/>
  <c r="H27" i="43"/>
  <c r="H28" i="43"/>
  <c r="H29" i="43"/>
  <c r="H30" i="43"/>
  <c r="H31" i="43"/>
  <c r="H32" i="43"/>
  <c r="H33" i="43"/>
  <c r="H34" i="43"/>
  <c r="H35" i="43"/>
  <c r="H36" i="43"/>
  <c r="H37" i="43"/>
  <c r="H38" i="43"/>
  <c r="H39" i="43"/>
  <c r="H40" i="43"/>
  <c r="H41" i="43"/>
  <c r="H42" i="43"/>
  <c r="H43" i="43"/>
  <c r="H44" i="43"/>
  <c r="H45" i="43"/>
  <c r="H46" i="43"/>
  <c r="H47" i="43"/>
  <c r="H48" i="43"/>
  <c r="H49" i="43"/>
  <c r="H50" i="43"/>
  <c r="H51" i="43"/>
  <c r="H52" i="43"/>
  <c r="H53" i="43"/>
  <c r="H54" i="43"/>
  <c r="H55" i="43"/>
  <c r="H56" i="43"/>
  <c r="H57" i="43"/>
  <c r="H58" i="43"/>
  <c r="H59" i="43"/>
  <c r="H60" i="43"/>
  <c r="H61" i="43"/>
  <c r="H62" i="43"/>
  <c r="H63" i="43"/>
  <c r="H64" i="43"/>
  <c r="H65" i="43"/>
  <c r="H66" i="43"/>
  <c r="H67" i="43"/>
  <c r="H68" i="43"/>
  <c r="H69" i="43"/>
  <c r="H70" i="43"/>
  <c r="H71" i="43"/>
  <c r="H72" i="43"/>
  <c r="H73" i="43"/>
  <c r="H74" i="43"/>
  <c r="H75" i="43"/>
  <c r="H76" i="43"/>
  <c r="H77" i="43"/>
  <c r="H78" i="43"/>
  <c r="H79" i="43"/>
  <c r="H80" i="43"/>
  <c r="H81" i="43"/>
  <c r="H82" i="43"/>
  <c r="H83" i="43"/>
  <c r="H84" i="43"/>
  <c r="H85" i="43"/>
  <c r="H86" i="43"/>
  <c r="H87" i="43"/>
  <c r="H88" i="43"/>
  <c r="H89" i="43"/>
  <c r="H90" i="43"/>
  <c r="H91" i="43"/>
  <c r="H92" i="43"/>
  <c r="H93" i="43"/>
  <c r="H94" i="43"/>
  <c r="H95" i="43"/>
  <c r="H96" i="43"/>
  <c r="H97" i="43"/>
  <c r="H98" i="43"/>
  <c r="H99" i="43"/>
  <c r="H100" i="43"/>
  <c r="H101" i="43"/>
  <c r="H102" i="43"/>
  <c r="H103" i="43"/>
  <c r="H104" i="43"/>
  <c r="H105" i="43"/>
  <c r="H106" i="43"/>
  <c r="H107" i="43"/>
  <c r="H108" i="43"/>
  <c r="H109" i="43"/>
  <c r="H110" i="43"/>
  <c r="H111" i="43"/>
  <c r="H112" i="43"/>
  <c r="H113" i="43"/>
  <c r="H114" i="43"/>
  <c r="H115" i="43"/>
  <c r="H116" i="43"/>
  <c r="H117" i="43"/>
  <c r="H118" i="43"/>
  <c r="H2" i="43"/>
  <c r="G3" i="43" a="1"/>
  <c r="G3" i="43" s="1"/>
  <c r="G4" i="43" a="1"/>
  <c r="G4" i="43" s="1"/>
  <c r="G5" i="43" a="1"/>
  <c r="G5" i="43" s="1"/>
  <c r="G6" i="43" a="1"/>
  <c r="G6" i="43"/>
  <c r="G7" i="43" a="1"/>
  <c r="G7" i="43" s="1"/>
  <c r="G8" i="43" a="1"/>
  <c r="G8" i="43" s="1"/>
  <c r="G9" i="43" a="1"/>
  <c r="G9" i="43" s="1"/>
  <c r="G10" i="43" a="1"/>
  <c r="G10" i="43"/>
  <c r="G11" i="43" a="1"/>
  <c r="G11" i="43" s="1"/>
  <c r="G12" i="43" a="1"/>
  <c r="G12" i="43" s="1"/>
  <c r="G13" i="43" a="1"/>
  <c r="G13" i="43" s="1"/>
  <c r="G14" i="43" a="1"/>
  <c r="G14" i="43"/>
  <c r="G15" i="43" a="1"/>
  <c r="G15" i="43" s="1"/>
  <c r="G16" i="43" a="1"/>
  <c r="G16" i="43" s="1"/>
  <c r="G17" i="43" a="1"/>
  <c r="G17" i="43" s="1"/>
  <c r="G18" i="43" a="1"/>
  <c r="G18" i="43"/>
  <c r="G19" i="43" a="1"/>
  <c r="G19" i="43" s="1"/>
  <c r="G20" i="43" a="1"/>
  <c r="G20" i="43" s="1"/>
  <c r="G21" i="43" a="1"/>
  <c r="G21" i="43" s="1"/>
  <c r="G22" i="43" a="1"/>
  <c r="G22" i="43"/>
  <c r="G23" i="43" a="1"/>
  <c r="G23" i="43" s="1"/>
  <c r="G24" i="43" a="1"/>
  <c r="G24" i="43" s="1"/>
  <c r="G25" i="43" a="1"/>
  <c r="G25" i="43" s="1"/>
  <c r="G26" i="43" a="1"/>
  <c r="G26" i="43"/>
  <c r="G27" i="43" a="1"/>
  <c r="G27" i="43" s="1"/>
  <c r="G28" i="43" a="1"/>
  <c r="G28" i="43" s="1"/>
  <c r="G29" i="43" a="1"/>
  <c r="G29" i="43" s="1"/>
  <c r="G30" i="43" a="1"/>
  <c r="G30" i="43"/>
  <c r="G31" i="43" a="1"/>
  <c r="G31" i="43" s="1"/>
  <c r="G32" i="43" a="1"/>
  <c r="G32" i="43" s="1"/>
  <c r="G33" i="43" a="1"/>
  <c r="G33" i="43" s="1"/>
  <c r="G34" i="43" a="1"/>
  <c r="G34" i="43"/>
  <c r="G35" i="43" a="1"/>
  <c r="G35" i="43" s="1"/>
  <c r="G36" i="43" a="1"/>
  <c r="G36" i="43" s="1"/>
  <c r="G37" i="43" a="1"/>
  <c r="G37" i="43" s="1"/>
  <c r="G38" i="43" a="1"/>
  <c r="G38" i="43"/>
  <c r="G39" i="43" a="1"/>
  <c r="G39" i="43" s="1"/>
  <c r="G40" i="43" a="1"/>
  <c r="G40" i="43" s="1"/>
  <c r="G41" i="43" a="1"/>
  <c r="G41" i="43" s="1"/>
  <c r="G42" i="43" a="1"/>
  <c r="G42" i="43"/>
  <c r="G43" i="43" a="1"/>
  <c r="G43" i="43" s="1"/>
  <c r="G44" i="43" a="1"/>
  <c r="G44" i="43" s="1"/>
  <c r="G45" i="43" a="1"/>
  <c r="G45" i="43" s="1"/>
  <c r="G46" i="43" a="1"/>
  <c r="G46" i="43" s="1"/>
  <c r="G47" i="43" a="1"/>
  <c r="G47" i="43" s="1"/>
  <c r="G48" i="43" a="1"/>
  <c r="G48" i="43" s="1"/>
  <c r="G49" i="43" a="1"/>
  <c r="G49" i="43" s="1"/>
  <c r="G50" i="43" a="1"/>
  <c r="G50" i="43" s="1"/>
  <c r="G51" i="43" a="1"/>
  <c r="G51" i="43" s="1"/>
  <c r="G52" i="43" a="1"/>
  <c r="G52" i="43" s="1"/>
  <c r="G53" i="43" a="1"/>
  <c r="G53" i="43" s="1"/>
  <c r="G54" i="43" a="1"/>
  <c r="G54" i="43" s="1"/>
  <c r="G55" i="43" a="1"/>
  <c r="G55" i="43" s="1"/>
  <c r="G56" i="43" a="1"/>
  <c r="G56" i="43" s="1"/>
  <c r="G57" i="43" a="1"/>
  <c r="G57" i="43" s="1"/>
  <c r="G58" i="43" a="1"/>
  <c r="G58" i="43" s="1"/>
  <c r="G59" i="43" a="1"/>
  <c r="G59" i="43" s="1"/>
  <c r="G60" i="43" a="1"/>
  <c r="G60" i="43" s="1"/>
  <c r="G61" i="43" a="1"/>
  <c r="G61" i="43" s="1"/>
  <c r="G62" i="43" a="1"/>
  <c r="G62" i="43" s="1"/>
  <c r="G63" i="43" a="1"/>
  <c r="G63" i="43" s="1"/>
  <c r="G64" i="43" a="1"/>
  <c r="G64" i="43" s="1"/>
  <c r="G65" i="43" a="1"/>
  <c r="G65" i="43" s="1"/>
  <c r="G66" i="43" a="1"/>
  <c r="G66" i="43" s="1"/>
  <c r="G67" i="43" a="1"/>
  <c r="G67" i="43" s="1"/>
  <c r="G68" i="43" a="1"/>
  <c r="G68" i="43" s="1"/>
  <c r="G69" i="43" a="1"/>
  <c r="G69" i="43" s="1"/>
  <c r="G70" i="43" a="1"/>
  <c r="G70" i="43" s="1"/>
  <c r="G71" i="43" a="1"/>
  <c r="G71" i="43" s="1"/>
  <c r="G72" i="43" a="1"/>
  <c r="G72" i="43" s="1"/>
  <c r="G73" i="43" a="1"/>
  <c r="G73" i="43" s="1"/>
  <c r="G74" i="43" a="1"/>
  <c r="G74" i="43" s="1"/>
  <c r="G75" i="43" a="1"/>
  <c r="G75" i="43" s="1"/>
  <c r="G76" i="43" a="1"/>
  <c r="G76" i="43" s="1"/>
  <c r="G77" i="43" a="1"/>
  <c r="G77" i="43" s="1"/>
  <c r="G78" i="43" a="1"/>
  <c r="G78" i="43" s="1"/>
  <c r="G79" i="43" a="1"/>
  <c r="G79" i="43" s="1"/>
  <c r="G80" i="43" a="1"/>
  <c r="G80" i="43" s="1"/>
  <c r="G81" i="43" a="1"/>
  <c r="G81" i="43" s="1"/>
  <c r="G82" i="43" a="1"/>
  <c r="G82" i="43" s="1"/>
  <c r="G83" i="43" a="1"/>
  <c r="G83" i="43" s="1"/>
  <c r="G84" i="43" a="1"/>
  <c r="G84" i="43" s="1"/>
  <c r="G85" i="43" a="1"/>
  <c r="G85" i="43" s="1"/>
  <c r="G86" i="43" a="1"/>
  <c r="G86" i="43" s="1"/>
  <c r="G87" i="43" a="1"/>
  <c r="G87" i="43" s="1"/>
  <c r="G88" i="43" a="1"/>
  <c r="G88" i="43" s="1"/>
  <c r="G89" i="43" a="1"/>
  <c r="G89" i="43" s="1"/>
  <c r="G90" i="43" a="1"/>
  <c r="G90" i="43" s="1"/>
  <c r="G91" i="43" a="1"/>
  <c r="G91" i="43" s="1"/>
  <c r="G92" i="43" a="1"/>
  <c r="G92" i="43" s="1"/>
  <c r="G93" i="43" a="1"/>
  <c r="G93" i="43" s="1"/>
  <c r="G94" i="43" a="1"/>
  <c r="G94" i="43" s="1"/>
  <c r="G95" i="43" a="1"/>
  <c r="G95" i="43" s="1"/>
  <c r="G96" i="43" a="1"/>
  <c r="G96" i="43" s="1"/>
  <c r="G97" i="43" a="1"/>
  <c r="G97" i="43" s="1"/>
  <c r="G98" i="43" a="1"/>
  <c r="G98" i="43" s="1"/>
  <c r="G99" i="43" a="1"/>
  <c r="G99" i="43" s="1"/>
  <c r="G100" i="43" a="1"/>
  <c r="G100" i="43" s="1"/>
  <c r="G101" i="43" a="1"/>
  <c r="G101" i="43" s="1"/>
  <c r="G102" i="43" a="1"/>
  <c r="G102" i="43" s="1"/>
  <c r="G103" i="43" a="1"/>
  <c r="G103" i="43" s="1"/>
  <c r="G104" i="43" a="1"/>
  <c r="G104" i="43" s="1"/>
  <c r="G105" i="43" a="1"/>
  <c r="G105" i="43" s="1"/>
  <c r="G106" i="43" a="1"/>
  <c r="G106" i="43" s="1"/>
  <c r="G107" i="43" a="1"/>
  <c r="G107" i="43" s="1"/>
  <c r="G108" i="43" a="1"/>
  <c r="G108" i="43" s="1"/>
  <c r="G109" i="43" a="1"/>
  <c r="G109" i="43" s="1"/>
  <c r="G110" i="43" a="1"/>
  <c r="G110" i="43" s="1"/>
  <c r="G111" i="43" a="1"/>
  <c r="G111" i="43" s="1"/>
  <c r="G112" i="43" a="1"/>
  <c r="G112" i="43" s="1"/>
  <c r="G113" i="43" a="1"/>
  <c r="G113" i="43" s="1"/>
  <c r="G114" i="43" a="1"/>
  <c r="G114" i="43" s="1"/>
  <c r="G115" i="43" a="1"/>
  <c r="G115" i="43" s="1"/>
  <c r="G116" i="43" a="1"/>
  <c r="G116" i="43" s="1"/>
  <c r="G117" i="43" a="1"/>
  <c r="G117" i="43" s="1"/>
  <c r="G118" i="43" a="1"/>
  <c r="G118" i="43" s="1"/>
  <c r="G2" i="43" a="1"/>
  <c r="G2" i="43" s="1"/>
  <c r="F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F27" i="43"/>
  <c r="F28" i="43"/>
  <c r="F29" i="43"/>
  <c r="F30" i="43"/>
  <c r="F31" i="43"/>
  <c r="F32" i="43"/>
  <c r="F33" i="43"/>
  <c r="F34" i="43"/>
  <c r="F35" i="43"/>
  <c r="F36" i="43"/>
  <c r="F37" i="43"/>
  <c r="F38" i="43"/>
  <c r="F39" i="43"/>
  <c r="F40" i="43"/>
  <c r="F41" i="43"/>
  <c r="F42" i="43"/>
  <c r="F43" i="43"/>
  <c r="F44" i="43"/>
  <c r="F45" i="43"/>
  <c r="F46" i="43"/>
  <c r="F47" i="43"/>
  <c r="F48" i="43"/>
  <c r="F49" i="43"/>
  <c r="F50" i="43"/>
  <c r="F51" i="43"/>
  <c r="F52" i="43"/>
  <c r="F53" i="43"/>
  <c r="F54" i="43"/>
  <c r="F55" i="43"/>
  <c r="F56" i="43"/>
  <c r="F57" i="43"/>
  <c r="F58" i="43"/>
  <c r="F59" i="43"/>
  <c r="F60" i="43"/>
  <c r="F61" i="43"/>
  <c r="F62" i="43"/>
  <c r="F63" i="43"/>
  <c r="F64" i="43"/>
  <c r="F65" i="43"/>
  <c r="F66" i="43"/>
  <c r="F67" i="43"/>
  <c r="F68" i="43"/>
  <c r="F69" i="43"/>
  <c r="F70" i="43"/>
  <c r="F71" i="43"/>
  <c r="F72" i="43"/>
  <c r="F73" i="43"/>
  <c r="F74" i="43"/>
  <c r="F75" i="43"/>
  <c r="F76" i="43"/>
  <c r="F77" i="43"/>
  <c r="F78" i="43"/>
  <c r="F79" i="43"/>
  <c r="F80" i="43"/>
  <c r="F81" i="43"/>
  <c r="F82" i="43"/>
  <c r="F83" i="43"/>
  <c r="F84" i="43"/>
  <c r="F85" i="43"/>
  <c r="F86" i="43"/>
  <c r="F87" i="43"/>
  <c r="F88" i="43"/>
  <c r="F89" i="43"/>
  <c r="F90" i="43"/>
  <c r="F91" i="43"/>
  <c r="F92" i="43"/>
  <c r="F93" i="43"/>
  <c r="F94" i="43"/>
  <c r="F95" i="43"/>
  <c r="F96" i="43"/>
  <c r="F97" i="43"/>
  <c r="F98" i="43"/>
  <c r="F99" i="43"/>
  <c r="F100" i="43"/>
  <c r="F101" i="43"/>
  <c r="F102" i="43"/>
  <c r="F103" i="43"/>
  <c r="F104" i="43"/>
  <c r="F105" i="43"/>
  <c r="F106" i="43"/>
  <c r="F107" i="43"/>
  <c r="F108" i="43"/>
  <c r="F109" i="43"/>
  <c r="F110" i="43"/>
  <c r="F111" i="43"/>
  <c r="F112" i="43"/>
  <c r="F113" i="43"/>
  <c r="F114" i="43"/>
  <c r="F115" i="43"/>
  <c r="F116" i="43"/>
  <c r="F117" i="43"/>
  <c r="F118" i="43"/>
  <c r="F2" i="43"/>
  <c r="E3" i="43"/>
  <c r="E4" i="43"/>
  <c r="E5" i="43"/>
  <c r="E6" i="43"/>
  <c r="E7" i="43"/>
  <c r="E8" i="43"/>
  <c r="E9" i="43"/>
  <c r="E10" i="43"/>
  <c r="E11" i="43"/>
  <c r="E12" i="43"/>
  <c r="E13" i="43"/>
  <c r="E14" i="43"/>
  <c r="E15" i="43"/>
  <c r="E16" i="43"/>
  <c r="E17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E33" i="43"/>
  <c r="E34" i="43"/>
  <c r="E35" i="43"/>
  <c r="E36" i="43"/>
  <c r="E37" i="43"/>
  <c r="E38" i="43"/>
  <c r="E39" i="43"/>
  <c r="E40" i="43"/>
  <c r="E41" i="43"/>
  <c r="E42" i="43"/>
  <c r="E43" i="43"/>
  <c r="E44" i="43"/>
  <c r="E45" i="43"/>
  <c r="E46" i="43"/>
  <c r="E47" i="43"/>
  <c r="E48" i="43"/>
  <c r="E49" i="43"/>
  <c r="E50" i="43"/>
  <c r="E51" i="43"/>
  <c r="E52" i="43"/>
  <c r="E53" i="43"/>
  <c r="E54" i="43"/>
  <c r="E55" i="43"/>
  <c r="E56" i="43"/>
  <c r="E57" i="43"/>
  <c r="E58" i="43"/>
  <c r="E59" i="43"/>
  <c r="E60" i="43"/>
  <c r="E61" i="43"/>
  <c r="E62" i="43"/>
  <c r="E63" i="43"/>
  <c r="E64" i="43"/>
  <c r="E65" i="43"/>
  <c r="E66" i="43"/>
  <c r="E67" i="43"/>
  <c r="E68" i="43"/>
  <c r="E69" i="43"/>
  <c r="E70" i="43"/>
  <c r="E71" i="43"/>
  <c r="E72" i="43"/>
  <c r="E73" i="43"/>
  <c r="E74" i="43"/>
  <c r="E75" i="43"/>
  <c r="E76" i="43"/>
  <c r="E77" i="43"/>
  <c r="E78" i="43"/>
  <c r="E79" i="43"/>
  <c r="E80" i="43"/>
  <c r="E81" i="43"/>
  <c r="E82" i="43"/>
  <c r="E83" i="43"/>
  <c r="E84" i="43"/>
  <c r="E85" i="43"/>
  <c r="E86" i="43"/>
  <c r="E87" i="43"/>
  <c r="E88" i="43"/>
  <c r="E89" i="43"/>
  <c r="E90" i="43"/>
  <c r="E91" i="43"/>
  <c r="E92" i="43"/>
  <c r="E93" i="43"/>
  <c r="E94" i="43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114" i="43"/>
  <c r="E115" i="43"/>
  <c r="E116" i="43"/>
  <c r="E117" i="43"/>
  <c r="E118" i="43"/>
  <c r="E2" i="43"/>
  <c r="D3" i="43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7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87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2" i="43"/>
  <c r="C3" i="43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2" i="43"/>
  <c r="Q4" i="43" l="1" a="1"/>
  <c r="Q4" i="43" s="1"/>
  <c r="Q5" i="43" a="1"/>
  <c r="Q5" i="43" s="1"/>
  <c r="Q6" i="43" a="1"/>
  <c r="Q6" i="43" s="1"/>
  <c r="Q7" i="43" a="1"/>
  <c r="Q7" i="43" s="1"/>
  <c r="Q8" i="43" l="1" a="1"/>
  <c r="Q8" i="43" s="1"/>
  <c r="Q9" i="43" l="1" a="1"/>
  <c r="Q9" i="43" s="1"/>
  <c r="Q10" i="43" l="1" a="1"/>
  <c r="Q10" i="43" s="1"/>
  <c r="Q11" i="43" l="1" a="1"/>
  <c r="Q11" i="43" s="1"/>
  <c r="B4" i="42" a="1"/>
  <c r="B4" i="42" s="1"/>
  <c r="C4" i="42" a="1"/>
  <c r="C4" i="42" s="1"/>
  <c r="D4" i="42" a="1"/>
  <c r="D4" i="42" s="1"/>
  <c r="E4" i="42" a="1"/>
  <c r="E4" i="42" s="1"/>
  <c r="F4" i="42" a="1"/>
  <c r="F4" i="42" s="1"/>
  <c r="G4" i="42" a="1"/>
  <c r="G4" i="42" s="1"/>
  <c r="H4" i="42" a="1"/>
  <c r="H4" i="42" s="1"/>
  <c r="I4" i="42" a="1"/>
  <c r="I4" i="42" s="1"/>
  <c r="B5" i="42" a="1"/>
  <c r="B5" i="42" s="1"/>
  <c r="C5" i="42" a="1"/>
  <c r="C5" i="42" s="1"/>
  <c r="D5" i="42" a="1"/>
  <c r="D5" i="42" s="1"/>
  <c r="E5" i="42" a="1"/>
  <c r="E5" i="42" s="1"/>
  <c r="F5" i="42" a="1"/>
  <c r="F5" i="42" s="1"/>
  <c r="G5" i="42" a="1"/>
  <c r="G5" i="42" s="1"/>
  <c r="H5" i="42" a="1"/>
  <c r="H5" i="42" s="1"/>
  <c r="I5" i="42" a="1"/>
  <c r="I5" i="42" s="1"/>
  <c r="B6" i="42" a="1"/>
  <c r="B6" i="42" s="1"/>
  <c r="C6" i="42" a="1"/>
  <c r="C6" i="42" s="1"/>
  <c r="D6" i="42" a="1"/>
  <c r="D6" i="42" s="1"/>
  <c r="E6" i="42" a="1"/>
  <c r="E6" i="42" s="1"/>
  <c r="F6" i="42" a="1"/>
  <c r="F6" i="42" s="1"/>
  <c r="G6" i="42" a="1"/>
  <c r="G6" i="42" s="1"/>
  <c r="H6" i="42" a="1"/>
  <c r="H6" i="42" s="1"/>
  <c r="I6" i="42" a="1"/>
  <c r="I6" i="42" s="1"/>
  <c r="B7" i="42" a="1"/>
  <c r="B7" i="42" s="1"/>
  <c r="C7" i="42" a="1"/>
  <c r="C7" i="42" s="1"/>
  <c r="D7" i="42" a="1"/>
  <c r="D7" i="42" s="1"/>
  <c r="E7" i="42" a="1"/>
  <c r="E7" i="42" s="1"/>
  <c r="F7" i="42" a="1"/>
  <c r="F7" i="42" s="1"/>
  <c r="G7" i="42" a="1"/>
  <c r="G7" i="42" s="1"/>
  <c r="H7" i="42" a="1"/>
  <c r="H7" i="42" s="1"/>
  <c r="I7" i="42" a="1"/>
  <c r="I7" i="42" s="1"/>
  <c r="B8" i="42" a="1"/>
  <c r="B8" i="42" s="1"/>
  <c r="C8" i="42" a="1"/>
  <c r="C8" i="42" s="1"/>
  <c r="D8" i="42" a="1"/>
  <c r="D8" i="42" s="1"/>
  <c r="E8" i="42" a="1"/>
  <c r="E8" i="42" s="1"/>
  <c r="F8" i="42" a="1"/>
  <c r="F8" i="42" s="1"/>
  <c r="G8" i="42" a="1"/>
  <c r="G8" i="42" s="1"/>
  <c r="H8" i="42" a="1"/>
  <c r="H8" i="42" s="1"/>
  <c r="I8" i="42" a="1"/>
  <c r="I8" i="42" s="1"/>
  <c r="B9" i="42" a="1"/>
  <c r="B9" i="42" s="1"/>
  <c r="C9" i="42" a="1"/>
  <c r="C9" i="42" s="1"/>
  <c r="D9" i="42" a="1"/>
  <c r="D9" i="42" s="1"/>
  <c r="E9" i="42" a="1"/>
  <c r="E9" i="42" s="1"/>
  <c r="F9" i="42" a="1"/>
  <c r="F9" i="42" s="1"/>
  <c r="G9" i="42" a="1"/>
  <c r="G9" i="42" s="1"/>
  <c r="H9" i="42" a="1"/>
  <c r="H9" i="42" s="1"/>
  <c r="I9" i="42" a="1"/>
  <c r="I9" i="42" s="1"/>
  <c r="B10" i="42" a="1"/>
  <c r="B10" i="42" s="1"/>
  <c r="C10" i="42" a="1"/>
  <c r="C10" i="42" s="1"/>
  <c r="D10" i="42" a="1"/>
  <c r="D10" i="42" s="1"/>
  <c r="E10" i="42" a="1"/>
  <c r="E10" i="42" s="1"/>
  <c r="F10" i="42" a="1"/>
  <c r="F10" i="42" s="1"/>
  <c r="G10" i="42" a="1"/>
  <c r="G10" i="42" s="1"/>
  <c r="H10" i="42" a="1"/>
  <c r="H10" i="42" s="1"/>
  <c r="I10" i="42" a="1"/>
  <c r="I10" i="42" s="1"/>
  <c r="B11" i="42" a="1"/>
  <c r="B11" i="42" s="1"/>
  <c r="C11" i="42" a="1"/>
  <c r="C11" i="42" s="1"/>
  <c r="D11" i="42" a="1"/>
  <c r="D11" i="42" s="1"/>
  <c r="E11" i="42" a="1"/>
  <c r="E11" i="42" s="1"/>
  <c r="F11" i="42" a="1"/>
  <c r="F11" i="42" s="1"/>
  <c r="G11" i="42" a="1"/>
  <c r="G11" i="42" s="1"/>
  <c r="H11" i="42" a="1"/>
  <c r="H11" i="42" s="1"/>
  <c r="I11" i="42" a="1"/>
  <c r="I11" i="42" s="1"/>
  <c r="B12" i="42" a="1"/>
  <c r="B12" i="42" s="1"/>
  <c r="C12" i="42" a="1"/>
  <c r="C12" i="42" s="1"/>
  <c r="D12" i="42" a="1"/>
  <c r="D12" i="42" s="1"/>
  <c r="E12" i="42" a="1"/>
  <c r="E12" i="42" s="1"/>
  <c r="F12" i="42" a="1"/>
  <c r="F12" i="42" s="1"/>
  <c r="G12" i="42" a="1"/>
  <c r="G12" i="42" s="1"/>
  <c r="H12" i="42" a="1"/>
  <c r="H12" i="42" s="1"/>
  <c r="I12" i="42" a="1"/>
  <c r="I12" i="42" s="1"/>
  <c r="B13" i="42" a="1"/>
  <c r="B13" i="42" s="1"/>
  <c r="C13" i="42" a="1"/>
  <c r="C13" i="42" s="1"/>
  <c r="D13" i="42" a="1"/>
  <c r="D13" i="42" s="1"/>
  <c r="E13" i="42" a="1"/>
  <c r="E13" i="42" s="1"/>
  <c r="F13" i="42" a="1"/>
  <c r="F13" i="42" s="1"/>
  <c r="G13" i="42" a="1"/>
  <c r="G13" i="42" s="1"/>
  <c r="H13" i="42" a="1"/>
  <c r="H13" i="42" s="1"/>
  <c r="I13" i="42" a="1"/>
  <c r="I13" i="42" s="1"/>
  <c r="B14" i="42" a="1"/>
  <c r="B14" i="42" s="1"/>
  <c r="C14" i="42" a="1"/>
  <c r="C14" i="42" s="1"/>
  <c r="D14" i="42" a="1"/>
  <c r="D14" i="42" s="1"/>
  <c r="E14" i="42" a="1"/>
  <c r="E14" i="42" s="1"/>
  <c r="F14" i="42" a="1"/>
  <c r="F14" i="42" s="1"/>
  <c r="G14" i="42" a="1"/>
  <c r="G14" i="42" s="1"/>
  <c r="H14" i="42" a="1"/>
  <c r="H14" i="42" s="1"/>
  <c r="I14" i="42" a="1"/>
  <c r="I14" i="42" s="1"/>
  <c r="B15" i="42" a="1"/>
  <c r="B15" i="42" s="1"/>
  <c r="C15" i="42" a="1"/>
  <c r="C15" i="42" s="1"/>
  <c r="D15" i="42" a="1"/>
  <c r="D15" i="42" s="1"/>
  <c r="E15" i="42" a="1"/>
  <c r="E15" i="42" s="1"/>
  <c r="F15" i="42" a="1"/>
  <c r="F15" i="42" s="1"/>
  <c r="G15" i="42" a="1"/>
  <c r="G15" i="42" s="1"/>
  <c r="H15" i="42" a="1"/>
  <c r="H15" i="42" s="1"/>
  <c r="I15" i="42" a="1"/>
  <c r="I15" i="42" s="1"/>
  <c r="B16" i="42" a="1"/>
  <c r="B16" i="42" s="1"/>
  <c r="C16" i="42" a="1"/>
  <c r="C16" i="42" s="1"/>
  <c r="D16" i="42" a="1"/>
  <c r="D16" i="42" s="1"/>
  <c r="E16" i="42" a="1"/>
  <c r="E16" i="42" s="1"/>
  <c r="F16" i="42" a="1"/>
  <c r="F16" i="42" s="1"/>
  <c r="G16" i="42" a="1"/>
  <c r="G16" i="42" s="1"/>
  <c r="H16" i="42" a="1"/>
  <c r="H16" i="42" s="1"/>
  <c r="I16" i="42" a="1"/>
  <c r="I16" i="42" s="1"/>
  <c r="B17" i="42" a="1"/>
  <c r="B17" i="42" s="1"/>
  <c r="C17" i="42" a="1"/>
  <c r="C17" i="42" s="1"/>
  <c r="D17" i="42" a="1"/>
  <c r="D17" i="42" s="1"/>
  <c r="E17" i="42" a="1"/>
  <c r="E17" i="42" s="1"/>
  <c r="F17" i="42" a="1"/>
  <c r="F17" i="42" s="1"/>
  <c r="G17" i="42" a="1"/>
  <c r="G17" i="42" s="1"/>
  <c r="H17" i="42" a="1"/>
  <c r="H17" i="42" s="1"/>
  <c r="I17" i="42" a="1"/>
  <c r="I17" i="42" s="1"/>
  <c r="B18" i="42" a="1"/>
  <c r="B18" i="42" s="1"/>
  <c r="C18" i="42" a="1"/>
  <c r="C18" i="42" s="1"/>
  <c r="D18" i="42" a="1"/>
  <c r="D18" i="42" s="1"/>
  <c r="E18" i="42" a="1"/>
  <c r="E18" i="42" s="1"/>
  <c r="F18" i="42" a="1"/>
  <c r="F18" i="42" s="1"/>
  <c r="G18" i="42" a="1"/>
  <c r="G18" i="42" s="1"/>
  <c r="H18" i="42" a="1"/>
  <c r="H18" i="42" s="1"/>
  <c r="I18" i="42" a="1"/>
  <c r="I18" i="42" s="1"/>
  <c r="C3" i="42" a="1"/>
  <c r="C3" i="42" s="1"/>
  <c r="D3" i="42" a="1"/>
  <c r="D3" i="42" s="1"/>
  <c r="E3" i="42" a="1"/>
  <c r="E3" i="42" s="1"/>
  <c r="F3" i="42" a="1"/>
  <c r="F3" i="42" s="1"/>
  <c r="G3" i="42" a="1"/>
  <c r="G3" i="42" s="1"/>
  <c r="H3" i="42" a="1"/>
  <c r="H3" i="42" s="1"/>
  <c r="I3" i="42" a="1"/>
  <c r="I3" i="42" s="1"/>
  <c r="B3" i="42" a="1"/>
  <c r="B3" i="42" s="1"/>
  <c r="A4" i="42"/>
  <c r="A5" i="42"/>
  <c r="A6" i="42"/>
  <c r="A7" i="42"/>
  <c r="A8" i="42"/>
  <c r="A9" i="42"/>
  <c r="A10" i="42"/>
  <c r="A11" i="42"/>
  <c r="A12" i="42"/>
  <c r="A13" i="42"/>
  <c r="A14" i="42"/>
  <c r="A15" i="42"/>
  <c r="A16" i="42"/>
  <c r="A17" i="42"/>
  <c r="A18" i="42"/>
  <c r="A3" i="42"/>
  <c r="A18" i="41"/>
  <c r="A17" i="41"/>
  <c r="A16" i="41"/>
  <c r="A15" i="41"/>
  <c r="A14" i="41"/>
  <c r="A13" i="41"/>
  <c r="A12" i="41"/>
  <c r="A11" i="41"/>
  <c r="A10" i="41"/>
  <c r="A9" i="41"/>
  <c r="A8" i="41"/>
  <c r="A7" i="41"/>
  <c r="A6" i="41"/>
  <c r="A5" i="41"/>
  <c r="A4" i="41"/>
  <c r="A3" i="41"/>
  <c r="B23" i="41" a="1"/>
  <c r="B23" i="41" s="1"/>
  <c r="C23" i="41" a="1"/>
  <c r="C23" i="41" s="1"/>
  <c r="D23" i="41" a="1"/>
  <c r="D23" i="41" s="1"/>
  <c r="E23" i="41" a="1"/>
  <c r="E23" i="41" s="1"/>
  <c r="F23" i="41" a="1"/>
  <c r="F23" i="41" s="1"/>
  <c r="G23" i="41" a="1"/>
  <c r="G23" i="41" s="1"/>
  <c r="H23" i="41" a="1"/>
  <c r="H23" i="41" s="1"/>
  <c r="I23" i="41" a="1"/>
  <c r="I23" i="41" s="1"/>
  <c r="J23" i="41" a="1"/>
  <c r="J23" i="41" s="1"/>
  <c r="K23" i="41" a="1"/>
  <c r="K23" i="41" s="1"/>
  <c r="L23" i="41" a="1"/>
  <c r="L23" i="41" s="1"/>
  <c r="M23" i="41" a="1"/>
  <c r="M23" i="41" s="1"/>
  <c r="N23" i="41" a="1"/>
  <c r="N23" i="41" s="1"/>
  <c r="O23" i="41" a="1"/>
  <c r="O23" i="41" s="1"/>
  <c r="P23" i="41" a="1"/>
  <c r="P23" i="41" s="1"/>
  <c r="Q23" i="41" a="1"/>
  <c r="Q23" i="41" s="1"/>
  <c r="R23" i="41" a="1"/>
  <c r="R23" i="41" s="1"/>
  <c r="S23" i="41" a="1"/>
  <c r="S23" i="41" s="1"/>
  <c r="T23" i="41" a="1"/>
  <c r="T23" i="41" s="1"/>
  <c r="U23" i="41" a="1"/>
  <c r="U23" i="41" s="1"/>
  <c r="V23" i="41" a="1"/>
  <c r="V23" i="41" s="1"/>
  <c r="W23" i="41" a="1"/>
  <c r="W23" i="41" s="1"/>
  <c r="X23" i="41" a="1"/>
  <c r="X23" i="41" s="1"/>
  <c r="Y23" i="41" a="1"/>
  <c r="Y23" i="41" s="1"/>
  <c r="Z23" i="41" a="1"/>
  <c r="Z23" i="41" s="1"/>
  <c r="AA23" i="41" a="1"/>
  <c r="AA23" i="41" s="1"/>
  <c r="B24" i="41" a="1"/>
  <c r="B24" i="41" s="1"/>
  <c r="C24" i="41" a="1"/>
  <c r="C24" i="41" s="1"/>
  <c r="D24" i="41" a="1"/>
  <c r="D24" i="41" s="1"/>
  <c r="E24" i="41" a="1"/>
  <c r="E24" i="41" s="1"/>
  <c r="F24" i="41" a="1"/>
  <c r="F24" i="41" s="1"/>
  <c r="G24" i="41" a="1"/>
  <c r="G24" i="41" s="1"/>
  <c r="H24" i="41" a="1"/>
  <c r="H24" i="41" s="1"/>
  <c r="I24" i="41" a="1"/>
  <c r="I24" i="41" s="1"/>
  <c r="J24" i="41" a="1"/>
  <c r="J24" i="41" s="1"/>
  <c r="K24" i="41" a="1"/>
  <c r="K24" i="41" s="1"/>
  <c r="L24" i="41" a="1"/>
  <c r="L24" i="41" s="1"/>
  <c r="M24" i="41" a="1"/>
  <c r="M24" i="41" s="1"/>
  <c r="N24" i="41" a="1"/>
  <c r="N24" i="41" s="1"/>
  <c r="O24" i="41" a="1"/>
  <c r="O24" i="41" s="1"/>
  <c r="P24" i="41" a="1"/>
  <c r="P24" i="41" s="1"/>
  <c r="Q24" i="41" a="1"/>
  <c r="Q24" i="41" s="1"/>
  <c r="R24" i="41" a="1"/>
  <c r="R24" i="41" s="1"/>
  <c r="S24" i="41" a="1"/>
  <c r="S24" i="41" s="1"/>
  <c r="T24" i="41" a="1"/>
  <c r="T24" i="41" s="1"/>
  <c r="U24" i="41" a="1"/>
  <c r="U24" i="41" s="1"/>
  <c r="V24" i="41" a="1"/>
  <c r="V24" i="41" s="1"/>
  <c r="W24" i="41" a="1"/>
  <c r="W24" i="41" s="1"/>
  <c r="X24" i="41" a="1"/>
  <c r="X24" i="41" s="1"/>
  <c r="Y24" i="41" a="1"/>
  <c r="Y24" i="41" s="1"/>
  <c r="Z24" i="41" a="1"/>
  <c r="Z24" i="41" s="1"/>
  <c r="AA24" i="41" a="1"/>
  <c r="AA24" i="41" s="1"/>
  <c r="B25" i="41" a="1"/>
  <c r="B25" i="41" s="1"/>
  <c r="C25" i="41" a="1"/>
  <c r="C25" i="41" s="1"/>
  <c r="D25" i="41" a="1"/>
  <c r="D25" i="41" s="1"/>
  <c r="E25" i="41" a="1"/>
  <c r="E25" i="41" s="1"/>
  <c r="F25" i="41" a="1"/>
  <c r="F25" i="41" s="1"/>
  <c r="G25" i="41" a="1"/>
  <c r="G25" i="41" s="1"/>
  <c r="H25" i="41" a="1"/>
  <c r="H25" i="41" s="1"/>
  <c r="I25" i="41" a="1"/>
  <c r="I25" i="41" s="1"/>
  <c r="J25" i="41" a="1"/>
  <c r="J25" i="41" s="1"/>
  <c r="K25" i="41" a="1"/>
  <c r="K25" i="41" s="1"/>
  <c r="L25" i="41" a="1"/>
  <c r="L25" i="41" s="1"/>
  <c r="M25" i="41" a="1"/>
  <c r="M25" i="41" s="1"/>
  <c r="N25" i="41" a="1"/>
  <c r="N25" i="41" s="1"/>
  <c r="O25" i="41" a="1"/>
  <c r="O25" i="41" s="1"/>
  <c r="P25" i="41" a="1"/>
  <c r="P25" i="41" s="1"/>
  <c r="Q25" i="41" a="1"/>
  <c r="Q25" i="41" s="1"/>
  <c r="R25" i="41" a="1"/>
  <c r="R25" i="41" s="1"/>
  <c r="S25" i="41" a="1"/>
  <c r="S25" i="41" s="1"/>
  <c r="T25" i="41" a="1"/>
  <c r="T25" i="41" s="1"/>
  <c r="U25" i="41" a="1"/>
  <c r="U25" i="41" s="1"/>
  <c r="V25" i="41" a="1"/>
  <c r="V25" i="41" s="1"/>
  <c r="W25" i="41" a="1"/>
  <c r="W25" i="41" s="1"/>
  <c r="X25" i="41" a="1"/>
  <c r="X25" i="41" s="1"/>
  <c r="Y25" i="41" a="1"/>
  <c r="Y25" i="41" s="1"/>
  <c r="Z25" i="41" a="1"/>
  <c r="Z25" i="41" s="1"/>
  <c r="AA25" i="41" a="1"/>
  <c r="AA25" i="41" s="1"/>
  <c r="B26" i="41" a="1"/>
  <c r="B26" i="41" s="1"/>
  <c r="C26" i="41" a="1"/>
  <c r="C26" i="41" s="1"/>
  <c r="D26" i="41" a="1"/>
  <c r="D26" i="41" s="1"/>
  <c r="E26" i="41" a="1"/>
  <c r="E26" i="41" s="1"/>
  <c r="F26" i="41" a="1"/>
  <c r="F26" i="41" s="1"/>
  <c r="G26" i="41" a="1"/>
  <c r="G26" i="41" s="1"/>
  <c r="H26" i="41" a="1"/>
  <c r="H26" i="41" s="1"/>
  <c r="I26" i="41" a="1"/>
  <c r="I26" i="41" s="1"/>
  <c r="J26" i="41" a="1"/>
  <c r="J26" i="41" s="1"/>
  <c r="K26" i="41" a="1"/>
  <c r="K26" i="41" s="1"/>
  <c r="L26" i="41" a="1"/>
  <c r="L26" i="41" s="1"/>
  <c r="M26" i="41" a="1"/>
  <c r="M26" i="41" s="1"/>
  <c r="N26" i="41" a="1"/>
  <c r="N26" i="41" s="1"/>
  <c r="O26" i="41" a="1"/>
  <c r="O26" i="41" s="1"/>
  <c r="P26" i="41" a="1"/>
  <c r="P26" i="41" s="1"/>
  <c r="Q26" i="41" a="1"/>
  <c r="Q26" i="41" s="1"/>
  <c r="R26" i="41" a="1"/>
  <c r="R26" i="41" s="1"/>
  <c r="S26" i="41" a="1"/>
  <c r="S26" i="41" s="1"/>
  <c r="T26" i="41" a="1"/>
  <c r="T26" i="41" s="1"/>
  <c r="U26" i="41" a="1"/>
  <c r="U26" i="41" s="1"/>
  <c r="V26" i="41" a="1"/>
  <c r="V26" i="41" s="1"/>
  <c r="W26" i="41" a="1"/>
  <c r="W26" i="41" s="1"/>
  <c r="X26" i="41" a="1"/>
  <c r="X26" i="41" s="1"/>
  <c r="Y26" i="41" a="1"/>
  <c r="Y26" i="41" s="1"/>
  <c r="Z26" i="41" a="1"/>
  <c r="Z26" i="41" s="1"/>
  <c r="AA26" i="41" a="1"/>
  <c r="AA26" i="41" s="1"/>
  <c r="B27" i="41" a="1"/>
  <c r="B27" i="41" s="1"/>
  <c r="C27" i="41" a="1"/>
  <c r="C27" i="41" s="1"/>
  <c r="D27" i="41" a="1"/>
  <c r="D27" i="41" s="1"/>
  <c r="E27" i="41" a="1"/>
  <c r="E27" i="41" s="1"/>
  <c r="F27" i="41" a="1"/>
  <c r="F27" i="41" s="1"/>
  <c r="G27" i="41" a="1"/>
  <c r="G27" i="41" s="1"/>
  <c r="H27" i="41" a="1"/>
  <c r="H27" i="41" s="1"/>
  <c r="I27" i="41" a="1"/>
  <c r="I27" i="41" s="1"/>
  <c r="J27" i="41" a="1"/>
  <c r="J27" i="41" s="1"/>
  <c r="K27" i="41" a="1"/>
  <c r="K27" i="41" s="1"/>
  <c r="L27" i="41" a="1"/>
  <c r="L27" i="41" s="1"/>
  <c r="M27" i="41" a="1"/>
  <c r="M27" i="41" s="1"/>
  <c r="N27" i="41" a="1"/>
  <c r="N27" i="41" s="1"/>
  <c r="O27" i="41" a="1"/>
  <c r="O27" i="41" s="1"/>
  <c r="P27" i="41" a="1"/>
  <c r="P27" i="41" s="1"/>
  <c r="Q27" i="41" a="1"/>
  <c r="Q27" i="41" s="1"/>
  <c r="R27" i="41" a="1"/>
  <c r="R27" i="41" s="1"/>
  <c r="S27" i="41" a="1"/>
  <c r="S27" i="41" s="1"/>
  <c r="T27" i="41" a="1"/>
  <c r="T27" i="41" s="1"/>
  <c r="U27" i="41" a="1"/>
  <c r="U27" i="41" s="1"/>
  <c r="V27" i="41" a="1"/>
  <c r="V27" i="41" s="1"/>
  <c r="W27" i="41" a="1"/>
  <c r="W27" i="41" s="1"/>
  <c r="X27" i="41" a="1"/>
  <c r="X27" i="41" s="1"/>
  <c r="Y27" i="41" a="1"/>
  <c r="Y27" i="41" s="1"/>
  <c r="Z27" i="41" a="1"/>
  <c r="Z27" i="41" s="1"/>
  <c r="AA27" i="41" a="1"/>
  <c r="AA27" i="41" s="1"/>
  <c r="B28" i="41" a="1"/>
  <c r="B28" i="41" s="1"/>
  <c r="C28" i="41" a="1"/>
  <c r="C28" i="41" s="1"/>
  <c r="D28" i="41" a="1"/>
  <c r="D28" i="41" s="1"/>
  <c r="E28" i="41" a="1"/>
  <c r="E28" i="41" s="1"/>
  <c r="F28" i="41" a="1"/>
  <c r="F28" i="41" s="1"/>
  <c r="G28" i="41" a="1"/>
  <c r="G28" i="41" s="1"/>
  <c r="H28" i="41" a="1"/>
  <c r="H28" i="41" s="1"/>
  <c r="I28" i="41" a="1"/>
  <c r="I28" i="41" s="1"/>
  <c r="J28" i="41" a="1"/>
  <c r="J28" i="41" s="1"/>
  <c r="K28" i="41" a="1"/>
  <c r="K28" i="41" s="1"/>
  <c r="L28" i="41" a="1"/>
  <c r="L28" i="41" s="1"/>
  <c r="M28" i="41" a="1"/>
  <c r="M28" i="41" s="1"/>
  <c r="N28" i="41" a="1"/>
  <c r="N28" i="41" s="1"/>
  <c r="O28" i="41" a="1"/>
  <c r="O28" i="41" s="1"/>
  <c r="P28" i="41" a="1"/>
  <c r="P28" i="41" s="1"/>
  <c r="Q28" i="41" a="1"/>
  <c r="Q28" i="41" s="1"/>
  <c r="R28" i="41" a="1"/>
  <c r="R28" i="41" s="1"/>
  <c r="S28" i="41" a="1"/>
  <c r="S28" i="41" s="1"/>
  <c r="T28" i="41" a="1"/>
  <c r="T28" i="41" s="1"/>
  <c r="U28" i="41" a="1"/>
  <c r="U28" i="41" s="1"/>
  <c r="V28" i="41" a="1"/>
  <c r="V28" i="41" s="1"/>
  <c r="W28" i="41" a="1"/>
  <c r="W28" i="41" s="1"/>
  <c r="X28" i="41" a="1"/>
  <c r="X28" i="41" s="1"/>
  <c r="Y28" i="41" a="1"/>
  <c r="Y28" i="41" s="1"/>
  <c r="Z28" i="41" a="1"/>
  <c r="Z28" i="41" s="1"/>
  <c r="AA28" i="41" a="1"/>
  <c r="AA28" i="41" s="1"/>
  <c r="B29" i="41" a="1"/>
  <c r="B29" i="41" s="1"/>
  <c r="C29" i="41" a="1"/>
  <c r="C29" i="41" s="1"/>
  <c r="D29" i="41" a="1"/>
  <c r="D29" i="41" s="1"/>
  <c r="E29" i="41" a="1"/>
  <c r="E29" i="41" s="1"/>
  <c r="F29" i="41" a="1"/>
  <c r="F29" i="41" s="1"/>
  <c r="G29" i="41" a="1"/>
  <c r="G29" i="41" s="1"/>
  <c r="H29" i="41" a="1"/>
  <c r="H29" i="41" s="1"/>
  <c r="I29" i="41" a="1"/>
  <c r="I29" i="41" s="1"/>
  <c r="J29" i="41" a="1"/>
  <c r="J29" i="41" s="1"/>
  <c r="K29" i="41" a="1"/>
  <c r="K29" i="41" s="1"/>
  <c r="L29" i="41" a="1"/>
  <c r="L29" i="41" s="1"/>
  <c r="M29" i="41" a="1"/>
  <c r="M29" i="41" s="1"/>
  <c r="N29" i="41" a="1"/>
  <c r="N29" i="41" s="1"/>
  <c r="O29" i="41" a="1"/>
  <c r="O29" i="41" s="1"/>
  <c r="P29" i="41" a="1"/>
  <c r="P29" i="41" s="1"/>
  <c r="Q29" i="41" a="1"/>
  <c r="Q29" i="41" s="1"/>
  <c r="R29" i="41" a="1"/>
  <c r="R29" i="41" s="1"/>
  <c r="S29" i="41" a="1"/>
  <c r="S29" i="41" s="1"/>
  <c r="T29" i="41" a="1"/>
  <c r="T29" i="41" s="1"/>
  <c r="U29" i="41" a="1"/>
  <c r="U29" i="41" s="1"/>
  <c r="V29" i="41" a="1"/>
  <c r="V29" i="41" s="1"/>
  <c r="W29" i="41" a="1"/>
  <c r="W29" i="41" s="1"/>
  <c r="X29" i="41" a="1"/>
  <c r="X29" i="41" s="1"/>
  <c r="Y29" i="41" a="1"/>
  <c r="Y29" i="41" s="1"/>
  <c r="Z29" i="41" a="1"/>
  <c r="Z29" i="41" s="1"/>
  <c r="AA29" i="41" a="1"/>
  <c r="AA29" i="41" s="1"/>
  <c r="B30" i="41" a="1"/>
  <c r="B30" i="41" s="1"/>
  <c r="C30" i="41" a="1"/>
  <c r="C30" i="41" s="1"/>
  <c r="D30" i="41" a="1"/>
  <c r="D30" i="41" s="1"/>
  <c r="E30" i="41" a="1"/>
  <c r="E30" i="41" s="1"/>
  <c r="F30" i="41" a="1"/>
  <c r="F30" i="41" s="1"/>
  <c r="G30" i="41" a="1"/>
  <c r="G30" i="41" s="1"/>
  <c r="H30" i="41" a="1"/>
  <c r="H30" i="41" s="1"/>
  <c r="I30" i="41" a="1"/>
  <c r="I30" i="41" s="1"/>
  <c r="J30" i="41" a="1"/>
  <c r="J30" i="41" s="1"/>
  <c r="K30" i="41" a="1"/>
  <c r="K30" i="41" s="1"/>
  <c r="L30" i="41" a="1"/>
  <c r="L30" i="41" s="1"/>
  <c r="M30" i="41" a="1"/>
  <c r="M30" i="41" s="1"/>
  <c r="N30" i="41" a="1"/>
  <c r="N30" i="41" s="1"/>
  <c r="O30" i="41" a="1"/>
  <c r="O30" i="41" s="1"/>
  <c r="P30" i="41" a="1"/>
  <c r="P30" i="41" s="1"/>
  <c r="Q30" i="41" a="1"/>
  <c r="Q30" i="41" s="1"/>
  <c r="R30" i="41" a="1"/>
  <c r="R30" i="41" s="1"/>
  <c r="S30" i="41" a="1"/>
  <c r="S30" i="41" s="1"/>
  <c r="T30" i="41" a="1"/>
  <c r="T30" i="41" s="1"/>
  <c r="U30" i="41" a="1"/>
  <c r="U30" i="41" s="1"/>
  <c r="V30" i="41" a="1"/>
  <c r="V30" i="41" s="1"/>
  <c r="W30" i="41" a="1"/>
  <c r="W30" i="41" s="1"/>
  <c r="X30" i="41" a="1"/>
  <c r="X30" i="41" s="1"/>
  <c r="Y30" i="41" a="1"/>
  <c r="Y30" i="41" s="1"/>
  <c r="Z30" i="41" a="1"/>
  <c r="Z30" i="41" s="1"/>
  <c r="AA30" i="41" a="1"/>
  <c r="AA30" i="41" s="1"/>
  <c r="B31" i="41" a="1"/>
  <c r="B31" i="41" s="1"/>
  <c r="C31" i="41" a="1"/>
  <c r="C31" i="41" s="1"/>
  <c r="D31" i="41" a="1"/>
  <c r="D31" i="41" s="1"/>
  <c r="E31" i="41" a="1"/>
  <c r="E31" i="41" s="1"/>
  <c r="F31" i="41" a="1"/>
  <c r="F31" i="41" s="1"/>
  <c r="G31" i="41" a="1"/>
  <c r="G31" i="41" s="1"/>
  <c r="H31" i="41" a="1"/>
  <c r="H31" i="41" s="1"/>
  <c r="I31" i="41" a="1"/>
  <c r="I31" i="41" s="1"/>
  <c r="J31" i="41" a="1"/>
  <c r="J31" i="41" s="1"/>
  <c r="K31" i="41" a="1"/>
  <c r="K31" i="41" s="1"/>
  <c r="L31" i="41" a="1"/>
  <c r="L31" i="41" s="1"/>
  <c r="M31" i="41" a="1"/>
  <c r="M31" i="41" s="1"/>
  <c r="N31" i="41" a="1"/>
  <c r="N31" i="41" s="1"/>
  <c r="O31" i="41" a="1"/>
  <c r="O31" i="41" s="1"/>
  <c r="P31" i="41" a="1"/>
  <c r="P31" i="41" s="1"/>
  <c r="Q31" i="41" a="1"/>
  <c r="Q31" i="41" s="1"/>
  <c r="R31" i="41" a="1"/>
  <c r="R31" i="41" s="1"/>
  <c r="S31" i="41" a="1"/>
  <c r="S31" i="41" s="1"/>
  <c r="T31" i="41" a="1"/>
  <c r="T31" i="41" s="1"/>
  <c r="U31" i="41" a="1"/>
  <c r="U31" i="41" s="1"/>
  <c r="V31" i="41" a="1"/>
  <c r="V31" i="41" s="1"/>
  <c r="W31" i="41" a="1"/>
  <c r="W31" i="41" s="1"/>
  <c r="X31" i="41" a="1"/>
  <c r="X31" i="41" s="1"/>
  <c r="Y31" i="41" a="1"/>
  <c r="Y31" i="41" s="1"/>
  <c r="Z31" i="41" a="1"/>
  <c r="Z31" i="41" s="1"/>
  <c r="AA31" i="41" a="1"/>
  <c r="AA31" i="41" s="1"/>
  <c r="B32" i="41" a="1"/>
  <c r="B32" i="41" s="1"/>
  <c r="C32" i="41" a="1"/>
  <c r="C32" i="41" s="1"/>
  <c r="D32" i="41" a="1"/>
  <c r="D32" i="41" s="1"/>
  <c r="E32" i="41" a="1"/>
  <c r="E32" i="41" s="1"/>
  <c r="F32" i="41" a="1"/>
  <c r="F32" i="41" s="1"/>
  <c r="G32" i="41" a="1"/>
  <c r="G32" i="41" s="1"/>
  <c r="H32" i="41" a="1"/>
  <c r="H32" i="41" s="1"/>
  <c r="I32" i="41" a="1"/>
  <c r="I32" i="41" s="1"/>
  <c r="J32" i="41" a="1"/>
  <c r="J32" i="41" s="1"/>
  <c r="K32" i="41" a="1"/>
  <c r="K32" i="41" s="1"/>
  <c r="L32" i="41" a="1"/>
  <c r="L32" i="41" s="1"/>
  <c r="M32" i="41" a="1"/>
  <c r="M32" i="41" s="1"/>
  <c r="N32" i="41" a="1"/>
  <c r="N32" i="41" s="1"/>
  <c r="O32" i="41" a="1"/>
  <c r="O32" i="41" s="1"/>
  <c r="P32" i="41" a="1"/>
  <c r="P32" i="41" s="1"/>
  <c r="Q32" i="41" a="1"/>
  <c r="Q32" i="41" s="1"/>
  <c r="R32" i="41" a="1"/>
  <c r="R32" i="41" s="1"/>
  <c r="S32" i="41" a="1"/>
  <c r="S32" i="41" s="1"/>
  <c r="T32" i="41" a="1"/>
  <c r="T32" i="41" s="1"/>
  <c r="U32" i="41" a="1"/>
  <c r="U32" i="41" s="1"/>
  <c r="V32" i="41" a="1"/>
  <c r="V32" i="41" s="1"/>
  <c r="W32" i="41" a="1"/>
  <c r="W32" i="41" s="1"/>
  <c r="X32" i="41" a="1"/>
  <c r="X32" i="41" s="1"/>
  <c r="Y32" i="41" a="1"/>
  <c r="Y32" i="41" s="1"/>
  <c r="Z32" i="41" a="1"/>
  <c r="Z32" i="41" s="1"/>
  <c r="AA32" i="41" a="1"/>
  <c r="AA32" i="41" s="1"/>
  <c r="B33" i="41" a="1"/>
  <c r="B33" i="41" s="1"/>
  <c r="C33" i="41" a="1"/>
  <c r="C33" i="41" s="1"/>
  <c r="D33" i="41" a="1"/>
  <c r="D33" i="41" s="1"/>
  <c r="E33" i="41" a="1"/>
  <c r="E33" i="41" s="1"/>
  <c r="F33" i="41" a="1"/>
  <c r="F33" i="41" s="1"/>
  <c r="G33" i="41" a="1"/>
  <c r="G33" i="41" s="1"/>
  <c r="H33" i="41" a="1"/>
  <c r="H33" i="41" s="1"/>
  <c r="I33" i="41" a="1"/>
  <c r="I33" i="41" s="1"/>
  <c r="J33" i="41" a="1"/>
  <c r="J33" i="41" s="1"/>
  <c r="K33" i="41" a="1"/>
  <c r="K33" i="41" s="1"/>
  <c r="L33" i="41" a="1"/>
  <c r="L33" i="41" s="1"/>
  <c r="M33" i="41" a="1"/>
  <c r="M33" i="41" s="1"/>
  <c r="N33" i="41" a="1"/>
  <c r="N33" i="41" s="1"/>
  <c r="O33" i="41" a="1"/>
  <c r="O33" i="41" s="1"/>
  <c r="P33" i="41" a="1"/>
  <c r="P33" i="41" s="1"/>
  <c r="Q33" i="41" a="1"/>
  <c r="Q33" i="41" s="1"/>
  <c r="R33" i="41" a="1"/>
  <c r="R33" i="41" s="1"/>
  <c r="S33" i="41" a="1"/>
  <c r="S33" i="41" s="1"/>
  <c r="T33" i="41" a="1"/>
  <c r="T33" i="41" s="1"/>
  <c r="U33" i="41" a="1"/>
  <c r="U33" i="41" s="1"/>
  <c r="V33" i="41" a="1"/>
  <c r="V33" i="41" s="1"/>
  <c r="W33" i="41" a="1"/>
  <c r="W33" i="41" s="1"/>
  <c r="X33" i="41" a="1"/>
  <c r="X33" i="41" s="1"/>
  <c r="Y33" i="41" a="1"/>
  <c r="Y33" i="41" s="1"/>
  <c r="Z33" i="41" a="1"/>
  <c r="Z33" i="41" s="1"/>
  <c r="AA33" i="41" a="1"/>
  <c r="AA33" i="41" s="1"/>
  <c r="B34" i="41" a="1"/>
  <c r="B34" i="41" s="1"/>
  <c r="C34" i="41" a="1"/>
  <c r="C34" i="41" s="1"/>
  <c r="D34" i="41" a="1"/>
  <c r="D34" i="41" s="1"/>
  <c r="E34" i="41" a="1"/>
  <c r="E34" i="41" s="1"/>
  <c r="F34" i="41" a="1"/>
  <c r="F34" i="41" s="1"/>
  <c r="G34" i="41" a="1"/>
  <c r="G34" i="41" s="1"/>
  <c r="H34" i="41" a="1"/>
  <c r="H34" i="41" s="1"/>
  <c r="I34" i="41" a="1"/>
  <c r="I34" i="41" s="1"/>
  <c r="J34" i="41" a="1"/>
  <c r="J34" i="41" s="1"/>
  <c r="K34" i="41" a="1"/>
  <c r="K34" i="41" s="1"/>
  <c r="L34" i="41" a="1"/>
  <c r="L34" i="41" s="1"/>
  <c r="M34" i="41" a="1"/>
  <c r="M34" i="41" s="1"/>
  <c r="N34" i="41" a="1"/>
  <c r="N34" i="41" s="1"/>
  <c r="O34" i="41" a="1"/>
  <c r="O34" i="41" s="1"/>
  <c r="P34" i="41" a="1"/>
  <c r="P34" i="41" s="1"/>
  <c r="Q34" i="41" a="1"/>
  <c r="Q34" i="41" s="1"/>
  <c r="R34" i="41" a="1"/>
  <c r="R34" i="41" s="1"/>
  <c r="S34" i="41" a="1"/>
  <c r="S34" i="41" s="1"/>
  <c r="T34" i="41" a="1"/>
  <c r="T34" i="41" s="1"/>
  <c r="U34" i="41" a="1"/>
  <c r="U34" i="41" s="1"/>
  <c r="V34" i="41" a="1"/>
  <c r="V34" i="41" s="1"/>
  <c r="W34" i="41" a="1"/>
  <c r="W34" i="41" s="1"/>
  <c r="X34" i="41" a="1"/>
  <c r="X34" i="41" s="1"/>
  <c r="Y34" i="41" a="1"/>
  <c r="Y34" i="41" s="1"/>
  <c r="Z34" i="41" a="1"/>
  <c r="Z34" i="41" s="1"/>
  <c r="AA34" i="41" a="1"/>
  <c r="AA34" i="41" s="1"/>
  <c r="B35" i="41" a="1"/>
  <c r="B35" i="41" s="1"/>
  <c r="C35" i="41" a="1"/>
  <c r="C35" i="41" s="1"/>
  <c r="D35" i="41" a="1"/>
  <c r="D35" i="41" s="1"/>
  <c r="E35" i="41" a="1"/>
  <c r="E35" i="41" s="1"/>
  <c r="F35" i="41" a="1"/>
  <c r="F35" i="41" s="1"/>
  <c r="G35" i="41" a="1"/>
  <c r="G35" i="41" s="1"/>
  <c r="H35" i="41" a="1"/>
  <c r="H35" i="41" s="1"/>
  <c r="I35" i="41" a="1"/>
  <c r="I35" i="41" s="1"/>
  <c r="J35" i="41" a="1"/>
  <c r="J35" i="41" s="1"/>
  <c r="K35" i="41" a="1"/>
  <c r="K35" i="41" s="1"/>
  <c r="L35" i="41" a="1"/>
  <c r="L35" i="41" s="1"/>
  <c r="M35" i="41" a="1"/>
  <c r="M35" i="41" s="1"/>
  <c r="N35" i="41" a="1"/>
  <c r="N35" i="41" s="1"/>
  <c r="O35" i="41" a="1"/>
  <c r="O35" i="41" s="1"/>
  <c r="P35" i="41" a="1"/>
  <c r="P35" i="41" s="1"/>
  <c r="Q35" i="41" a="1"/>
  <c r="Q35" i="41" s="1"/>
  <c r="R35" i="41" a="1"/>
  <c r="R35" i="41" s="1"/>
  <c r="S35" i="41" a="1"/>
  <c r="S35" i="41" s="1"/>
  <c r="T35" i="41" a="1"/>
  <c r="T35" i="41" s="1"/>
  <c r="U35" i="41" a="1"/>
  <c r="U35" i="41" s="1"/>
  <c r="V35" i="41" a="1"/>
  <c r="V35" i="41" s="1"/>
  <c r="W35" i="41" a="1"/>
  <c r="W35" i="41" s="1"/>
  <c r="X35" i="41" a="1"/>
  <c r="X35" i="41" s="1"/>
  <c r="Y35" i="41" a="1"/>
  <c r="Y35" i="41" s="1"/>
  <c r="Z35" i="41" a="1"/>
  <c r="Z35" i="41" s="1"/>
  <c r="AA35" i="41" a="1"/>
  <c r="AA35" i="41" s="1"/>
  <c r="B36" i="41" a="1"/>
  <c r="B36" i="41" s="1"/>
  <c r="C36" i="41" a="1"/>
  <c r="C36" i="41" s="1"/>
  <c r="D36" i="41" a="1"/>
  <c r="D36" i="41" s="1"/>
  <c r="E36" i="41" a="1"/>
  <c r="E36" i="41" s="1"/>
  <c r="F36" i="41" a="1"/>
  <c r="F36" i="41" s="1"/>
  <c r="G36" i="41" a="1"/>
  <c r="G36" i="41" s="1"/>
  <c r="H36" i="41" a="1"/>
  <c r="H36" i="41" s="1"/>
  <c r="I36" i="41" a="1"/>
  <c r="I36" i="41" s="1"/>
  <c r="J36" i="41" a="1"/>
  <c r="J36" i="41" s="1"/>
  <c r="K36" i="41" a="1"/>
  <c r="K36" i="41" s="1"/>
  <c r="L36" i="41" a="1"/>
  <c r="L36" i="41" s="1"/>
  <c r="M36" i="41" a="1"/>
  <c r="M36" i="41" s="1"/>
  <c r="N36" i="41" a="1"/>
  <c r="N36" i="41" s="1"/>
  <c r="O36" i="41" a="1"/>
  <c r="O36" i="41" s="1"/>
  <c r="P36" i="41" a="1"/>
  <c r="P36" i="41" s="1"/>
  <c r="Q36" i="41" a="1"/>
  <c r="Q36" i="41" s="1"/>
  <c r="R36" i="41" a="1"/>
  <c r="R36" i="41" s="1"/>
  <c r="S36" i="41" a="1"/>
  <c r="S36" i="41" s="1"/>
  <c r="T36" i="41" a="1"/>
  <c r="T36" i="41" s="1"/>
  <c r="U36" i="41" a="1"/>
  <c r="U36" i="41" s="1"/>
  <c r="V36" i="41" a="1"/>
  <c r="V36" i="41" s="1"/>
  <c r="W36" i="41" a="1"/>
  <c r="W36" i="41" s="1"/>
  <c r="X36" i="41" a="1"/>
  <c r="X36" i="41" s="1"/>
  <c r="Y36" i="41" a="1"/>
  <c r="Y36" i="41" s="1"/>
  <c r="Z36" i="41" a="1"/>
  <c r="Z36" i="41" s="1"/>
  <c r="AA36" i="41" a="1"/>
  <c r="AA36" i="41" s="1"/>
  <c r="B37" i="41" a="1"/>
  <c r="B37" i="41" s="1"/>
  <c r="C37" i="41" a="1"/>
  <c r="C37" i="41" s="1"/>
  <c r="D37" i="41" a="1"/>
  <c r="D37" i="41" s="1"/>
  <c r="E37" i="41" a="1"/>
  <c r="E37" i="41" s="1"/>
  <c r="F37" i="41" a="1"/>
  <c r="F37" i="41" s="1"/>
  <c r="G37" i="41" a="1"/>
  <c r="G37" i="41" s="1"/>
  <c r="H37" i="41" a="1"/>
  <c r="H37" i="41" s="1"/>
  <c r="I37" i="41" a="1"/>
  <c r="I37" i="41" s="1"/>
  <c r="J37" i="41" a="1"/>
  <c r="J37" i="41" s="1"/>
  <c r="K37" i="41" a="1"/>
  <c r="K37" i="41" s="1"/>
  <c r="L37" i="41" a="1"/>
  <c r="L37" i="41" s="1"/>
  <c r="M37" i="41" a="1"/>
  <c r="M37" i="41" s="1"/>
  <c r="N37" i="41" a="1"/>
  <c r="N37" i="41" s="1"/>
  <c r="O37" i="41" a="1"/>
  <c r="O37" i="41" s="1"/>
  <c r="P37" i="41" a="1"/>
  <c r="P37" i="41" s="1"/>
  <c r="Q37" i="41" a="1"/>
  <c r="Q37" i="41" s="1"/>
  <c r="R37" i="41" a="1"/>
  <c r="R37" i="41" s="1"/>
  <c r="S37" i="41" a="1"/>
  <c r="S37" i="41" s="1"/>
  <c r="T37" i="41" a="1"/>
  <c r="T37" i="41" s="1"/>
  <c r="U37" i="41" a="1"/>
  <c r="U37" i="41" s="1"/>
  <c r="V37" i="41" a="1"/>
  <c r="V37" i="41" s="1"/>
  <c r="W37" i="41" a="1"/>
  <c r="W37" i="41" s="1"/>
  <c r="X37" i="41" a="1"/>
  <c r="X37" i="41" s="1"/>
  <c r="Y37" i="41" a="1"/>
  <c r="Y37" i="41" s="1"/>
  <c r="Z37" i="41" a="1"/>
  <c r="Z37" i="41" s="1"/>
  <c r="AA37" i="41" a="1"/>
  <c r="AA37" i="41" s="1"/>
  <c r="D22" i="41" a="1"/>
  <c r="D22" i="41" s="1"/>
  <c r="E22" i="41" a="1"/>
  <c r="E22" i="41" s="1"/>
  <c r="F22" i="41" a="1"/>
  <c r="F22" i="41" s="1"/>
  <c r="G22" i="41" a="1"/>
  <c r="G22" i="41" s="1"/>
  <c r="H22" i="41" a="1"/>
  <c r="H22" i="41" s="1"/>
  <c r="I22" i="41" a="1"/>
  <c r="I22" i="41" s="1"/>
  <c r="J22" i="41" a="1"/>
  <c r="J22" i="41" s="1"/>
  <c r="K22" i="41" a="1"/>
  <c r="K22" i="41" s="1"/>
  <c r="L22" i="41" a="1"/>
  <c r="L22" i="41" s="1"/>
  <c r="M22" i="41" a="1"/>
  <c r="M22" i="41" s="1"/>
  <c r="N22" i="41" a="1"/>
  <c r="N22" i="41" s="1"/>
  <c r="O22" i="41" a="1"/>
  <c r="O22" i="41" s="1"/>
  <c r="P22" i="41" a="1"/>
  <c r="P22" i="41" s="1"/>
  <c r="Q22" i="41" a="1"/>
  <c r="Q22" i="41" s="1"/>
  <c r="R22" i="41" a="1"/>
  <c r="R22" i="41" s="1"/>
  <c r="S22" i="41" a="1"/>
  <c r="S22" i="41" s="1"/>
  <c r="T22" i="41" a="1"/>
  <c r="T22" i="41" s="1"/>
  <c r="U22" i="41" a="1"/>
  <c r="U22" i="41" s="1"/>
  <c r="V22" i="41" a="1"/>
  <c r="V22" i="41" s="1"/>
  <c r="W22" i="41" a="1"/>
  <c r="W22" i="41" s="1"/>
  <c r="X22" i="41" a="1"/>
  <c r="X22" i="41" s="1"/>
  <c r="Y22" i="41" a="1"/>
  <c r="Y22" i="41" s="1"/>
  <c r="Z22" i="41" a="1"/>
  <c r="Z22" i="41" s="1"/>
  <c r="AA22" i="41" a="1"/>
  <c r="AA22" i="41" s="1"/>
  <c r="B22" i="41" a="1"/>
  <c r="B22" i="41" s="1"/>
  <c r="A23" i="41"/>
  <c r="A24" i="41"/>
  <c r="A25" i="41"/>
  <c r="A26" i="41"/>
  <c r="A27" i="41"/>
  <c r="A28" i="41"/>
  <c r="A29" i="41"/>
  <c r="A30" i="41"/>
  <c r="A31" i="41"/>
  <c r="A32" i="41"/>
  <c r="A33" i="41"/>
  <c r="A34" i="41"/>
  <c r="A35" i="41"/>
  <c r="A36" i="41"/>
  <c r="A37" i="41"/>
  <c r="A22" i="41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82" i="39"/>
  <c r="A83" i="39"/>
  <c r="A84" i="39"/>
  <c r="A85" i="39"/>
  <c r="A86" i="39"/>
  <c r="A87" i="39"/>
  <c r="A88" i="39"/>
  <c r="A89" i="39"/>
  <c r="A90" i="39"/>
  <c r="A91" i="39"/>
  <c r="A92" i="39"/>
  <c r="A93" i="39"/>
  <c r="A94" i="39"/>
  <c r="A95" i="39"/>
  <c r="A96" i="39"/>
  <c r="A97" i="39"/>
  <c r="A98" i="39"/>
  <c r="A99" i="39"/>
  <c r="A100" i="39"/>
  <c r="A101" i="39"/>
  <c r="A102" i="39"/>
  <c r="A103" i="39"/>
  <c r="A104" i="39"/>
  <c r="A105" i="39"/>
  <c r="A106" i="39"/>
  <c r="A107" i="39"/>
  <c r="A108" i="39"/>
  <c r="A109" i="39"/>
  <c r="A110" i="39"/>
  <c r="A111" i="39"/>
  <c r="A112" i="39"/>
  <c r="A113" i="39"/>
  <c r="A114" i="39"/>
  <c r="A115" i="39"/>
  <c r="A116" i="39"/>
  <c r="A117" i="39"/>
  <c r="A118" i="39"/>
  <c r="A119" i="39"/>
  <c r="A120" i="39"/>
  <c r="A121" i="39"/>
  <c r="A122" i="39"/>
  <c r="A123" i="39"/>
  <c r="A124" i="39"/>
  <c r="A125" i="39"/>
  <c r="A126" i="39"/>
  <c r="A127" i="39"/>
  <c r="A128" i="39"/>
  <c r="A129" i="39"/>
  <c r="A130" i="39"/>
  <c r="A131" i="39"/>
  <c r="A132" i="39"/>
  <c r="A133" i="39"/>
  <c r="A134" i="39"/>
  <c r="A135" i="39"/>
  <c r="A136" i="39"/>
  <c r="A137" i="39"/>
  <c r="A138" i="39"/>
  <c r="A139" i="39"/>
  <c r="A140" i="39"/>
  <c r="A141" i="39"/>
  <c r="A142" i="39"/>
  <c r="A143" i="39"/>
  <c r="A144" i="39"/>
  <c r="A145" i="39"/>
  <c r="A146" i="39"/>
  <c r="A147" i="39"/>
  <c r="A148" i="39"/>
  <c r="A149" i="39"/>
  <c r="A150" i="39"/>
  <c r="A151" i="39"/>
  <c r="A152" i="39"/>
  <c r="A153" i="39"/>
  <c r="A154" i="39"/>
  <c r="A155" i="39"/>
  <c r="A156" i="39"/>
  <c r="A157" i="39"/>
  <c r="A158" i="39"/>
  <c r="A159" i="39"/>
  <c r="A160" i="39"/>
  <c r="A161" i="39"/>
  <c r="A162" i="39"/>
  <c r="A163" i="39"/>
  <c r="A164" i="39"/>
  <c r="A165" i="39"/>
  <c r="A166" i="39"/>
  <c r="A167" i="39"/>
  <c r="A168" i="39"/>
  <c r="A169" i="39"/>
  <c r="A170" i="39"/>
  <c r="A171" i="39"/>
  <c r="A172" i="39"/>
  <c r="A173" i="39"/>
  <c r="A174" i="39"/>
  <c r="A175" i="39"/>
  <c r="A176" i="39"/>
  <c r="A177" i="39"/>
  <c r="A178" i="39"/>
  <c r="A179" i="39"/>
  <c r="A180" i="39"/>
  <c r="A181" i="39"/>
  <c r="A182" i="39"/>
  <c r="A183" i="39"/>
  <c r="A184" i="39"/>
  <c r="A185" i="39"/>
  <c r="A186" i="39"/>
  <c r="A187" i="39"/>
  <c r="A188" i="39"/>
  <c r="A189" i="39"/>
  <c r="A190" i="39"/>
  <c r="A191" i="39"/>
  <c r="A192" i="39"/>
  <c r="A193" i="39"/>
  <c r="A194" i="39"/>
  <c r="A195" i="39"/>
  <c r="A196" i="39"/>
  <c r="A197" i="39"/>
  <c r="A198" i="39"/>
  <c r="A199" i="39"/>
  <c r="A200" i="39"/>
  <c r="A201" i="39"/>
  <c r="A202" i="39"/>
  <c r="A203" i="39"/>
  <c r="A204" i="39"/>
  <c r="A205" i="39"/>
  <c r="A206" i="39"/>
  <c r="A207" i="39"/>
  <c r="A208" i="39"/>
  <c r="A209" i="39"/>
  <c r="A210" i="39"/>
  <c r="A211" i="39"/>
  <c r="A212" i="39"/>
  <c r="A213" i="39"/>
  <c r="A214" i="39"/>
  <c r="A215" i="39"/>
  <c r="A216" i="39"/>
  <c r="A217" i="39"/>
  <c r="A218" i="39"/>
  <c r="A219" i="39"/>
  <c r="A220" i="39"/>
  <c r="A221" i="39"/>
  <c r="A222" i="39"/>
  <c r="A223" i="39"/>
  <c r="A224" i="39"/>
  <c r="A225" i="39"/>
  <c r="A226" i="39"/>
  <c r="A227" i="39"/>
  <c r="A228" i="39"/>
  <c r="A229" i="39"/>
  <c r="A230" i="39"/>
  <c r="A231" i="39"/>
  <c r="A232" i="39"/>
  <c r="A233" i="39"/>
  <c r="A234" i="39"/>
  <c r="A235" i="39"/>
  <c r="A236" i="39"/>
  <c r="A237" i="39"/>
  <c r="A238" i="39"/>
  <c r="A239" i="39"/>
  <c r="A240" i="39"/>
  <c r="A241" i="39"/>
  <c r="A242" i="39"/>
  <c r="A243" i="39"/>
  <c r="A244" i="39"/>
  <c r="A245" i="39"/>
  <c r="A246" i="39"/>
  <c r="A247" i="39"/>
  <c r="A248" i="39"/>
  <c r="A249" i="39"/>
  <c r="A250" i="39"/>
  <c r="A251" i="39"/>
  <c r="A252" i="39"/>
  <c r="A253" i="39"/>
  <c r="A254" i="39"/>
  <c r="A255" i="39"/>
  <c r="A256" i="39"/>
  <c r="A257" i="39"/>
  <c r="A258" i="39"/>
  <c r="A259" i="39"/>
  <c r="A260" i="39"/>
  <c r="A261" i="39"/>
  <c r="A262" i="39"/>
  <c r="A263" i="39"/>
  <c r="A264" i="39"/>
  <c r="A265" i="39"/>
  <c r="A266" i="39"/>
  <c r="A267" i="39"/>
  <c r="A268" i="39"/>
  <c r="A269" i="39"/>
  <c r="A270" i="39"/>
  <c r="A271" i="39"/>
  <c r="A272" i="39"/>
  <c r="A273" i="39"/>
  <c r="A274" i="39"/>
  <c r="A275" i="39"/>
  <c r="A276" i="39"/>
  <c r="A277" i="39"/>
  <c r="A278" i="39"/>
  <c r="A279" i="39"/>
  <c r="A280" i="39"/>
  <c r="A281" i="39"/>
  <c r="A282" i="39"/>
  <c r="A283" i="39"/>
  <c r="A284" i="39"/>
  <c r="A285" i="39"/>
  <c r="A286" i="39"/>
  <c r="A287" i="39"/>
  <c r="A288" i="39"/>
  <c r="A289" i="39"/>
  <c r="A290" i="39"/>
  <c r="A291" i="39"/>
  <c r="A292" i="39"/>
  <c r="A293" i="39"/>
  <c r="A294" i="39"/>
  <c r="A295" i="39"/>
  <c r="A296" i="39"/>
  <c r="A297" i="39"/>
  <c r="A298" i="39"/>
  <c r="A299" i="39"/>
  <c r="A300" i="39"/>
  <c r="A301" i="39"/>
  <c r="A302" i="39"/>
  <c r="A303" i="39"/>
  <c r="A304" i="39"/>
  <c r="A305" i="39"/>
  <c r="A306" i="39"/>
  <c r="A307" i="39"/>
  <c r="A308" i="39"/>
  <c r="A309" i="39"/>
  <c r="A310" i="39"/>
  <c r="A311" i="39"/>
  <c r="A312" i="39"/>
  <c r="A313" i="39"/>
  <c r="A314" i="39"/>
  <c r="A315" i="39"/>
  <c r="A316" i="39"/>
  <c r="A317" i="39"/>
  <c r="A318" i="39"/>
  <c r="A319" i="39"/>
  <c r="A320" i="39"/>
  <c r="A321" i="39"/>
  <c r="A322" i="39"/>
  <c r="A323" i="39"/>
  <c r="A324" i="39"/>
  <c r="A325" i="39"/>
  <c r="A326" i="39"/>
  <c r="A327" i="39"/>
  <c r="A328" i="39"/>
  <c r="A329" i="39"/>
  <c r="A330" i="39"/>
  <c r="A331" i="39"/>
  <c r="A332" i="39"/>
  <c r="A333" i="39"/>
  <c r="A334" i="39"/>
  <c r="A335" i="39"/>
  <c r="A336" i="39"/>
  <c r="A337" i="39"/>
  <c r="A338" i="39"/>
  <c r="A339" i="39"/>
  <c r="A340" i="39"/>
  <c r="A341" i="39"/>
  <c r="A342" i="39"/>
  <c r="A343" i="39"/>
  <c r="A344" i="39"/>
  <c r="A345" i="39"/>
  <c r="A346" i="39"/>
  <c r="A347" i="39"/>
  <c r="A348" i="39"/>
  <c r="A349" i="39"/>
  <c r="A350" i="39"/>
  <c r="A351" i="39"/>
  <c r="A352" i="39"/>
  <c r="A353" i="39"/>
  <c r="A354" i="39"/>
  <c r="A355" i="39"/>
  <c r="A356" i="39"/>
  <c r="A357" i="39"/>
  <c r="A358" i="39"/>
  <c r="A359" i="39"/>
  <c r="A360" i="39"/>
  <c r="A361" i="39"/>
  <c r="A362" i="39"/>
  <c r="A363" i="39"/>
  <c r="A364" i="39"/>
  <c r="A365" i="39"/>
  <c r="A366" i="39"/>
  <c r="A367" i="39"/>
  <c r="A368" i="39"/>
  <c r="A369" i="39"/>
  <c r="A370" i="39"/>
  <c r="A371" i="39"/>
  <c r="A372" i="39"/>
  <c r="A373" i="39"/>
  <c r="A374" i="39"/>
  <c r="A375" i="39"/>
  <c r="A376" i="39"/>
  <c r="A377" i="39"/>
  <c r="A378" i="39"/>
  <c r="A379" i="39"/>
  <c r="A380" i="39"/>
  <c r="A381" i="39"/>
  <c r="A382" i="39"/>
  <c r="A383" i="39"/>
  <c r="A384" i="39"/>
  <c r="A385" i="39"/>
  <c r="A386" i="39"/>
  <c r="A387" i="39"/>
  <c r="A388" i="39"/>
  <c r="A389" i="39"/>
  <c r="A390" i="39"/>
  <c r="A391" i="39"/>
  <c r="A392" i="39"/>
  <c r="A393" i="39"/>
  <c r="A394" i="39"/>
  <c r="A395" i="39"/>
  <c r="A396" i="39"/>
  <c r="A397" i="39"/>
  <c r="A398" i="39"/>
  <c r="A399" i="39"/>
  <c r="A400" i="39"/>
  <c r="A401" i="39"/>
  <c r="A402" i="39"/>
  <c r="A403" i="39"/>
  <c r="A404" i="39"/>
  <c r="A405" i="39"/>
  <c r="A406" i="39"/>
  <c r="A407" i="39"/>
  <c r="A408" i="39"/>
  <c r="A409" i="39"/>
  <c r="A410" i="39"/>
  <c r="A411" i="39"/>
  <c r="A412" i="39"/>
  <c r="A413" i="39"/>
  <c r="A414" i="39"/>
  <c r="A415" i="39"/>
  <c r="A416" i="39"/>
  <c r="A417" i="39"/>
  <c r="A418" i="39"/>
  <c r="A419" i="39"/>
  <c r="A420" i="39"/>
  <c r="A421" i="39"/>
  <c r="A422" i="39"/>
  <c r="A423" i="39"/>
  <c r="A424" i="39"/>
  <c r="A425" i="39"/>
  <c r="A426" i="39"/>
  <c r="A427" i="39"/>
  <c r="A428" i="39"/>
  <c r="A429" i="39"/>
  <c r="A430" i="39"/>
  <c r="A431" i="39"/>
  <c r="A432" i="39"/>
  <c r="A433" i="39"/>
  <c r="A434" i="39"/>
  <c r="A435" i="39"/>
  <c r="A436" i="39"/>
  <c r="A437" i="39"/>
  <c r="A438" i="39"/>
  <c r="A439" i="39"/>
  <c r="A440" i="39"/>
  <c r="A441" i="39"/>
  <c r="A442" i="39"/>
  <c r="A443" i="39"/>
  <c r="A444" i="39"/>
  <c r="A445" i="39"/>
  <c r="A446" i="39"/>
  <c r="A447" i="39"/>
  <c r="A448" i="39"/>
  <c r="A449" i="39"/>
  <c r="A450" i="39"/>
  <c r="A451" i="39"/>
  <c r="A452" i="39"/>
  <c r="A453" i="39"/>
  <c r="A454" i="39"/>
  <c r="A455" i="39"/>
  <c r="A456" i="39"/>
  <c r="A457" i="39"/>
  <c r="A458" i="39"/>
  <c r="A459" i="39"/>
  <c r="A460" i="39"/>
  <c r="A461" i="39"/>
  <c r="A462" i="39"/>
  <c r="A463" i="39"/>
  <c r="A464" i="39"/>
  <c r="A465" i="39"/>
  <c r="A466" i="39"/>
  <c r="A467" i="39"/>
  <c r="A468" i="39"/>
  <c r="A469" i="39"/>
  <c r="A470" i="39"/>
  <c r="A471" i="39"/>
  <c r="A472" i="39"/>
  <c r="A473" i="39"/>
  <c r="A474" i="39"/>
  <c r="A475" i="39"/>
  <c r="A476" i="39"/>
  <c r="A477" i="39"/>
  <c r="A478" i="39"/>
  <c r="A479" i="39"/>
  <c r="A480" i="39"/>
  <c r="A481" i="39"/>
  <c r="A482" i="39"/>
  <c r="A483" i="39"/>
  <c r="A484" i="39"/>
  <c r="A485" i="39"/>
  <c r="A486" i="39"/>
  <c r="A487" i="39"/>
  <c r="A488" i="39"/>
  <c r="A489" i="39"/>
  <c r="A490" i="39"/>
  <c r="A491" i="39"/>
  <c r="A492" i="39"/>
  <c r="A493" i="39"/>
  <c r="A494" i="39"/>
  <c r="A495" i="39"/>
  <c r="A496" i="39"/>
  <c r="A497" i="39"/>
  <c r="A498" i="39"/>
  <c r="A499" i="39"/>
  <c r="A500" i="39"/>
  <c r="A501" i="39"/>
  <c r="A502" i="39"/>
  <c r="A503" i="39"/>
  <c r="A504" i="39"/>
  <c r="A505" i="39"/>
  <c r="A506" i="39"/>
  <c r="A507" i="39"/>
  <c r="A508" i="39"/>
  <c r="A509" i="39"/>
  <c r="A510" i="39"/>
  <c r="A511" i="39"/>
  <c r="A512" i="39"/>
  <c r="A513" i="39"/>
  <c r="A514" i="39"/>
  <c r="A515" i="39"/>
  <c r="A516" i="39"/>
  <c r="A517" i="39"/>
  <c r="A518" i="39"/>
  <c r="A519" i="39"/>
  <c r="A520" i="39"/>
  <c r="A521" i="39"/>
  <c r="A522" i="39"/>
  <c r="A523" i="39"/>
  <c r="A524" i="39"/>
  <c r="A525" i="39"/>
  <c r="A526" i="39"/>
  <c r="A527" i="39"/>
  <c r="A528" i="39"/>
  <c r="A529" i="39"/>
  <c r="A530" i="39"/>
  <c r="A531" i="39"/>
  <c r="A532" i="39"/>
  <c r="A533" i="39"/>
  <c r="A534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2" i="39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3" i="40"/>
  <c r="E3" i="39"/>
  <c r="E4" i="39"/>
  <c r="E5" i="39"/>
  <c r="E6" i="39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E38" i="39"/>
  <c r="E39" i="39"/>
  <c r="E40" i="39"/>
  <c r="E41" i="39"/>
  <c r="E42" i="39"/>
  <c r="E43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E70" i="39"/>
  <c r="E71" i="39"/>
  <c r="E72" i="39"/>
  <c r="E73" i="39"/>
  <c r="E74" i="39"/>
  <c r="E75" i="39"/>
  <c r="E76" i="39"/>
  <c r="E77" i="39"/>
  <c r="E78" i="39"/>
  <c r="E79" i="39"/>
  <c r="E80" i="39"/>
  <c r="E81" i="39"/>
  <c r="E82" i="39"/>
  <c r="E83" i="39"/>
  <c r="E84" i="39"/>
  <c r="E85" i="39"/>
  <c r="E86" i="39"/>
  <c r="E87" i="39"/>
  <c r="E88" i="39"/>
  <c r="E89" i="39"/>
  <c r="E90" i="39"/>
  <c r="E91" i="39"/>
  <c r="E92" i="39"/>
  <c r="E93" i="39"/>
  <c r="E94" i="39"/>
  <c r="E95" i="39"/>
  <c r="E96" i="39"/>
  <c r="E97" i="39"/>
  <c r="E98" i="39"/>
  <c r="E99" i="39"/>
  <c r="E100" i="39"/>
  <c r="E101" i="39"/>
  <c r="E102" i="39"/>
  <c r="E103" i="39"/>
  <c r="E104" i="39"/>
  <c r="E105" i="39"/>
  <c r="E106" i="39"/>
  <c r="E107" i="39"/>
  <c r="E108" i="39"/>
  <c r="E109" i="39"/>
  <c r="E110" i="39"/>
  <c r="E111" i="39"/>
  <c r="E112" i="39"/>
  <c r="E113" i="39"/>
  <c r="E114" i="39"/>
  <c r="E115" i="39"/>
  <c r="E116" i="39"/>
  <c r="E117" i="39"/>
  <c r="E118" i="39"/>
  <c r="E119" i="39"/>
  <c r="E120" i="39"/>
  <c r="E121" i="39"/>
  <c r="E122" i="39"/>
  <c r="E123" i="39"/>
  <c r="E124" i="39"/>
  <c r="E125" i="39"/>
  <c r="E126" i="39"/>
  <c r="E127" i="39"/>
  <c r="E128" i="39"/>
  <c r="E129" i="39"/>
  <c r="E130" i="39"/>
  <c r="E131" i="39"/>
  <c r="E132" i="39"/>
  <c r="E133" i="39"/>
  <c r="E134" i="39"/>
  <c r="E135" i="39"/>
  <c r="E136" i="39"/>
  <c r="E137" i="39"/>
  <c r="E138" i="39"/>
  <c r="E139" i="39"/>
  <c r="E140" i="39"/>
  <c r="E141" i="39"/>
  <c r="E142" i="39"/>
  <c r="E143" i="39"/>
  <c r="E144" i="39"/>
  <c r="E145" i="39"/>
  <c r="E146" i="39"/>
  <c r="E147" i="39"/>
  <c r="E148" i="39"/>
  <c r="E149" i="39"/>
  <c r="E150" i="39"/>
  <c r="E151" i="39"/>
  <c r="E152" i="39"/>
  <c r="E153" i="39"/>
  <c r="E154" i="39"/>
  <c r="E155" i="39"/>
  <c r="E156" i="39"/>
  <c r="E157" i="39"/>
  <c r="E158" i="39"/>
  <c r="E159" i="39"/>
  <c r="E160" i="39"/>
  <c r="E161" i="39"/>
  <c r="E162" i="39"/>
  <c r="E163" i="39"/>
  <c r="E164" i="39"/>
  <c r="E165" i="39"/>
  <c r="E166" i="39"/>
  <c r="E167" i="39"/>
  <c r="E168" i="39"/>
  <c r="E169" i="39"/>
  <c r="E170" i="39"/>
  <c r="E171" i="39"/>
  <c r="E172" i="39"/>
  <c r="E173" i="39"/>
  <c r="E174" i="39"/>
  <c r="E175" i="39"/>
  <c r="E176" i="39"/>
  <c r="E177" i="39"/>
  <c r="E178" i="39"/>
  <c r="E179" i="39"/>
  <c r="E180" i="39"/>
  <c r="E181" i="39"/>
  <c r="E182" i="39"/>
  <c r="E183" i="39"/>
  <c r="E184" i="39"/>
  <c r="E185" i="39"/>
  <c r="E186" i="39"/>
  <c r="E187" i="39"/>
  <c r="E188" i="39"/>
  <c r="E189" i="39"/>
  <c r="E190" i="39"/>
  <c r="E191" i="39"/>
  <c r="E192" i="39"/>
  <c r="E193" i="39"/>
  <c r="E194" i="39"/>
  <c r="E195" i="39"/>
  <c r="E196" i="39"/>
  <c r="E197" i="39"/>
  <c r="E198" i="39"/>
  <c r="E199" i="39"/>
  <c r="E200" i="39"/>
  <c r="E201" i="39"/>
  <c r="E202" i="39"/>
  <c r="E203" i="39"/>
  <c r="E204" i="39"/>
  <c r="E205" i="39"/>
  <c r="E206" i="39"/>
  <c r="E207" i="39"/>
  <c r="E208" i="39"/>
  <c r="E209" i="39"/>
  <c r="E210" i="39"/>
  <c r="E211" i="39"/>
  <c r="E212" i="39"/>
  <c r="E213" i="39"/>
  <c r="E214" i="39"/>
  <c r="E215" i="39"/>
  <c r="E216" i="39"/>
  <c r="E217" i="39"/>
  <c r="E218" i="39"/>
  <c r="E219" i="39"/>
  <c r="E220" i="39"/>
  <c r="E221" i="39"/>
  <c r="E222" i="39"/>
  <c r="E223" i="39"/>
  <c r="E224" i="39"/>
  <c r="E225" i="39"/>
  <c r="E226" i="39"/>
  <c r="E227" i="39"/>
  <c r="E228" i="39"/>
  <c r="E229" i="39"/>
  <c r="E230" i="39"/>
  <c r="E231" i="39"/>
  <c r="E232" i="39"/>
  <c r="E233" i="39"/>
  <c r="E234" i="39"/>
  <c r="E235" i="39"/>
  <c r="E236" i="39"/>
  <c r="E237" i="39"/>
  <c r="E238" i="39"/>
  <c r="E239" i="39"/>
  <c r="E240" i="39"/>
  <c r="E241" i="39"/>
  <c r="E242" i="39"/>
  <c r="E243" i="39"/>
  <c r="E244" i="39"/>
  <c r="E245" i="39"/>
  <c r="E246" i="39"/>
  <c r="E247" i="39"/>
  <c r="E248" i="39"/>
  <c r="E249" i="39"/>
  <c r="E250" i="39"/>
  <c r="E251" i="39"/>
  <c r="E252" i="39"/>
  <c r="E253" i="39"/>
  <c r="E254" i="39"/>
  <c r="E255" i="39"/>
  <c r="E256" i="39"/>
  <c r="E257" i="39"/>
  <c r="E258" i="39"/>
  <c r="E259" i="39"/>
  <c r="E260" i="39"/>
  <c r="E261" i="39"/>
  <c r="E262" i="39"/>
  <c r="E263" i="39"/>
  <c r="E264" i="39"/>
  <c r="E265" i="39"/>
  <c r="E266" i="39"/>
  <c r="E267" i="39"/>
  <c r="E268" i="39"/>
  <c r="E269" i="39"/>
  <c r="E270" i="39"/>
  <c r="E271" i="39"/>
  <c r="E272" i="39"/>
  <c r="E273" i="39"/>
  <c r="E274" i="39"/>
  <c r="E275" i="39"/>
  <c r="E276" i="39"/>
  <c r="E277" i="39"/>
  <c r="E278" i="39"/>
  <c r="E279" i="39"/>
  <c r="E280" i="39"/>
  <c r="E281" i="39"/>
  <c r="E282" i="39"/>
  <c r="E283" i="39"/>
  <c r="E284" i="39"/>
  <c r="E285" i="39"/>
  <c r="E286" i="39"/>
  <c r="E287" i="39"/>
  <c r="E288" i="39"/>
  <c r="E289" i="39"/>
  <c r="E290" i="39"/>
  <c r="E291" i="39"/>
  <c r="E292" i="39"/>
  <c r="E293" i="39"/>
  <c r="E294" i="39"/>
  <c r="E295" i="39"/>
  <c r="E296" i="39"/>
  <c r="E297" i="39"/>
  <c r="E298" i="39"/>
  <c r="E299" i="39"/>
  <c r="E300" i="39"/>
  <c r="E301" i="39"/>
  <c r="E302" i="39"/>
  <c r="E303" i="39"/>
  <c r="E304" i="39"/>
  <c r="E305" i="39"/>
  <c r="E306" i="39"/>
  <c r="E307" i="39"/>
  <c r="E308" i="39"/>
  <c r="E309" i="39"/>
  <c r="E310" i="39"/>
  <c r="E311" i="39"/>
  <c r="E312" i="39"/>
  <c r="E313" i="39"/>
  <c r="E314" i="39"/>
  <c r="E315" i="39"/>
  <c r="E316" i="39"/>
  <c r="E317" i="39"/>
  <c r="E318" i="39"/>
  <c r="E319" i="39"/>
  <c r="E320" i="39"/>
  <c r="E321" i="39"/>
  <c r="E322" i="39"/>
  <c r="E323" i="39"/>
  <c r="E324" i="39"/>
  <c r="E325" i="39"/>
  <c r="E326" i="39"/>
  <c r="E327" i="39"/>
  <c r="E328" i="39"/>
  <c r="E329" i="39"/>
  <c r="E330" i="39"/>
  <c r="E331" i="39"/>
  <c r="E332" i="39"/>
  <c r="E333" i="39"/>
  <c r="E334" i="39"/>
  <c r="E335" i="39"/>
  <c r="E336" i="39"/>
  <c r="E337" i="39"/>
  <c r="E338" i="39"/>
  <c r="E339" i="39"/>
  <c r="E340" i="39"/>
  <c r="E341" i="39"/>
  <c r="E342" i="39"/>
  <c r="E343" i="39"/>
  <c r="E344" i="39"/>
  <c r="E345" i="39"/>
  <c r="E346" i="39"/>
  <c r="E347" i="39"/>
  <c r="E348" i="39"/>
  <c r="E349" i="39"/>
  <c r="E350" i="39"/>
  <c r="E351" i="39"/>
  <c r="E352" i="39"/>
  <c r="E353" i="39"/>
  <c r="E354" i="39"/>
  <c r="E355" i="39"/>
  <c r="E356" i="39"/>
  <c r="E357" i="39"/>
  <c r="E358" i="39"/>
  <c r="E359" i="39"/>
  <c r="E360" i="39"/>
  <c r="E361" i="39"/>
  <c r="E362" i="39"/>
  <c r="E363" i="39"/>
  <c r="E364" i="39"/>
  <c r="E365" i="39"/>
  <c r="E366" i="39"/>
  <c r="E367" i="39"/>
  <c r="E368" i="39"/>
  <c r="E369" i="39"/>
  <c r="E370" i="39"/>
  <c r="E371" i="39"/>
  <c r="E372" i="39"/>
  <c r="E373" i="39"/>
  <c r="E374" i="39"/>
  <c r="E375" i="39"/>
  <c r="E376" i="39"/>
  <c r="E377" i="39"/>
  <c r="E378" i="39"/>
  <c r="E379" i="39"/>
  <c r="E380" i="39"/>
  <c r="E381" i="39"/>
  <c r="E382" i="39"/>
  <c r="E383" i="39"/>
  <c r="E384" i="39"/>
  <c r="E385" i="39"/>
  <c r="E386" i="39"/>
  <c r="E387" i="39"/>
  <c r="E388" i="39"/>
  <c r="E389" i="39"/>
  <c r="E390" i="39"/>
  <c r="E391" i="39"/>
  <c r="E392" i="39"/>
  <c r="E393" i="39"/>
  <c r="E394" i="39"/>
  <c r="E395" i="39"/>
  <c r="E396" i="39"/>
  <c r="E397" i="39"/>
  <c r="E398" i="39"/>
  <c r="E399" i="39"/>
  <c r="E400" i="39"/>
  <c r="E401" i="39"/>
  <c r="E402" i="39"/>
  <c r="E403" i="39"/>
  <c r="E404" i="39"/>
  <c r="E405" i="39"/>
  <c r="E406" i="39"/>
  <c r="E407" i="39"/>
  <c r="E408" i="39"/>
  <c r="E409" i="39"/>
  <c r="E410" i="39"/>
  <c r="E411" i="39"/>
  <c r="E412" i="39"/>
  <c r="E413" i="39"/>
  <c r="E414" i="39"/>
  <c r="E415" i="39"/>
  <c r="E416" i="39"/>
  <c r="E417" i="39"/>
  <c r="E418" i="39"/>
  <c r="E419" i="39"/>
  <c r="E420" i="39"/>
  <c r="E421" i="39"/>
  <c r="E422" i="39"/>
  <c r="E423" i="39"/>
  <c r="E424" i="39"/>
  <c r="E425" i="39"/>
  <c r="E426" i="39"/>
  <c r="E427" i="39"/>
  <c r="E428" i="39"/>
  <c r="E429" i="39"/>
  <c r="E430" i="39"/>
  <c r="E431" i="39"/>
  <c r="E432" i="39"/>
  <c r="E433" i="39"/>
  <c r="E434" i="39"/>
  <c r="E435" i="39"/>
  <c r="E436" i="39"/>
  <c r="E437" i="39"/>
  <c r="E438" i="39"/>
  <c r="E439" i="39"/>
  <c r="E440" i="39"/>
  <c r="E441" i="39"/>
  <c r="E442" i="39"/>
  <c r="E443" i="39"/>
  <c r="E444" i="39"/>
  <c r="E445" i="39"/>
  <c r="E446" i="39"/>
  <c r="E447" i="39"/>
  <c r="E448" i="39"/>
  <c r="E449" i="39"/>
  <c r="E450" i="39"/>
  <c r="E451" i="39"/>
  <c r="E452" i="39"/>
  <c r="E453" i="39"/>
  <c r="E454" i="39"/>
  <c r="E455" i="39"/>
  <c r="E456" i="39"/>
  <c r="E457" i="39"/>
  <c r="E458" i="39"/>
  <c r="E459" i="39"/>
  <c r="E460" i="39"/>
  <c r="E461" i="39"/>
  <c r="E462" i="39"/>
  <c r="E463" i="39"/>
  <c r="E464" i="39"/>
  <c r="E465" i="39"/>
  <c r="E466" i="39"/>
  <c r="E467" i="39"/>
  <c r="E468" i="39"/>
  <c r="E469" i="39"/>
  <c r="E470" i="39"/>
  <c r="E471" i="39"/>
  <c r="E472" i="39"/>
  <c r="E473" i="39"/>
  <c r="E474" i="39"/>
  <c r="E475" i="39"/>
  <c r="E476" i="39"/>
  <c r="E477" i="39"/>
  <c r="E478" i="39"/>
  <c r="E479" i="39"/>
  <c r="E480" i="39"/>
  <c r="E481" i="39"/>
  <c r="E482" i="39"/>
  <c r="E483" i="39"/>
  <c r="E484" i="39"/>
  <c r="E485" i="39"/>
  <c r="E486" i="39"/>
  <c r="E487" i="39"/>
  <c r="E488" i="39"/>
  <c r="E489" i="39"/>
  <c r="E490" i="39"/>
  <c r="E491" i="39"/>
  <c r="E492" i="39"/>
  <c r="E493" i="39"/>
  <c r="E494" i="39"/>
  <c r="E495" i="39"/>
  <c r="E496" i="39"/>
  <c r="E497" i="39"/>
  <c r="E498" i="39"/>
  <c r="E499" i="39"/>
  <c r="E500" i="39"/>
  <c r="E501" i="39"/>
  <c r="E502" i="39"/>
  <c r="E503" i="39"/>
  <c r="E504" i="39"/>
  <c r="E505" i="39"/>
  <c r="E506" i="39"/>
  <c r="E507" i="39"/>
  <c r="E508" i="39"/>
  <c r="E509" i="39"/>
  <c r="E510" i="39"/>
  <c r="E511" i="39"/>
  <c r="E512" i="39"/>
  <c r="E513" i="39"/>
  <c r="E514" i="39"/>
  <c r="E515" i="39"/>
  <c r="E516" i="39"/>
  <c r="E517" i="39"/>
  <c r="E518" i="39"/>
  <c r="E519" i="39"/>
  <c r="E520" i="39"/>
  <c r="E521" i="39"/>
  <c r="E522" i="39"/>
  <c r="E523" i="39"/>
  <c r="E524" i="39"/>
  <c r="E525" i="39"/>
  <c r="E526" i="39"/>
  <c r="E527" i="39"/>
  <c r="E528" i="39"/>
  <c r="E529" i="39"/>
  <c r="E530" i="39"/>
  <c r="E531" i="39"/>
  <c r="E532" i="39"/>
  <c r="E533" i="39"/>
  <c r="E534" i="39"/>
  <c r="E2" i="39"/>
  <c r="Q12" i="43" l="1" a="1"/>
  <c r="Q12" i="43" s="1"/>
  <c r="D14" i="40"/>
  <c r="C4" i="40"/>
  <c r="B4" i="40"/>
  <c r="H5" i="40"/>
  <c r="E4" i="40"/>
  <c r="F4" i="40"/>
  <c r="D18" i="40"/>
  <c r="D15" i="40"/>
  <c r="D13" i="40"/>
  <c r="D12" i="40"/>
  <c r="D11" i="40"/>
  <c r="D9" i="40"/>
  <c r="D8" i="40"/>
  <c r="D7" i="40"/>
  <c r="D6" i="40"/>
  <c r="D5" i="40"/>
  <c r="D4" i="40"/>
  <c r="C17" i="40"/>
  <c r="C15" i="40"/>
  <c r="C13" i="40"/>
  <c r="C11" i="40"/>
  <c r="C9" i="40"/>
  <c r="C7" i="40"/>
  <c r="C5" i="40"/>
  <c r="B3" i="40"/>
  <c r="I18" i="40"/>
  <c r="I17" i="40"/>
  <c r="I16" i="40"/>
  <c r="I15" i="40"/>
  <c r="I14" i="40"/>
  <c r="I13" i="40"/>
  <c r="I12" i="40"/>
  <c r="I11" i="40"/>
  <c r="I10" i="40"/>
  <c r="I9" i="40"/>
  <c r="I8" i="40"/>
  <c r="I7" i="40"/>
  <c r="I6" i="40"/>
  <c r="I5" i="40"/>
  <c r="I4" i="40"/>
  <c r="E3" i="40"/>
  <c r="D16" i="40"/>
  <c r="D10" i="40"/>
  <c r="D3" i="40"/>
  <c r="C18" i="40"/>
  <c r="C16" i="40"/>
  <c r="C14" i="40"/>
  <c r="C12" i="40"/>
  <c r="C10" i="40"/>
  <c r="C8" i="40"/>
  <c r="C6" i="40"/>
  <c r="C3" i="40"/>
  <c r="B18" i="40"/>
  <c r="B17" i="40"/>
  <c r="B16" i="40"/>
  <c r="B15" i="40"/>
  <c r="B14" i="40"/>
  <c r="B13" i="40"/>
  <c r="B12" i="40"/>
  <c r="B11" i="40"/>
  <c r="B10" i="40"/>
  <c r="B9" i="40"/>
  <c r="B8" i="40"/>
  <c r="B7" i="40"/>
  <c r="B6" i="40"/>
  <c r="B5" i="40"/>
  <c r="I3" i="40"/>
  <c r="H17" i="40"/>
  <c r="H15" i="40"/>
  <c r="H13" i="40"/>
  <c r="H11" i="40"/>
  <c r="H8" i="40"/>
  <c r="H4" i="40"/>
  <c r="D17" i="40"/>
  <c r="G3" i="40"/>
  <c r="F18" i="40"/>
  <c r="F17" i="40"/>
  <c r="F16" i="40"/>
  <c r="F15" i="40"/>
  <c r="F14" i="40"/>
  <c r="F13" i="40"/>
  <c r="F12" i="40"/>
  <c r="F11" i="40"/>
  <c r="F10" i="40"/>
  <c r="F9" i="40"/>
  <c r="F8" i="40"/>
  <c r="F7" i="40"/>
  <c r="F6" i="40"/>
  <c r="F5" i="40"/>
  <c r="H18" i="40"/>
  <c r="H16" i="40"/>
  <c r="H14" i="40"/>
  <c r="H12" i="40"/>
  <c r="H10" i="40"/>
  <c r="H9" i="40"/>
  <c r="H7" i="40"/>
  <c r="H6" i="40"/>
  <c r="H3" i="40"/>
  <c r="G18" i="40"/>
  <c r="G17" i="40"/>
  <c r="G16" i="40"/>
  <c r="G15" i="40"/>
  <c r="G14" i="40"/>
  <c r="G13" i="40"/>
  <c r="G12" i="40"/>
  <c r="G11" i="40"/>
  <c r="G10" i="40"/>
  <c r="G9" i="40"/>
  <c r="G8" i="40"/>
  <c r="G7" i="40"/>
  <c r="G6" i="40"/>
  <c r="G5" i="40"/>
  <c r="G4" i="40"/>
  <c r="F3" i="40"/>
  <c r="E18" i="40"/>
  <c r="E17" i="40"/>
  <c r="E16" i="40"/>
  <c r="E15" i="40"/>
  <c r="E14" i="40"/>
  <c r="E13" i="40"/>
  <c r="E12" i="40"/>
  <c r="E11" i="40"/>
  <c r="E10" i="40"/>
  <c r="E9" i="40"/>
  <c r="E8" i="40"/>
  <c r="E7" i="40"/>
  <c r="E6" i="40"/>
  <c r="E5" i="40"/>
  <c r="F3" i="35"/>
  <c r="F4" i="35" s="1"/>
  <c r="F5" i="35" s="1"/>
  <c r="F6" i="35" s="1"/>
  <c r="F7" i="35" s="1"/>
  <c r="F8" i="35" s="1"/>
  <c r="F9" i="35" s="1"/>
  <c r="F10" i="35" s="1"/>
  <c r="F11" i="35" s="1"/>
  <c r="F12" i="35" s="1"/>
  <c r="F13" i="35" s="1"/>
  <c r="F14" i="35" s="1"/>
  <c r="F15" i="35" s="1"/>
  <c r="F16" i="35" s="1"/>
  <c r="F17" i="35" s="1"/>
  <c r="F18" i="35" s="1"/>
  <c r="F19" i="35" s="1"/>
  <c r="F20" i="35" s="1"/>
  <c r="F21" i="35" s="1"/>
  <c r="F22" i="35" s="1"/>
  <c r="F23" i="35" s="1"/>
  <c r="F24" i="35" s="1"/>
  <c r="F25" i="35" s="1"/>
  <c r="F26" i="35" s="1"/>
  <c r="F27" i="35" s="1"/>
  <c r="F28" i="35" s="1"/>
  <c r="F29" i="35" s="1"/>
  <c r="F30" i="35" s="1"/>
  <c r="F31" i="35" s="1"/>
  <c r="F32" i="35" s="1"/>
  <c r="F33" i="35" s="1"/>
  <c r="F34" i="35" s="1"/>
  <c r="F35" i="35" s="1"/>
  <c r="F36" i="35" s="1"/>
  <c r="F37" i="35" s="1"/>
  <c r="F38" i="35" s="1"/>
  <c r="F39" i="35" s="1"/>
  <c r="F40" i="35" s="1"/>
  <c r="F41" i="35" s="1"/>
  <c r="F42" i="35" s="1"/>
  <c r="F43" i="35" s="1"/>
  <c r="F44" i="35" s="1"/>
  <c r="F45" i="35" s="1"/>
  <c r="F46" i="35" s="1"/>
  <c r="F47" i="35" s="1"/>
  <c r="F48" i="35" s="1"/>
  <c r="F49" i="35" s="1"/>
  <c r="F50" i="35" s="1"/>
  <c r="F51" i="35" s="1"/>
  <c r="F52" i="35" s="1"/>
  <c r="F53" i="35" s="1"/>
  <c r="F54" i="35" s="1"/>
  <c r="F55" i="35" s="1"/>
  <c r="F56" i="35" s="1"/>
  <c r="F57" i="35" s="1"/>
  <c r="F58" i="35" s="1"/>
  <c r="F59" i="35" s="1"/>
  <c r="F60" i="35" s="1"/>
  <c r="F61" i="35" s="1"/>
  <c r="F62" i="35" s="1"/>
  <c r="F63" i="35" s="1"/>
  <c r="F64" i="35" s="1"/>
  <c r="F65" i="35" s="1"/>
  <c r="F66" i="35" s="1"/>
  <c r="F67" i="35" s="1"/>
  <c r="F68" i="35" s="1"/>
  <c r="F69" i="35" s="1"/>
  <c r="F70" i="35" s="1"/>
  <c r="F71" i="35" s="1"/>
  <c r="F72" i="35" s="1"/>
  <c r="F73" i="35" s="1"/>
  <c r="F74" i="35" s="1"/>
  <c r="F75" i="35" s="1"/>
  <c r="F76" i="35" s="1"/>
  <c r="F77" i="35" s="1"/>
  <c r="F78" i="35" s="1"/>
  <c r="F79" i="35" s="1"/>
  <c r="F80" i="35" s="1"/>
  <c r="F81" i="35" s="1"/>
  <c r="F82" i="35" s="1"/>
  <c r="F83" i="35" s="1"/>
  <c r="F84" i="35" s="1"/>
  <c r="F85" i="35" s="1"/>
  <c r="F86" i="35" s="1"/>
  <c r="F87" i="35" s="1"/>
  <c r="F88" i="35" s="1"/>
  <c r="F89" i="35" s="1"/>
  <c r="F90" i="35" s="1"/>
  <c r="F91" i="35" s="1"/>
  <c r="F92" i="35" s="1"/>
  <c r="F93" i="35" s="1"/>
  <c r="F94" i="35" s="1"/>
  <c r="F95" i="35" s="1"/>
  <c r="F96" i="35" s="1"/>
  <c r="F97" i="35" s="1"/>
  <c r="F98" i="35" s="1"/>
  <c r="F99" i="35" s="1"/>
  <c r="F100" i="35" s="1"/>
  <c r="F101" i="35" s="1"/>
  <c r="F102" i="35" s="1"/>
  <c r="F103" i="35" s="1"/>
  <c r="F104" i="35" s="1"/>
  <c r="F105" i="35" s="1"/>
  <c r="F106" i="35" s="1"/>
  <c r="F107" i="35" s="1"/>
  <c r="F108" i="35" s="1"/>
  <c r="F109" i="35" s="1"/>
  <c r="F110" i="35" s="1"/>
  <c r="F111" i="35" s="1"/>
  <c r="F112" i="35" s="1"/>
  <c r="F113" i="35" s="1"/>
  <c r="F114" i="35" s="1"/>
  <c r="F115" i="35" s="1"/>
  <c r="F116" i="35" s="1"/>
  <c r="F117" i="35" s="1"/>
  <c r="F118" i="35" s="1"/>
  <c r="F119" i="35" s="1"/>
  <c r="F120" i="35" s="1"/>
  <c r="F121" i="35" s="1"/>
  <c r="F122" i="35" s="1"/>
  <c r="F123" i="35" s="1"/>
  <c r="F124" i="35" s="1"/>
  <c r="F125" i="35" s="1"/>
  <c r="F126" i="35" s="1"/>
  <c r="F127" i="35" s="1"/>
  <c r="F128" i="35" s="1"/>
  <c r="F129" i="35" s="1"/>
  <c r="F130" i="35" s="1"/>
  <c r="F131" i="35" s="1"/>
  <c r="F132" i="35" s="1"/>
  <c r="F133" i="35" s="1"/>
  <c r="F134" i="35" s="1"/>
  <c r="F135" i="35" s="1"/>
  <c r="F136" i="35" s="1"/>
  <c r="F137" i="35" s="1"/>
  <c r="F138" i="35" s="1"/>
  <c r="F139" i="35" s="1"/>
  <c r="F140" i="35" s="1"/>
  <c r="F141" i="35" s="1"/>
  <c r="F142" i="35" s="1"/>
  <c r="F143" i="35" s="1"/>
  <c r="F144" i="35" s="1"/>
  <c r="F145" i="35" s="1"/>
  <c r="F146" i="35" s="1"/>
  <c r="F147" i="35" s="1"/>
  <c r="F148" i="35" s="1"/>
  <c r="F149" i="35" s="1"/>
  <c r="F150" i="35" s="1"/>
  <c r="F151" i="35" s="1"/>
  <c r="F152" i="35" s="1"/>
  <c r="F153" i="35" s="1"/>
  <c r="F154" i="35" s="1"/>
  <c r="F155" i="35" s="1"/>
  <c r="F156" i="35" s="1"/>
  <c r="F157" i="35" s="1"/>
  <c r="F158" i="35" s="1"/>
  <c r="F159" i="35" s="1"/>
  <c r="F160" i="35" s="1"/>
  <c r="F161" i="35" s="1"/>
  <c r="F162" i="35" s="1"/>
  <c r="F163" i="35" s="1"/>
  <c r="F164" i="35" s="1"/>
  <c r="F165" i="35" s="1"/>
  <c r="F166" i="35" s="1"/>
  <c r="F167" i="35" s="1"/>
  <c r="F168" i="35" s="1"/>
  <c r="F169" i="35" s="1"/>
  <c r="F170" i="35" s="1"/>
  <c r="F171" i="35" s="1"/>
  <c r="F172" i="35" s="1"/>
  <c r="F173" i="35" s="1"/>
  <c r="F174" i="35" s="1"/>
  <c r="F175" i="35" s="1"/>
  <c r="F176" i="35" s="1"/>
  <c r="F177" i="35" s="1"/>
  <c r="F178" i="35" s="1"/>
  <c r="F179" i="35" s="1"/>
  <c r="F180" i="35" s="1"/>
  <c r="F181" i="35" s="1"/>
  <c r="F182" i="35" s="1"/>
  <c r="F183" i="35" s="1"/>
  <c r="F184" i="35" s="1"/>
  <c r="F185" i="35" s="1"/>
  <c r="F186" i="35" s="1"/>
  <c r="F187" i="35" s="1"/>
  <c r="F188" i="35" s="1"/>
  <c r="F189" i="35" s="1"/>
  <c r="F190" i="35" s="1"/>
  <c r="F191" i="35" s="1"/>
  <c r="F192" i="35" s="1"/>
  <c r="F193" i="35" s="1"/>
  <c r="F194" i="35" s="1"/>
  <c r="F195" i="35" s="1"/>
  <c r="F196" i="35" s="1"/>
  <c r="F197" i="35" s="1"/>
  <c r="F198" i="35" s="1"/>
  <c r="F199" i="35" s="1"/>
  <c r="F200" i="35" s="1"/>
  <c r="F201" i="35" s="1"/>
  <c r="F202" i="35" s="1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3" i="35"/>
  <c r="D5" i="35"/>
  <c r="D6" i="35"/>
  <c r="D7" i="35"/>
  <c r="D8" i="35"/>
  <c r="D9" i="35" s="1"/>
  <c r="D10" i="35" s="1"/>
  <c r="D11" i="35" s="1"/>
  <c r="D12" i="35" s="1"/>
  <c r="D13" i="35" s="1"/>
  <c r="D14" i="35" s="1"/>
  <c r="D15" i="35" s="1"/>
  <c r="D16" i="35" s="1"/>
  <c r="D17" i="35" s="1"/>
  <c r="D18" i="35" s="1"/>
  <c r="D19" i="35" s="1"/>
  <c r="D20" i="35" s="1"/>
  <c r="D21" i="35" s="1"/>
  <c r="D22" i="35" s="1"/>
  <c r="D23" i="35" s="1"/>
  <c r="D24" i="35" s="1"/>
  <c r="D25" i="35" s="1"/>
  <c r="D26" i="35" s="1"/>
  <c r="D27" i="35" s="1"/>
  <c r="D28" i="35" s="1"/>
  <c r="D29" i="35" s="1"/>
  <c r="D30" i="35" s="1"/>
  <c r="D31" i="35" s="1"/>
  <c r="D32" i="35" s="1"/>
  <c r="D33" i="35" s="1"/>
  <c r="D34" i="35" s="1"/>
  <c r="D35" i="35" s="1"/>
  <c r="D36" i="35" s="1"/>
  <c r="D37" i="35" s="1"/>
  <c r="D38" i="35" s="1"/>
  <c r="D39" i="35" s="1"/>
  <c r="D40" i="35" s="1"/>
  <c r="D41" i="35" s="1"/>
  <c r="D42" i="35" s="1"/>
  <c r="D43" i="35" s="1"/>
  <c r="D44" i="35" s="1"/>
  <c r="D45" i="35" s="1"/>
  <c r="D46" i="35" s="1"/>
  <c r="D47" i="35" s="1"/>
  <c r="D48" i="35" s="1"/>
  <c r="D49" i="35" s="1"/>
  <c r="D50" i="35" s="1"/>
  <c r="D51" i="35" s="1"/>
  <c r="D52" i="35" s="1"/>
  <c r="D53" i="35" s="1"/>
  <c r="D54" i="35" s="1"/>
  <c r="D55" i="35" s="1"/>
  <c r="D56" i="35" s="1"/>
  <c r="D57" i="35" s="1"/>
  <c r="D58" i="35" s="1"/>
  <c r="D59" i="35" s="1"/>
  <c r="D60" i="35" s="1"/>
  <c r="D61" i="35" s="1"/>
  <c r="D62" i="35" s="1"/>
  <c r="D63" i="35" s="1"/>
  <c r="D64" i="35" s="1"/>
  <c r="D65" i="35" s="1"/>
  <c r="D66" i="35" s="1"/>
  <c r="D67" i="35" s="1"/>
  <c r="D68" i="35" s="1"/>
  <c r="D69" i="35" s="1"/>
  <c r="D70" i="35" s="1"/>
  <c r="D71" i="35" s="1"/>
  <c r="D72" i="35" s="1"/>
  <c r="D73" i="35" s="1"/>
  <c r="D74" i="35" s="1"/>
  <c r="D75" i="35" s="1"/>
  <c r="D76" i="35" s="1"/>
  <c r="D77" i="35" s="1"/>
  <c r="D78" i="35" s="1"/>
  <c r="D79" i="35" s="1"/>
  <c r="D80" i="35" s="1"/>
  <c r="D81" i="35" s="1"/>
  <c r="D82" i="35" s="1"/>
  <c r="D83" i="35" s="1"/>
  <c r="D84" i="35" s="1"/>
  <c r="D85" i="35" s="1"/>
  <c r="D86" i="35" s="1"/>
  <c r="D87" i="35" s="1"/>
  <c r="D88" i="35" s="1"/>
  <c r="D89" i="35" s="1"/>
  <c r="D90" i="35" s="1"/>
  <c r="D91" i="35" s="1"/>
  <c r="D92" i="35" s="1"/>
  <c r="D93" i="35" s="1"/>
  <c r="D94" i="35" s="1"/>
  <c r="D95" i="35" s="1"/>
  <c r="D96" i="35" s="1"/>
  <c r="D97" i="35" s="1"/>
  <c r="D98" i="35" s="1"/>
  <c r="D99" i="35" s="1"/>
  <c r="D100" i="35" s="1"/>
  <c r="D101" i="35" s="1"/>
  <c r="D102" i="35" s="1"/>
  <c r="D103" i="35" s="1"/>
  <c r="D104" i="35" s="1"/>
  <c r="D105" i="35" s="1"/>
  <c r="D106" i="35" s="1"/>
  <c r="D107" i="35" s="1"/>
  <c r="D108" i="35" s="1"/>
  <c r="D109" i="35" s="1"/>
  <c r="D110" i="35" s="1"/>
  <c r="D111" i="35" s="1"/>
  <c r="D112" i="35" s="1"/>
  <c r="D113" i="35" s="1"/>
  <c r="D114" i="35" s="1"/>
  <c r="D115" i="35" s="1"/>
  <c r="D116" i="35" s="1"/>
  <c r="D117" i="35" s="1"/>
  <c r="D118" i="35" s="1"/>
  <c r="D119" i="35" s="1"/>
  <c r="D120" i="35" s="1"/>
  <c r="D121" i="35" s="1"/>
  <c r="D122" i="35" s="1"/>
  <c r="D123" i="35" s="1"/>
  <c r="D124" i="35" s="1"/>
  <c r="D125" i="35" s="1"/>
  <c r="D126" i="35" s="1"/>
  <c r="D127" i="35" s="1"/>
  <c r="D128" i="35" s="1"/>
  <c r="D129" i="35" s="1"/>
  <c r="D130" i="35" s="1"/>
  <c r="D131" i="35" s="1"/>
  <c r="D132" i="35" s="1"/>
  <c r="D133" i="35" s="1"/>
  <c r="D134" i="35" s="1"/>
  <c r="D135" i="35" s="1"/>
  <c r="D136" i="35" s="1"/>
  <c r="D137" i="35" s="1"/>
  <c r="D138" i="35" s="1"/>
  <c r="D139" i="35" s="1"/>
  <c r="D140" i="35" s="1"/>
  <c r="D141" i="35" s="1"/>
  <c r="D142" i="35" s="1"/>
  <c r="D143" i="35" s="1"/>
  <c r="D144" i="35" s="1"/>
  <c r="D145" i="35" s="1"/>
  <c r="D146" i="35" s="1"/>
  <c r="D147" i="35" s="1"/>
  <c r="D148" i="35" s="1"/>
  <c r="D149" i="35" s="1"/>
  <c r="D150" i="35" s="1"/>
  <c r="D151" i="35" s="1"/>
  <c r="D152" i="35" s="1"/>
  <c r="D153" i="35" s="1"/>
  <c r="D154" i="35" s="1"/>
  <c r="D155" i="35" s="1"/>
  <c r="D156" i="35" s="1"/>
  <c r="D157" i="35" s="1"/>
  <c r="D158" i="35" s="1"/>
  <c r="D159" i="35" s="1"/>
  <c r="D160" i="35" s="1"/>
  <c r="D161" i="35" s="1"/>
  <c r="D162" i="35" s="1"/>
  <c r="D163" i="35" s="1"/>
  <c r="D164" i="35" s="1"/>
  <c r="D165" i="35" s="1"/>
  <c r="D166" i="35" s="1"/>
  <c r="D167" i="35" s="1"/>
  <c r="D168" i="35" s="1"/>
  <c r="D169" i="35" s="1"/>
  <c r="D170" i="35" s="1"/>
  <c r="D171" i="35" s="1"/>
  <c r="D172" i="35" s="1"/>
  <c r="D173" i="35" s="1"/>
  <c r="D174" i="35" s="1"/>
  <c r="D175" i="35" s="1"/>
  <c r="D176" i="35" s="1"/>
  <c r="D177" i="35" s="1"/>
  <c r="D178" i="35" s="1"/>
  <c r="D179" i="35" s="1"/>
  <c r="D180" i="35" s="1"/>
  <c r="D181" i="35" s="1"/>
  <c r="D182" i="35" s="1"/>
  <c r="D183" i="35" s="1"/>
  <c r="D184" i="35" s="1"/>
  <c r="D185" i="35" s="1"/>
  <c r="D186" i="35" s="1"/>
  <c r="D187" i="35" s="1"/>
  <c r="D188" i="35" s="1"/>
  <c r="D189" i="35" s="1"/>
  <c r="D190" i="35" s="1"/>
  <c r="D191" i="35" s="1"/>
  <c r="D192" i="35" s="1"/>
  <c r="D193" i="35" s="1"/>
  <c r="D194" i="35" s="1"/>
  <c r="D195" i="35" s="1"/>
  <c r="D196" i="35" s="1"/>
  <c r="D197" i="35" s="1"/>
  <c r="D198" i="35" s="1"/>
  <c r="D199" i="35" s="1"/>
  <c r="D200" i="35" s="1"/>
  <c r="D201" i="35" s="1"/>
  <c r="D202" i="35" s="1"/>
  <c r="D4" i="35"/>
  <c r="D3" i="35"/>
  <c r="C33" i="35"/>
  <c r="C73" i="35"/>
  <c r="C4" i="35"/>
  <c r="C68" i="35"/>
  <c r="C14" i="35"/>
  <c r="C17" i="35"/>
  <c r="C59" i="35"/>
  <c r="C36" i="35"/>
  <c r="C3" i="35"/>
  <c r="C32" i="35"/>
  <c r="C10" i="35"/>
  <c r="C63" i="35"/>
  <c r="C74" i="35"/>
  <c r="C62" i="35"/>
  <c r="C35" i="35"/>
  <c r="C72" i="35"/>
  <c r="C71" i="35"/>
  <c r="C65" i="35"/>
  <c r="C75" i="35"/>
  <c r="C31" i="35"/>
  <c r="C67" i="35"/>
  <c r="C38" i="35"/>
  <c r="C44" i="35"/>
  <c r="C19" i="35"/>
  <c r="C70" i="35"/>
  <c r="C111" i="35"/>
  <c r="C57" i="35"/>
  <c r="C41" i="35"/>
  <c r="C69" i="35"/>
  <c r="C20" i="35"/>
  <c r="C40" i="35"/>
  <c r="C21" i="35"/>
  <c r="C22" i="35"/>
  <c r="C43" i="35"/>
  <c r="C66" i="35"/>
  <c r="C5" i="35"/>
  <c r="C60" i="35"/>
  <c r="C28" i="35"/>
  <c r="C54" i="35"/>
  <c r="C58" i="35"/>
  <c r="C55" i="35"/>
  <c r="C53" i="35"/>
  <c r="C49" i="35"/>
  <c r="C26" i="35"/>
  <c r="C42" i="35"/>
  <c r="C37" i="35"/>
  <c r="C27" i="35"/>
  <c r="C30" i="35"/>
  <c r="C51" i="35"/>
  <c r="C25" i="35"/>
  <c r="C7" i="35"/>
  <c r="C9" i="35"/>
  <c r="C52" i="35"/>
  <c r="C45" i="35"/>
  <c r="C47" i="35"/>
  <c r="C29" i="35"/>
  <c r="C46" i="35"/>
  <c r="C39" i="35"/>
  <c r="C23" i="35"/>
  <c r="C48" i="35"/>
  <c r="C34" i="35"/>
  <c r="C56" i="35"/>
  <c r="C6" i="35"/>
  <c r="C50" i="35"/>
  <c r="C11" i="35"/>
  <c r="C24" i="35"/>
  <c r="C8" i="35"/>
  <c r="C12" i="35"/>
  <c r="C13" i="35"/>
  <c r="C16" i="35"/>
  <c r="C61" i="35"/>
  <c r="C15" i="35"/>
  <c r="C18" i="35"/>
  <c r="C112" i="35"/>
  <c r="C83" i="35"/>
  <c r="C115" i="35"/>
  <c r="C106" i="35"/>
  <c r="C99" i="35"/>
  <c r="C110" i="35"/>
  <c r="C116" i="35"/>
  <c r="C202" i="35"/>
  <c r="C117" i="35"/>
  <c r="C195" i="35"/>
  <c r="C101" i="35"/>
  <c r="C113" i="35"/>
  <c r="C114" i="35"/>
  <c r="C118" i="35"/>
  <c r="C121" i="35"/>
  <c r="C133" i="35"/>
  <c r="C145" i="35"/>
  <c r="C157" i="35"/>
  <c r="C168" i="35"/>
  <c r="C180" i="35"/>
  <c r="C192" i="35"/>
  <c r="C193" i="35"/>
  <c r="C194" i="35"/>
  <c r="C196" i="35"/>
  <c r="C197" i="35"/>
  <c r="C198" i="35"/>
  <c r="C199" i="35"/>
  <c r="C200" i="35"/>
  <c r="C201" i="35"/>
  <c r="C76" i="35"/>
  <c r="C77" i="35"/>
  <c r="C78" i="35"/>
  <c r="C79" i="35"/>
  <c r="C80" i="35"/>
  <c r="C81" i="35"/>
  <c r="C82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100" i="35"/>
  <c r="C102" i="35"/>
  <c r="C103" i="35"/>
  <c r="C104" i="35"/>
  <c r="C105" i="35"/>
  <c r="C107" i="35"/>
  <c r="C108" i="35"/>
  <c r="C109" i="35"/>
  <c r="C119" i="35"/>
  <c r="C120" i="35"/>
  <c r="C122" i="35"/>
  <c r="C123" i="35"/>
  <c r="C124" i="35"/>
  <c r="C125" i="35"/>
  <c r="C126" i="35"/>
  <c r="C127" i="35"/>
  <c r="C128" i="35"/>
  <c r="C129" i="35"/>
  <c r="C130" i="35"/>
  <c r="C131" i="35"/>
  <c r="C132" i="35"/>
  <c r="C134" i="35"/>
  <c r="C135" i="35"/>
  <c r="C136" i="35"/>
  <c r="C137" i="35"/>
  <c r="C138" i="35"/>
  <c r="C139" i="35"/>
  <c r="C140" i="35"/>
  <c r="C141" i="35"/>
  <c r="C142" i="35"/>
  <c r="C143" i="35"/>
  <c r="C144" i="35"/>
  <c r="C146" i="35"/>
  <c r="C147" i="35"/>
  <c r="C148" i="35"/>
  <c r="C149" i="35"/>
  <c r="C150" i="35"/>
  <c r="C151" i="35"/>
  <c r="C152" i="35"/>
  <c r="C153" i="35"/>
  <c r="C154" i="35"/>
  <c r="C155" i="35"/>
  <c r="C156" i="35"/>
  <c r="C158" i="35"/>
  <c r="C159" i="35"/>
  <c r="C160" i="35"/>
  <c r="C161" i="35"/>
  <c r="C162" i="35"/>
  <c r="C163" i="35"/>
  <c r="C164" i="35"/>
  <c r="C165" i="35"/>
  <c r="C166" i="35"/>
  <c r="C167" i="35"/>
  <c r="C169" i="35"/>
  <c r="C170" i="35"/>
  <c r="C171" i="35"/>
  <c r="C172" i="35"/>
  <c r="C173" i="35"/>
  <c r="C174" i="35"/>
  <c r="C175" i="35"/>
  <c r="C176" i="35"/>
  <c r="C177" i="35"/>
  <c r="C178" i="35"/>
  <c r="C179" i="35"/>
  <c r="C181" i="35"/>
  <c r="C182" i="35"/>
  <c r="C183" i="35"/>
  <c r="C184" i="35"/>
  <c r="C185" i="35"/>
  <c r="C186" i="35"/>
  <c r="C187" i="35"/>
  <c r="C188" i="35"/>
  <c r="C189" i="35"/>
  <c r="C190" i="35"/>
  <c r="C191" i="35"/>
  <c r="C64" i="35"/>
  <c r="B3" i="37"/>
  <c r="B2" i="37"/>
  <c r="B7" i="36"/>
  <c r="B8" i="36"/>
  <c r="B9" i="36"/>
  <c r="B10" i="36"/>
  <c r="B11" i="36"/>
  <c r="B12" i="36"/>
  <c r="B13" i="36"/>
  <c r="B14" i="36"/>
  <c r="B15" i="36"/>
  <c r="B16" i="36"/>
  <c r="B17" i="36"/>
  <c r="B18" i="36"/>
  <c r="B19" i="36"/>
  <c r="B20" i="36"/>
  <c r="B21" i="36"/>
  <c r="B22" i="36"/>
  <c r="B23" i="36"/>
  <c r="B24" i="36"/>
  <c r="B25" i="36"/>
  <c r="B26" i="36"/>
  <c r="B27" i="36"/>
  <c r="B28" i="36"/>
  <c r="B29" i="36"/>
  <c r="B30" i="36"/>
  <c r="B31" i="36"/>
  <c r="B32" i="36"/>
  <c r="B33" i="36"/>
  <c r="B34" i="36"/>
  <c r="B35" i="36"/>
  <c r="B36" i="36"/>
  <c r="B37" i="36"/>
  <c r="B38" i="36"/>
  <c r="B39" i="36"/>
  <c r="B40" i="36"/>
  <c r="B41" i="36"/>
  <c r="B42" i="36"/>
  <c r="B43" i="36"/>
  <c r="B44" i="36"/>
  <c r="B45" i="36"/>
  <c r="B46" i="36"/>
  <c r="B47" i="36"/>
  <c r="B48" i="36"/>
  <c r="B49" i="36"/>
  <c r="B50" i="36"/>
  <c r="B51" i="36"/>
  <c r="B52" i="36"/>
  <c r="B53" i="36"/>
  <c r="B54" i="36"/>
  <c r="B55" i="36"/>
  <c r="B56" i="36"/>
  <c r="B57" i="36"/>
  <c r="B58" i="36"/>
  <c r="B59" i="36"/>
  <c r="B60" i="36"/>
  <c r="B61" i="36"/>
  <c r="B62" i="36"/>
  <c r="C7" i="36"/>
  <c r="D7" i="36"/>
  <c r="E7" i="36"/>
  <c r="F7" i="36"/>
  <c r="G7" i="36"/>
  <c r="H7" i="36"/>
  <c r="I7" i="36"/>
  <c r="J7" i="36"/>
  <c r="C8" i="36"/>
  <c r="D8" i="36"/>
  <c r="E8" i="36"/>
  <c r="F8" i="36"/>
  <c r="G8" i="36"/>
  <c r="H8" i="36"/>
  <c r="I8" i="36"/>
  <c r="J8" i="36"/>
  <c r="C9" i="36"/>
  <c r="D9" i="36"/>
  <c r="E9" i="36"/>
  <c r="F9" i="36"/>
  <c r="G9" i="36"/>
  <c r="H9" i="36"/>
  <c r="I9" i="36"/>
  <c r="J9" i="36"/>
  <c r="C10" i="36"/>
  <c r="D10" i="36"/>
  <c r="E10" i="36"/>
  <c r="F10" i="36"/>
  <c r="G10" i="36"/>
  <c r="H10" i="36"/>
  <c r="I10" i="36"/>
  <c r="J10" i="36"/>
  <c r="C11" i="36"/>
  <c r="D11" i="36"/>
  <c r="E11" i="36"/>
  <c r="F11" i="36"/>
  <c r="G11" i="36"/>
  <c r="H11" i="36"/>
  <c r="I11" i="36"/>
  <c r="J11" i="36"/>
  <c r="C12" i="36"/>
  <c r="D12" i="36"/>
  <c r="E12" i="36"/>
  <c r="F12" i="36"/>
  <c r="G12" i="36"/>
  <c r="H12" i="36"/>
  <c r="I12" i="36"/>
  <c r="J12" i="36"/>
  <c r="C13" i="36"/>
  <c r="D13" i="36"/>
  <c r="E13" i="36"/>
  <c r="F13" i="36"/>
  <c r="G13" i="36"/>
  <c r="H13" i="36"/>
  <c r="I13" i="36"/>
  <c r="J13" i="36"/>
  <c r="C14" i="36"/>
  <c r="D14" i="36"/>
  <c r="E14" i="36"/>
  <c r="F14" i="36"/>
  <c r="G14" i="36"/>
  <c r="H14" i="36"/>
  <c r="I14" i="36"/>
  <c r="J14" i="36"/>
  <c r="C15" i="36"/>
  <c r="D15" i="36"/>
  <c r="E15" i="36"/>
  <c r="F15" i="36"/>
  <c r="G15" i="36"/>
  <c r="H15" i="36"/>
  <c r="I15" i="36"/>
  <c r="J15" i="36"/>
  <c r="C16" i="36"/>
  <c r="D16" i="36"/>
  <c r="E16" i="36"/>
  <c r="F16" i="36"/>
  <c r="G16" i="36"/>
  <c r="H16" i="36"/>
  <c r="I16" i="36"/>
  <c r="J16" i="36"/>
  <c r="C17" i="36"/>
  <c r="D17" i="36"/>
  <c r="E17" i="36"/>
  <c r="F17" i="36"/>
  <c r="G17" i="36"/>
  <c r="H17" i="36"/>
  <c r="I17" i="36"/>
  <c r="J17" i="36"/>
  <c r="C18" i="36"/>
  <c r="D18" i="36"/>
  <c r="E18" i="36"/>
  <c r="F18" i="36"/>
  <c r="G18" i="36"/>
  <c r="H18" i="36"/>
  <c r="I18" i="36"/>
  <c r="J18" i="36"/>
  <c r="C19" i="36"/>
  <c r="D19" i="36"/>
  <c r="E19" i="36"/>
  <c r="F19" i="36"/>
  <c r="G19" i="36"/>
  <c r="H19" i="36"/>
  <c r="I19" i="36"/>
  <c r="J19" i="36"/>
  <c r="C20" i="36"/>
  <c r="D20" i="36"/>
  <c r="E20" i="36"/>
  <c r="F20" i="36"/>
  <c r="G20" i="36"/>
  <c r="H20" i="36"/>
  <c r="I20" i="36"/>
  <c r="J20" i="36"/>
  <c r="C21" i="36"/>
  <c r="D21" i="36"/>
  <c r="E21" i="36"/>
  <c r="F21" i="36"/>
  <c r="G21" i="36"/>
  <c r="H21" i="36"/>
  <c r="I21" i="36"/>
  <c r="J21" i="36"/>
  <c r="C22" i="36"/>
  <c r="D22" i="36"/>
  <c r="E22" i="36"/>
  <c r="F22" i="36"/>
  <c r="G22" i="36"/>
  <c r="H22" i="36"/>
  <c r="I22" i="36"/>
  <c r="J22" i="36"/>
  <c r="C23" i="36"/>
  <c r="D23" i="36"/>
  <c r="E23" i="36"/>
  <c r="F23" i="36"/>
  <c r="G23" i="36"/>
  <c r="H23" i="36"/>
  <c r="I23" i="36"/>
  <c r="J23" i="36"/>
  <c r="C24" i="36"/>
  <c r="D24" i="36"/>
  <c r="E24" i="36"/>
  <c r="F24" i="36"/>
  <c r="G24" i="36"/>
  <c r="H24" i="36"/>
  <c r="I24" i="36"/>
  <c r="J24" i="36"/>
  <c r="C25" i="36"/>
  <c r="D25" i="36"/>
  <c r="E25" i="36"/>
  <c r="F25" i="36"/>
  <c r="G25" i="36"/>
  <c r="H25" i="36"/>
  <c r="I25" i="36"/>
  <c r="J25" i="36"/>
  <c r="C26" i="36"/>
  <c r="D26" i="36"/>
  <c r="E26" i="36"/>
  <c r="F26" i="36"/>
  <c r="G26" i="36"/>
  <c r="H26" i="36"/>
  <c r="I26" i="36"/>
  <c r="J26" i="36"/>
  <c r="C27" i="36"/>
  <c r="D27" i="36"/>
  <c r="E27" i="36"/>
  <c r="F27" i="36"/>
  <c r="G27" i="36"/>
  <c r="H27" i="36"/>
  <c r="I27" i="36"/>
  <c r="J27" i="36"/>
  <c r="C28" i="36"/>
  <c r="D28" i="36"/>
  <c r="E28" i="36"/>
  <c r="F28" i="36"/>
  <c r="G28" i="36"/>
  <c r="H28" i="36"/>
  <c r="I28" i="36"/>
  <c r="J28" i="36"/>
  <c r="C29" i="36"/>
  <c r="D29" i="36"/>
  <c r="E29" i="36"/>
  <c r="F29" i="36"/>
  <c r="G29" i="36"/>
  <c r="H29" i="36"/>
  <c r="I29" i="36"/>
  <c r="J29" i="36"/>
  <c r="C30" i="36"/>
  <c r="D30" i="36"/>
  <c r="E30" i="36"/>
  <c r="F30" i="36"/>
  <c r="G30" i="36"/>
  <c r="H30" i="36"/>
  <c r="I30" i="36"/>
  <c r="J30" i="36"/>
  <c r="C31" i="36"/>
  <c r="D31" i="36"/>
  <c r="E31" i="36"/>
  <c r="F31" i="36"/>
  <c r="G31" i="36"/>
  <c r="H31" i="36"/>
  <c r="I31" i="36"/>
  <c r="J31" i="36"/>
  <c r="C32" i="36"/>
  <c r="D32" i="36"/>
  <c r="E32" i="36"/>
  <c r="F32" i="36"/>
  <c r="G32" i="36"/>
  <c r="H32" i="36"/>
  <c r="I32" i="36"/>
  <c r="J32" i="36"/>
  <c r="C33" i="36"/>
  <c r="D33" i="36"/>
  <c r="E33" i="36"/>
  <c r="F33" i="36"/>
  <c r="G33" i="36"/>
  <c r="H33" i="36"/>
  <c r="I33" i="36"/>
  <c r="J33" i="36"/>
  <c r="C34" i="36"/>
  <c r="D34" i="36"/>
  <c r="E34" i="36"/>
  <c r="F34" i="36"/>
  <c r="G34" i="36"/>
  <c r="H34" i="36"/>
  <c r="I34" i="36"/>
  <c r="J34" i="36"/>
  <c r="C35" i="36"/>
  <c r="D35" i="36"/>
  <c r="E35" i="36"/>
  <c r="F35" i="36"/>
  <c r="G35" i="36"/>
  <c r="H35" i="36"/>
  <c r="I35" i="36"/>
  <c r="J35" i="36"/>
  <c r="C36" i="36"/>
  <c r="D36" i="36"/>
  <c r="E36" i="36"/>
  <c r="F36" i="36"/>
  <c r="G36" i="36"/>
  <c r="H36" i="36"/>
  <c r="I36" i="36"/>
  <c r="J36" i="36"/>
  <c r="C37" i="36"/>
  <c r="D37" i="36"/>
  <c r="E37" i="36"/>
  <c r="F37" i="36"/>
  <c r="G37" i="36"/>
  <c r="H37" i="36"/>
  <c r="I37" i="36"/>
  <c r="J37" i="36"/>
  <c r="C38" i="36"/>
  <c r="D38" i="36"/>
  <c r="E38" i="36"/>
  <c r="F38" i="36"/>
  <c r="G38" i="36"/>
  <c r="H38" i="36"/>
  <c r="I38" i="36"/>
  <c r="J38" i="36"/>
  <c r="C39" i="36"/>
  <c r="D39" i="36"/>
  <c r="E39" i="36"/>
  <c r="F39" i="36"/>
  <c r="G39" i="36"/>
  <c r="H39" i="36"/>
  <c r="I39" i="36"/>
  <c r="J39" i="36"/>
  <c r="C40" i="36"/>
  <c r="D40" i="36"/>
  <c r="E40" i="36"/>
  <c r="F40" i="36"/>
  <c r="G40" i="36"/>
  <c r="H40" i="36"/>
  <c r="I40" i="36"/>
  <c r="J40" i="36"/>
  <c r="C41" i="36"/>
  <c r="D41" i="36"/>
  <c r="E41" i="36"/>
  <c r="F41" i="36"/>
  <c r="G41" i="36"/>
  <c r="H41" i="36"/>
  <c r="I41" i="36"/>
  <c r="J41" i="36"/>
  <c r="C42" i="36"/>
  <c r="D42" i="36"/>
  <c r="E42" i="36"/>
  <c r="F42" i="36"/>
  <c r="G42" i="36"/>
  <c r="H42" i="36"/>
  <c r="I42" i="36"/>
  <c r="J42" i="36"/>
  <c r="C43" i="36"/>
  <c r="D43" i="36"/>
  <c r="E43" i="36"/>
  <c r="F43" i="36"/>
  <c r="G43" i="36"/>
  <c r="H43" i="36"/>
  <c r="I43" i="36"/>
  <c r="J43" i="36"/>
  <c r="C44" i="36"/>
  <c r="D44" i="36"/>
  <c r="E44" i="36"/>
  <c r="F44" i="36"/>
  <c r="G44" i="36"/>
  <c r="H44" i="36"/>
  <c r="I44" i="36"/>
  <c r="J44" i="36"/>
  <c r="C45" i="36"/>
  <c r="D45" i="36"/>
  <c r="E45" i="36"/>
  <c r="F45" i="36"/>
  <c r="G45" i="36"/>
  <c r="H45" i="36"/>
  <c r="I45" i="36"/>
  <c r="J45" i="36"/>
  <c r="C46" i="36"/>
  <c r="D46" i="36"/>
  <c r="E46" i="36"/>
  <c r="F46" i="36"/>
  <c r="G46" i="36"/>
  <c r="H46" i="36"/>
  <c r="I46" i="36"/>
  <c r="J46" i="36"/>
  <c r="C47" i="36"/>
  <c r="D47" i="36"/>
  <c r="E47" i="36"/>
  <c r="F47" i="36"/>
  <c r="G47" i="36"/>
  <c r="H47" i="36"/>
  <c r="I47" i="36"/>
  <c r="J47" i="36"/>
  <c r="C48" i="36"/>
  <c r="D48" i="36"/>
  <c r="E48" i="36"/>
  <c r="F48" i="36"/>
  <c r="G48" i="36"/>
  <c r="H48" i="36"/>
  <c r="I48" i="36"/>
  <c r="J48" i="36"/>
  <c r="C49" i="36"/>
  <c r="D49" i="36"/>
  <c r="E49" i="36"/>
  <c r="F49" i="36"/>
  <c r="G49" i="36"/>
  <c r="H49" i="36"/>
  <c r="I49" i="36"/>
  <c r="J49" i="36"/>
  <c r="C50" i="36"/>
  <c r="D50" i="36"/>
  <c r="E50" i="36"/>
  <c r="F50" i="36"/>
  <c r="G50" i="36"/>
  <c r="H50" i="36"/>
  <c r="I50" i="36"/>
  <c r="J50" i="36"/>
  <c r="C51" i="36"/>
  <c r="D51" i="36"/>
  <c r="E51" i="36"/>
  <c r="F51" i="36"/>
  <c r="G51" i="36"/>
  <c r="H51" i="36"/>
  <c r="I51" i="36"/>
  <c r="J51" i="36"/>
  <c r="C52" i="36"/>
  <c r="D52" i="36"/>
  <c r="E52" i="36"/>
  <c r="F52" i="36"/>
  <c r="G52" i="36"/>
  <c r="H52" i="36"/>
  <c r="I52" i="36"/>
  <c r="J52" i="36"/>
  <c r="C53" i="36"/>
  <c r="D53" i="36"/>
  <c r="E53" i="36"/>
  <c r="F53" i="36"/>
  <c r="G53" i="36"/>
  <c r="H53" i="36"/>
  <c r="I53" i="36"/>
  <c r="J53" i="36"/>
  <c r="C54" i="36"/>
  <c r="D54" i="36"/>
  <c r="E54" i="36"/>
  <c r="F54" i="36"/>
  <c r="G54" i="36"/>
  <c r="H54" i="36"/>
  <c r="I54" i="36"/>
  <c r="J54" i="36"/>
  <c r="C55" i="36"/>
  <c r="D55" i="36"/>
  <c r="E55" i="36"/>
  <c r="F55" i="36"/>
  <c r="G55" i="36"/>
  <c r="H55" i="36"/>
  <c r="I55" i="36"/>
  <c r="J55" i="36"/>
  <c r="C56" i="36"/>
  <c r="D56" i="36"/>
  <c r="E56" i="36"/>
  <c r="F56" i="36"/>
  <c r="G56" i="36"/>
  <c r="H56" i="36"/>
  <c r="I56" i="36"/>
  <c r="J56" i="36"/>
  <c r="C57" i="36"/>
  <c r="D57" i="36"/>
  <c r="E57" i="36"/>
  <c r="F57" i="36"/>
  <c r="G57" i="36"/>
  <c r="H57" i="36"/>
  <c r="I57" i="36"/>
  <c r="J57" i="36"/>
  <c r="C58" i="36"/>
  <c r="D58" i="36"/>
  <c r="E58" i="36"/>
  <c r="F58" i="36"/>
  <c r="G58" i="36"/>
  <c r="H58" i="36"/>
  <c r="I58" i="36"/>
  <c r="J58" i="36"/>
  <c r="C59" i="36"/>
  <c r="D59" i="36"/>
  <c r="E59" i="36"/>
  <c r="F59" i="36"/>
  <c r="G59" i="36"/>
  <c r="H59" i="36"/>
  <c r="I59" i="36"/>
  <c r="J59" i="36"/>
  <c r="C60" i="36"/>
  <c r="D60" i="36"/>
  <c r="E60" i="36"/>
  <c r="F60" i="36"/>
  <c r="G60" i="36"/>
  <c r="H60" i="36"/>
  <c r="I60" i="36"/>
  <c r="J60" i="36"/>
  <c r="C61" i="36"/>
  <c r="D61" i="36"/>
  <c r="E61" i="36"/>
  <c r="F61" i="36"/>
  <c r="G61" i="36"/>
  <c r="H61" i="36"/>
  <c r="I61" i="36"/>
  <c r="J61" i="36"/>
  <c r="C62" i="36"/>
  <c r="D62" i="36"/>
  <c r="E62" i="36"/>
  <c r="F62" i="36"/>
  <c r="G62" i="36"/>
  <c r="H62" i="36"/>
  <c r="I62" i="36"/>
  <c r="J62" i="36"/>
  <c r="K8" i="36"/>
  <c r="K9" i="36"/>
  <c r="K10" i="36"/>
  <c r="K11" i="36"/>
  <c r="K12" i="36"/>
  <c r="K13" i="36"/>
  <c r="K14" i="36"/>
  <c r="K15" i="36"/>
  <c r="K16" i="36"/>
  <c r="K17" i="36"/>
  <c r="K18" i="36"/>
  <c r="K19" i="36"/>
  <c r="K20" i="36"/>
  <c r="K21" i="36"/>
  <c r="K22" i="36"/>
  <c r="K23" i="36"/>
  <c r="K24" i="36"/>
  <c r="K25" i="36"/>
  <c r="K26" i="36"/>
  <c r="K27" i="36"/>
  <c r="K28" i="36"/>
  <c r="K29" i="36"/>
  <c r="K30" i="36"/>
  <c r="K31" i="36"/>
  <c r="K32" i="36"/>
  <c r="K33" i="36"/>
  <c r="K34" i="36"/>
  <c r="K35" i="36"/>
  <c r="K36" i="36"/>
  <c r="K37" i="36"/>
  <c r="K38" i="36"/>
  <c r="K39" i="36"/>
  <c r="K40" i="36"/>
  <c r="K41" i="36"/>
  <c r="K42" i="36"/>
  <c r="K43" i="36"/>
  <c r="K44" i="36"/>
  <c r="K45" i="36"/>
  <c r="K46" i="36"/>
  <c r="K47" i="36"/>
  <c r="K48" i="36"/>
  <c r="K49" i="36"/>
  <c r="K50" i="36"/>
  <c r="K51" i="36"/>
  <c r="K52" i="36"/>
  <c r="K53" i="36"/>
  <c r="K54" i="36"/>
  <c r="K55" i="36"/>
  <c r="K56" i="36"/>
  <c r="K57" i="36"/>
  <c r="K58" i="36"/>
  <c r="K59" i="36"/>
  <c r="K60" i="36"/>
  <c r="K61" i="36"/>
  <c r="K62" i="36"/>
  <c r="K7" i="36"/>
  <c r="C3" i="41" a="1"/>
  <c r="C3" i="41" s="1"/>
  <c r="D3" i="41" a="1"/>
  <c r="D3" i="41" s="1"/>
  <c r="E3" i="41" a="1"/>
  <c r="E3" i="41" s="1"/>
  <c r="F3" i="41" a="1"/>
  <c r="F3" i="41" s="1"/>
  <c r="G3" i="41" a="1"/>
  <c r="G3" i="41" s="1"/>
  <c r="H3" i="41" a="1"/>
  <c r="H3" i="41" s="1"/>
  <c r="I3" i="41" a="1"/>
  <c r="I3" i="41" s="1"/>
  <c r="J3" i="41" a="1"/>
  <c r="J3" i="41" s="1"/>
  <c r="K3" i="41" a="1"/>
  <c r="K3" i="41" s="1"/>
  <c r="L3" i="41" a="1"/>
  <c r="L3" i="41" s="1"/>
  <c r="M3" i="41" a="1"/>
  <c r="M3" i="41" s="1"/>
  <c r="N3" i="41" a="1"/>
  <c r="N3" i="41" s="1"/>
  <c r="O3" i="41" a="1"/>
  <c r="O3" i="41" s="1"/>
  <c r="P3" i="41" a="1"/>
  <c r="P3" i="41" s="1"/>
  <c r="Q3" i="41" a="1"/>
  <c r="Q3" i="41" s="1"/>
  <c r="R3" i="41" a="1"/>
  <c r="R3" i="41" s="1"/>
  <c r="S3" i="41" a="1"/>
  <c r="S3" i="41" s="1"/>
  <c r="T3" i="41" a="1"/>
  <c r="T3" i="41" s="1"/>
  <c r="U3" i="41" a="1"/>
  <c r="U3" i="41" s="1"/>
  <c r="V3" i="41" a="1"/>
  <c r="V3" i="41" s="1"/>
  <c r="W3" i="41" a="1"/>
  <c r="W3" i="41" s="1"/>
  <c r="X3" i="41" a="1"/>
  <c r="X3" i="41" s="1"/>
  <c r="Y3" i="41" a="1"/>
  <c r="Y3" i="41" s="1"/>
  <c r="Z3" i="41" a="1"/>
  <c r="Z3" i="41" s="1"/>
  <c r="AA3" i="41" a="1"/>
  <c r="AA3" i="41" s="1"/>
  <c r="C4" i="41" a="1"/>
  <c r="C4" i="41" s="1"/>
  <c r="D4" i="41" a="1"/>
  <c r="D4" i="41" s="1"/>
  <c r="E4" i="41" a="1"/>
  <c r="E4" i="41" s="1"/>
  <c r="F4" i="41" a="1"/>
  <c r="F4" i="41" s="1"/>
  <c r="G4" i="41" a="1"/>
  <c r="G4" i="41" s="1"/>
  <c r="H4" i="41" a="1"/>
  <c r="H4" i="41" s="1"/>
  <c r="I4" i="41" a="1"/>
  <c r="I4" i="41" s="1"/>
  <c r="J4" i="41" a="1"/>
  <c r="J4" i="41" s="1"/>
  <c r="K4" i="41" a="1"/>
  <c r="K4" i="41" s="1"/>
  <c r="L4" i="41" a="1"/>
  <c r="L4" i="41" s="1"/>
  <c r="M4" i="41" a="1"/>
  <c r="M4" i="41" s="1"/>
  <c r="N4" i="41" a="1"/>
  <c r="N4" i="41" s="1"/>
  <c r="O4" i="41" a="1"/>
  <c r="O4" i="41" s="1"/>
  <c r="P4" i="41" a="1"/>
  <c r="P4" i="41" s="1"/>
  <c r="Q4" i="41" a="1"/>
  <c r="Q4" i="41" s="1"/>
  <c r="R4" i="41" a="1"/>
  <c r="R4" i="41" s="1"/>
  <c r="S4" i="41" a="1"/>
  <c r="S4" i="41" s="1"/>
  <c r="T4" i="41" a="1"/>
  <c r="T4" i="41" s="1"/>
  <c r="U4" i="41" a="1"/>
  <c r="U4" i="41" s="1"/>
  <c r="V4" i="41" a="1"/>
  <c r="V4" i="41" s="1"/>
  <c r="W4" i="41" a="1"/>
  <c r="W4" i="41" s="1"/>
  <c r="X4" i="41" a="1"/>
  <c r="X4" i="41" s="1"/>
  <c r="Y4" i="41" a="1"/>
  <c r="Y4" i="41" s="1"/>
  <c r="Z4" i="41" a="1"/>
  <c r="Z4" i="41" s="1"/>
  <c r="AA4" i="41" a="1"/>
  <c r="AA4" i="41" s="1"/>
  <c r="C5" i="41" a="1"/>
  <c r="C5" i="41" s="1"/>
  <c r="D5" i="41" a="1"/>
  <c r="D5" i="41" s="1"/>
  <c r="E5" i="41" a="1"/>
  <c r="E5" i="41" s="1"/>
  <c r="F5" i="41" a="1"/>
  <c r="F5" i="41" s="1"/>
  <c r="G5" i="41" a="1"/>
  <c r="G5" i="41" s="1"/>
  <c r="H5" i="41" a="1"/>
  <c r="H5" i="41" s="1"/>
  <c r="I5" i="41" a="1"/>
  <c r="I5" i="41" s="1"/>
  <c r="J5" i="41" a="1"/>
  <c r="J5" i="41" s="1"/>
  <c r="K5" i="41" a="1"/>
  <c r="K5" i="41" s="1"/>
  <c r="L5" i="41" a="1"/>
  <c r="L5" i="41" s="1"/>
  <c r="M5" i="41" a="1"/>
  <c r="M5" i="41" s="1"/>
  <c r="N5" i="41" a="1"/>
  <c r="N5" i="41" s="1"/>
  <c r="O5" i="41" a="1"/>
  <c r="O5" i="41" s="1"/>
  <c r="P5" i="41" a="1"/>
  <c r="P5" i="41" s="1"/>
  <c r="Q5" i="41" a="1"/>
  <c r="Q5" i="41" s="1"/>
  <c r="R5" i="41" a="1"/>
  <c r="R5" i="41" s="1"/>
  <c r="S5" i="41" a="1"/>
  <c r="S5" i="41" s="1"/>
  <c r="T5" i="41" a="1"/>
  <c r="T5" i="41" s="1"/>
  <c r="U5" i="41" a="1"/>
  <c r="U5" i="41" s="1"/>
  <c r="V5" i="41" a="1"/>
  <c r="V5" i="41" s="1"/>
  <c r="W5" i="41" a="1"/>
  <c r="W5" i="41" s="1"/>
  <c r="X5" i="41" a="1"/>
  <c r="X5" i="41" s="1"/>
  <c r="Y5" i="41" a="1"/>
  <c r="Y5" i="41" s="1"/>
  <c r="Z5" i="41" a="1"/>
  <c r="Z5" i="41" s="1"/>
  <c r="AA5" i="41" a="1"/>
  <c r="AA5" i="41" s="1"/>
  <c r="C6" i="41" a="1"/>
  <c r="C6" i="41" s="1"/>
  <c r="D6" i="41" a="1"/>
  <c r="D6" i="41" s="1"/>
  <c r="E6" i="41" a="1"/>
  <c r="E6" i="41" s="1"/>
  <c r="F6" i="41" a="1"/>
  <c r="F6" i="41" s="1"/>
  <c r="G6" i="41" a="1"/>
  <c r="G6" i="41" s="1"/>
  <c r="H6" i="41" a="1"/>
  <c r="H6" i="41" s="1"/>
  <c r="I6" i="41" a="1"/>
  <c r="I6" i="41" s="1"/>
  <c r="J6" i="41" a="1"/>
  <c r="J6" i="41" s="1"/>
  <c r="K6" i="41" a="1"/>
  <c r="K6" i="41" s="1"/>
  <c r="L6" i="41" a="1"/>
  <c r="L6" i="41" s="1"/>
  <c r="M6" i="41" a="1"/>
  <c r="M6" i="41" s="1"/>
  <c r="N6" i="41" a="1"/>
  <c r="N6" i="41" s="1"/>
  <c r="O6" i="41" a="1"/>
  <c r="O6" i="41" s="1"/>
  <c r="P6" i="41" a="1"/>
  <c r="P6" i="41" s="1"/>
  <c r="Q6" i="41" a="1"/>
  <c r="Q6" i="41" s="1"/>
  <c r="R6" i="41" a="1"/>
  <c r="R6" i="41" s="1"/>
  <c r="S6" i="41" a="1"/>
  <c r="S6" i="41" s="1"/>
  <c r="T6" i="41" a="1"/>
  <c r="T6" i="41" s="1"/>
  <c r="U6" i="41" a="1"/>
  <c r="U6" i="41" s="1"/>
  <c r="V6" i="41" a="1"/>
  <c r="V6" i="41" s="1"/>
  <c r="W6" i="41" a="1"/>
  <c r="W6" i="41" s="1"/>
  <c r="X6" i="41" a="1"/>
  <c r="X6" i="41" s="1"/>
  <c r="Y6" i="41" a="1"/>
  <c r="Y6" i="41" s="1"/>
  <c r="Z6" i="41" a="1"/>
  <c r="Z6" i="41" s="1"/>
  <c r="AA6" i="41" a="1"/>
  <c r="AA6" i="41" s="1"/>
  <c r="C7" i="41" a="1"/>
  <c r="C7" i="41" s="1"/>
  <c r="D7" i="41" a="1"/>
  <c r="D7" i="41" s="1"/>
  <c r="E7" i="41" a="1"/>
  <c r="E7" i="41" s="1"/>
  <c r="F7" i="41" a="1"/>
  <c r="F7" i="41" s="1"/>
  <c r="G7" i="41" a="1"/>
  <c r="G7" i="41" s="1"/>
  <c r="H7" i="41" a="1"/>
  <c r="H7" i="41" s="1"/>
  <c r="I7" i="41" a="1"/>
  <c r="I7" i="41" s="1"/>
  <c r="J7" i="41" a="1"/>
  <c r="J7" i="41" s="1"/>
  <c r="K7" i="41" a="1"/>
  <c r="K7" i="41" s="1"/>
  <c r="L7" i="41" a="1"/>
  <c r="L7" i="41" s="1"/>
  <c r="M7" i="41" a="1"/>
  <c r="M7" i="41" s="1"/>
  <c r="N7" i="41" a="1"/>
  <c r="N7" i="41" s="1"/>
  <c r="O7" i="41" a="1"/>
  <c r="O7" i="41" s="1"/>
  <c r="P7" i="41" a="1"/>
  <c r="P7" i="41" s="1"/>
  <c r="Q7" i="41" a="1"/>
  <c r="Q7" i="41" s="1"/>
  <c r="R7" i="41" a="1"/>
  <c r="R7" i="41" s="1"/>
  <c r="S7" i="41" a="1"/>
  <c r="S7" i="41" s="1"/>
  <c r="T7" i="41" a="1"/>
  <c r="T7" i="41" s="1"/>
  <c r="U7" i="41" a="1"/>
  <c r="U7" i="41" s="1"/>
  <c r="V7" i="41" a="1"/>
  <c r="V7" i="41" s="1"/>
  <c r="W7" i="41" a="1"/>
  <c r="W7" i="41" s="1"/>
  <c r="X7" i="41" a="1"/>
  <c r="X7" i="41" s="1"/>
  <c r="Y7" i="41" a="1"/>
  <c r="Y7" i="41" s="1"/>
  <c r="Z7" i="41" a="1"/>
  <c r="Z7" i="41" s="1"/>
  <c r="AA7" i="41" a="1"/>
  <c r="AA7" i="41" s="1"/>
  <c r="C8" i="41" a="1"/>
  <c r="C8" i="41" s="1"/>
  <c r="D8" i="41" a="1"/>
  <c r="D8" i="41" s="1"/>
  <c r="E8" i="41" a="1"/>
  <c r="E8" i="41" s="1"/>
  <c r="F8" i="41" a="1"/>
  <c r="F8" i="41" s="1"/>
  <c r="G8" i="41" a="1"/>
  <c r="G8" i="41" s="1"/>
  <c r="H8" i="41" a="1"/>
  <c r="H8" i="41" s="1"/>
  <c r="I8" i="41" a="1"/>
  <c r="I8" i="41" s="1"/>
  <c r="J8" i="41" a="1"/>
  <c r="J8" i="41" s="1"/>
  <c r="K8" i="41" a="1"/>
  <c r="K8" i="41" s="1"/>
  <c r="L8" i="41" a="1"/>
  <c r="L8" i="41" s="1"/>
  <c r="M8" i="41" a="1"/>
  <c r="M8" i="41" s="1"/>
  <c r="N8" i="41" a="1"/>
  <c r="N8" i="41" s="1"/>
  <c r="O8" i="41" a="1"/>
  <c r="O8" i="41" s="1"/>
  <c r="P8" i="41" a="1"/>
  <c r="P8" i="41" s="1"/>
  <c r="Q8" i="41" a="1"/>
  <c r="Q8" i="41" s="1"/>
  <c r="R8" i="41" a="1"/>
  <c r="R8" i="41" s="1"/>
  <c r="S8" i="41" a="1"/>
  <c r="S8" i="41" s="1"/>
  <c r="T8" i="41" a="1"/>
  <c r="T8" i="41" s="1"/>
  <c r="U8" i="41" a="1"/>
  <c r="U8" i="41" s="1"/>
  <c r="V8" i="41" a="1"/>
  <c r="V8" i="41" s="1"/>
  <c r="W8" i="41" a="1"/>
  <c r="W8" i="41" s="1"/>
  <c r="X8" i="41" a="1"/>
  <c r="X8" i="41" s="1"/>
  <c r="Y8" i="41" a="1"/>
  <c r="Y8" i="41" s="1"/>
  <c r="Z8" i="41" a="1"/>
  <c r="Z8" i="41" s="1"/>
  <c r="AA8" i="41" a="1"/>
  <c r="AA8" i="41" s="1"/>
  <c r="C9" i="41" a="1"/>
  <c r="C9" i="41" s="1"/>
  <c r="D9" i="41" a="1"/>
  <c r="D9" i="41" s="1"/>
  <c r="E9" i="41" a="1"/>
  <c r="E9" i="41" s="1"/>
  <c r="F9" i="41" a="1"/>
  <c r="F9" i="41" s="1"/>
  <c r="G9" i="41" a="1"/>
  <c r="G9" i="41" s="1"/>
  <c r="H9" i="41" a="1"/>
  <c r="H9" i="41" s="1"/>
  <c r="I9" i="41" a="1"/>
  <c r="I9" i="41" s="1"/>
  <c r="J9" i="41" a="1"/>
  <c r="J9" i="41" s="1"/>
  <c r="K9" i="41" a="1"/>
  <c r="K9" i="41" s="1"/>
  <c r="L9" i="41" a="1"/>
  <c r="L9" i="41" s="1"/>
  <c r="M9" i="41" a="1"/>
  <c r="M9" i="41" s="1"/>
  <c r="N9" i="41" a="1"/>
  <c r="N9" i="41" s="1"/>
  <c r="O9" i="41" a="1"/>
  <c r="O9" i="41" s="1"/>
  <c r="P9" i="41" a="1"/>
  <c r="P9" i="41" s="1"/>
  <c r="Q9" i="41" a="1"/>
  <c r="Q9" i="41" s="1"/>
  <c r="R9" i="41" a="1"/>
  <c r="R9" i="41" s="1"/>
  <c r="S9" i="41" a="1"/>
  <c r="S9" i="41" s="1"/>
  <c r="T9" i="41" a="1"/>
  <c r="T9" i="41" s="1"/>
  <c r="U9" i="41" a="1"/>
  <c r="U9" i="41" s="1"/>
  <c r="V9" i="41" a="1"/>
  <c r="V9" i="41" s="1"/>
  <c r="W9" i="41" a="1"/>
  <c r="W9" i="41" s="1"/>
  <c r="X9" i="41" a="1"/>
  <c r="X9" i="41" s="1"/>
  <c r="Y9" i="41" a="1"/>
  <c r="Y9" i="41" s="1"/>
  <c r="Z9" i="41" a="1"/>
  <c r="Z9" i="41" s="1"/>
  <c r="AA9" i="41" a="1"/>
  <c r="AA9" i="41" s="1"/>
  <c r="C10" i="41" a="1"/>
  <c r="C10" i="41" s="1"/>
  <c r="D10" i="41" a="1"/>
  <c r="D10" i="41" s="1"/>
  <c r="E10" i="41" a="1"/>
  <c r="E10" i="41" s="1"/>
  <c r="F10" i="41" a="1"/>
  <c r="F10" i="41" s="1"/>
  <c r="G10" i="41" a="1"/>
  <c r="G10" i="41" s="1"/>
  <c r="H10" i="41" a="1"/>
  <c r="H10" i="41" s="1"/>
  <c r="I10" i="41" a="1"/>
  <c r="I10" i="41" s="1"/>
  <c r="J10" i="41" a="1"/>
  <c r="J10" i="41" s="1"/>
  <c r="K10" i="41" a="1"/>
  <c r="K10" i="41" s="1"/>
  <c r="L10" i="41" a="1"/>
  <c r="L10" i="41" s="1"/>
  <c r="M10" i="41" a="1"/>
  <c r="M10" i="41" s="1"/>
  <c r="N10" i="41" a="1"/>
  <c r="N10" i="41" s="1"/>
  <c r="O10" i="41" a="1"/>
  <c r="O10" i="41" s="1"/>
  <c r="P10" i="41" a="1"/>
  <c r="P10" i="41" s="1"/>
  <c r="Q10" i="41" a="1"/>
  <c r="Q10" i="41" s="1"/>
  <c r="R10" i="41" a="1"/>
  <c r="R10" i="41" s="1"/>
  <c r="S10" i="41" a="1"/>
  <c r="S10" i="41" s="1"/>
  <c r="T10" i="41" a="1"/>
  <c r="T10" i="41" s="1"/>
  <c r="U10" i="41" a="1"/>
  <c r="U10" i="41" s="1"/>
  <c r="V10" i="41" a="1"/>
  <c r="V10" i="41" s="1"/>
  <c r="W10" i="41" a="1"/>
  <c r="W10" i="41" s="1"/>
  <c r="X10" i="41" a="1"/>
  <c r="X10" i="41" s="1"/>
  <c r="Y10" i="41" a="1"/>
  <c r="Y10" i="41" s="1"/>
  <c r="Z10" i="41" a="1"/>
  <c r="Z10" i="41" s="1"/>
  <c r="AA10" i="41" a="1"/>
  <c r="AA10" i="41" s="1"/>
  <c r="C11" i="41" a="1"/>
  <c r="C11" i="41" s="1"/>
  <c r="D11" i="41" a="1"/>
  <c r="D11" i="41" s="1"/>
  <c r="E11" i="41" a="1"/>
  <c r="E11" i="41" s="1"/>
  <c r="F11" i="41" a="1"/>
  <c r="F11" i="41" s="1"/>
  <c r="G11" i="41" a="1"/>
  <c r="G11" i="41" s="1"/>
  <c r="H11" i="41" a="1"/>
  <c r="H11" i="41" s="1"/>
  <c r="I11" i="41" a="1"/>
  <c r="I11" i="41" s="1"/>
  <c r="J11" i="41" a="1"/>
  <c r="J11" i="41" s="1"/>
  <c r="K11" i="41" a="1"/>
  <c r="K11" i="41" s="1"/>
  <c r="L11" i="41" a="1"/>
  <c r="L11" i="41" s="1"/>
  <c r="M11" i="41" a="1"/>
  <c r="M11" i="41" s="1"/>
  <c r="N11" i="41" a="1"/>
  <c r="N11" i="41" s="1"/>
  <c r="O11" i="41" a="1"/>
  <c r="O11" i="41" s="1"/>
  <c r="P11" i="41" a="1"/>
  <c r="P11" i="41" s="1"/>
  <c r="Q11" i="41" a="1"/>
  <c r="Q11" i="41" s="1"/>
  <c r="R11" i="41" a="1"/>
  <c r="R11" i="41" s="1"/>
  <c r="S11" i="41" a="1"/>
  <c r="S11" i="41" s="1"/>
  <c r="T11" i="41" a="1"/>
  <c r="T11" i="41" s="1"/>
  <c r="U11" i="41" a="1"/>
  <c r="U11" i="41" s="1"/>
  <c r="V11" i="41" a="1"/>
  <c r="V11" i="41" s="1"/>
  <c r="W11" i="41" a="1"/>
  <c r="W11" i="41" s="1"/>
  <c r="X11" i="41" a="1"/>
  <c r="X11" i="41" s="1"/>
  <c r="Y11" i="41" a="1"/>
  <c r="Y11" i="41" s="1"/>
  <c r="Z11" i="41" a="1"/>
  <c r="Z11" i="41" s="1"/>
  <c r="AA11" i="41" a="1"/>
  <c r="AA11" i="41" s="1"/>
  <c r="C12" i="41" a="1"/>
  <c r="C12" i="41" s="1"/>
  <c r="D12" i="41" a="1"/>
  <c r="D12" i="41" s="1"/>
  <c r="E12" i="41" a="1"/>
  <c r="E12" i="41" s="1"/>
  <c r="F12" i="41" a="1"/>
  <c r="F12" i="41" s="1"/>
  <c r="G12" i="41" a="1"/>
  <c r="G12" i="41" s="1"/>
  <c r="H12" i="41" a="1"/>
  <c r="H12" i="41" s="1"/>
  <c r="I12" i="41" a="1"/>
  <c r="I12" i="41" s="1"/>
  <c r="J12" i="41" a="1"/>
  <c r="J12" i="41" s="1"/>
  <c r="K12" i="41" a="1"/>
  <c r="K12" i="41" s="1"/>
  <c r="L12" i="41" a="1"/>
  <c r="L12" i="41" s="1"/>
  <c r="M12" i="41" a="1"/>
  <c r="M12" i="41" s="1"/>
  <c r="N12" i="41" a="1"/>
  <c r="N12" i="41" s="1"/>
  <c r="O12" i="41" a="1"/>
  <c r="O12" i="41" s="1"/>
  <c r="P12" i="41" a="1"/>
  <c r="P12" i="41" s="1"/>
  <c r="Q12" i="41" a="1"/>
  <c r="Q12" i="41" s="1"/>
  <c r="R12" i="41" a="1"/>
  <c r="R12" i="41" s="1"/>
  <c r="S12" i="41" a="1"/>
  <c r="S12" i="41" s="1"/>
  <c r="T12" i="41" a="1"/>
  <c r="T12" i="41" s="1"/>
  <c r="U12" i="41" a="1"/>
  <c r="U12" i="41" s="1"/>
  <c r="V12" i="41" a="1"/>
  <c r="V12" i="41" s="1"/>
  <c r="W12" i="41" a="1"/>
  <c r="W12" i="41" s="1"/>
  <c r="X12" i="41" a="1"/>
  <c r="X12" i="41" s="1"/>
  <c r="Y12" i="41" a="1"/>
  <c r="Y12" i="41" s="1"/>
  <c r="Z12" i="41" a="1"/>
  <c r="Z12" i="41" s="1"/>
  <c r="AA12" i="41" a="1"/>
  <c r="AA12" i="41" s="1"/>
  <c r="C13" i="41" a="1"/>
  <c r="C13" i="41" s="1"/>
  <c r="D13" i="41" a="1"/>
  <c r="D13" i="41" s="1"/>
  <c r="E13" i="41" a="1"/>
  <c r="E13" i="41" s="1"/>
  <c r="F13" i="41" a="1"/>
  <c r="F13" i="41" s="1"/>
  <c r="G13" i="41" a="1"/>
  <c r="G13" i="41" s="1"/>
  <c r="H13" i="41" a="1"/>
  <c r="H13" i="41" s="1"/>
  <c r="I13" i="41" a="1"/>
  <c r="I13" i="41" s="1"/>
  <c r="J13" i="41" a="1"/>
  <c r="J13" i="41" s="1"/>
  <c r="K13" i="41" a="1"/>
  <c r="K13" i="41" s="1"/>
  <c r="L13" i="41" a="1"/>
  <c r="L13" i="41" s="1"/>
  <c r="M13" i="41" a="1"/>
  <c r="M13" i="41" s="1"/>
  <c r="N13" i="41" a="1"/>
  <c r="N13" i="41" s="1"/>
  <c r="O13" i="41" a="1"/>
  <c r="O13" i="41" s="1"/>
  <c r="P13" i="41" a="1"/>
  <c r="P13" i="41" s="1"/>
  <c r="Q13" i="41" a="1"/>
  <c r="Q13" i="41" s="1"/>
  <c r="R13" i="41" a="1"/>
  <c r="R13" i="41" s="1"/>
  <c r="S13" i="41" a="1"/>
  <c r="S13" i="41" s="1"/>
  <c r="T13" i="41" a="1"/>
  <c r="T13" i="41" s="1"/>
  <c r="U13" i="41" a="1"/>
  <c r="U13" i="41" s="1"/>
  <c r="V13" i="41" a="1"/>
  <c r="V13" i="41" s="1"/>
  <c r="W13" i="41" a="1"/>
  <c r="W13" i="41" s="1"/>
  <c r="X13" i="41" a="1"/>
  <c r="X13" i="41" s="1"/>
  <c r="Y13" i="41" a="1"/>
  <c r="Y13" i="41" s="1"/>
  <c r="Z13" i="41" a="1"/>
  <c r="Z13" i="41" s="1"/>
  <c r="AA13" i="41" a="1"/>
  <c r="AA13" i="41" s="1"/>
  <c r="C14" i="41" a="1"/>
  <c r="C14" i="41" s="1"/>
  <c r="D14" i="41" a="1"/>
  <c r="D14" i="41" s="1"/>
  <c r="E14" i="41" a="1"/>
  <c r="E14" i="41" s="1"/>
  <c r="F14" i="41" a="1"/>
  <c r="F14" i="41" s="1"/>
  <c r="G14" i="41" a="1"/>
  <c r="G14" i="41" s="1"/>
  <c r="H14" i="41" a="1"/>
  <c r="H14" i="41" s="1"/>
  <c r="I14" i="41" a="1"/>
  <c r="I14" i="41" s="1"/>
  <c r="J14" i="41" a="1"/>
  <c r="J14" i="41" s="1"/>
  <c r="K14" i="41" a="1"/>
  <c r="K14" i="41" s="1"/>
  <c r="L14" i="41" a="1"/>
  <c r="L14" i="41" s="1"/>
  <c r="M14" i="41" a="1"/>
  <c r="M14" i="41" s="1"/>
  <c r="N14" i="41" a="1"/>
  <c r="N14" i="41" s="1"/>
  <c r="O14" i="41" a="1"/>
  <c r="O14" i="41" s="1"/>
  <c r="P14" i="41" a="1"/>
  <c r="P14" i="41" s="1"/>
  <c r="Q14" i="41" a="1"/>
  <c r="Q14" i="41" s="1"/>
  <c r="R14" i="41" a="1"/>
  <c r="R14" i="41" s="1"/>
  <c r="S14" i="41" a="1"/>
  <c r="S14" i="41" s="1"/>
  <c r="T14" i="41" a="1"/>
  <c r="T14" i="41" s="1"/>
  <c r="U14" i="41" a="1"/>
  <c r="U14" i="41" s="1"/>
  <c r="V14" i="41" a="1"/>
  <c r="V14" i="41" s="1"/>
  <c r="W14" i="41" a="1"/>
  <c r="W14" i="41" s="1"/>
  <c r="X14" i="41" a="1"/>
  <c r="X14" i="41" s="1"/>
  <c r="Y14" i="41" a="1"/>
  <c r="Y14" i="41" s="1"/>
  <c r="Z14" i="41" a="1"/>
  <c r="Z14" i="41" s="1"/>
  <c r="AA14" i="41" a="1"/>
  <c r="AA14" i="41" s="1"/>
  <c r="C15" i="41" a="1"/>
  <c r="C15" i="41" s="1"/>
  <c r="D15" i="41" a="1"/>
  <c r="D15" i="41" s="1"/>
  <c r="E15" i="41" a="1"/>
  <c r="E15" i="41" s="1"/>
  <c r="F15" i="41" a="1"/>
  <c r="F15" i="41" s="1"/>
  <c r="G15" i="41" a="1"/>
  <c r="G15" i="41" s="1"/>
  <c r="H15" i="41" a="1"/>
  <c r="H15" i="41" s="1"/>
  <c r="I15" i="41" a="1"/>
  <c r="I15" i="41" s="1"/>
  <c r="J15" i="41" a="1"/>
  <c r="J15" i="41" s="1"/>
  <c r="K15" i="41" a="1"/>
  <c r="K15" i="41" s="1"/>
  <c r="L15" i="41" a="1"/>
  <c r="L15" i="41" s="1"/>
  <c r="M15" i="41" a="1"/>
  <c r="M15" i="41" s="1"/>
  <c r="N15" i="41" a="1"/>
  <c r="N15" i="41" s="1"/>
  <c r="O15" i="41" a="1"/>
  <c r="O15" i="41" s="1"/>
  <c r="P15" i="41" a="1"/>
  <c r="P15" i="41" s="1"/>
  <c r="Q15" i="41" a="1"/>
  <c r="Q15" i="41" s="1"/>
  <c r="R15" i="41" a="1"/>
  <c r="R15" i="41" s="1"/>
  <c r="S15" i="41" a="1"/>
  <c r="S15" i="41" s="1"/>
  <c r="T15" i="41" a="1"/>
  <c r="T15" i="41" s="1"/>
  <c r="U15" i="41" a="1"/>
  <c r="U15" i="41" s="1"/>
  <c r="V15" i="41" a="1"/>
  <c r="V15" i="41" s="1"/>
  <c r="W15" i="41" a="1"/>
  <c r="W15" i="41" s="1"/>
  <c r="X15" i="41" a="1"/>
  <c r="X15" i="41" s="1"/>
  <c r="Y15" i="41" a="1"/>
  <c r="Y15" i="41" s="1"/>
  <c r="Z15" i="41" a="1"/>
  <c r="Z15" i="41" s="1"/>
  <c r="AA15" i="41" a="1"/>
  <c r="AA15" i="41" s="1"/>
  <c r="C16" i="41" a="1"/>
  <c r="C16" i="41" s="1"/>
  <c r="D16" i="41" a="1"/>
  <c r="D16" i="41" s="1"/>
  <c r="E16" i="41" a="1"/>
  <c r="E16" i="41" s="1"/>
  <c r="F16" i="41" a="1"/>
  <c r="F16" i="41" s="1"/>
  <c r="G16" i="41" a="1"/>
  <c r="G16" i="41" s="1"/>
  <c r="H16" i="41" a="1"/>
  <c r="H16" i="41" s="1"/>
  <c r="I16" i="41" a="1"/>
  <c r="I16" i="41" s="1"/>
  <c r="J16" i="41" a="1"/>
  <c r="J16" i="41" s="1"/>
  <c r="K16" i="41" a="1"/>
  <c r="K16" i="41" s="1"/>
  <c r="L16" i="41" a="1"/>
  <c r="L16" i="41" s="1"/>
  <c r="M16" i="41" a="1"/>
  <c r="M16" i="41" s="1"/>
  <c r="N16" i="41" a="1"/>
  <c r="N16" i="41" s="1"/>
  <c r="O16" i="41" a="1"/>
  <c r="O16" i="41" s="1"/>
  <c r="P16" i="41" a="1"/>
  <c r="P16" i="41" s="1"/>
  <c r="Q16" i="41" a="1"/>
  <c r="Q16" i="41" s="1"/>
  <c r="R16" i="41" a="1"/>
  <c r="R16" i="41" s="1"/>
  <c r="S16" i="41" a="1"/>
  <c r="S16" i="41" s="1"/>
  <c r="T16" i="41" a="1"/>
  <c r="T16" i="41" s="1"/>
  <c r="U16" i="41" a="1"/>
  <c r="U16" i="41" s="1"/>
  <c r="V16" i="41" a="1"/>
  <c r="V16" i="41" s="1"/>
  <c r="W16" i="41" a="1"/>
  <c r="W16" i="41" s="1"/>
  <c r="X16" i="41" a="1"/>
  <c r="X16" i="41" s="1"/>
  <c r="Y16" i="41" a="1"/>
  <c r="Y16" i="41" s="1"/>
  <c r="Z16" i="41" a="1"/>
  <c r="Z16" i="41" s="1"/>
  <c r="AA16" i="41" a="1"/>
  <c r="AA16" i="41" s="1"/>
  <c r="C17" i="41" a="1"/>
  <c r="C17" i="41" s="1"/>
  <c r="D17" i="41" a="1"/>
  <c r="D17" i="41" s="1"/>
  <c r="E17" i="41" a="1"/>
  <c r="E17" i="41" s="1"/>
  <c r="F17" i="41" a="1"/>
  <c r="F17" i="41" s="1"/>
  <c r="G17" i="41" a="1"/>
  <c r="G17" i="41" s="1"/>
  <c r="H17" i="41" a="1"/>
  <c r="H17" i="41" s="1"/>
  <c r="I17" i="41" a="1"/>
  <c r="I17" i="41" s="1"/>
  <c r="J17" i="41" a="1"/>
  <c r="J17" i="41" s="1"/>
  <c r="K17" i="41" a="1"/>
  <c r="K17" i="41" s="1"/>
  <c r="L17" i="41" a="1"/>
  <c r="L17" i="41" s="1"/>
  <c r="M17" i="41" a="1"/>
  <c r="M17" i="41" s="1"/>
  <c r="N17" i="41" a="1"/>
  <c r="N17" i="41" s="1"/>
  <c r="O17" i="41" a="1"/>
  <c r="O17" i="41" s="1"/>
  <c r="P17" i="41" a="1"/>
  <c r="P17" i="41" s="1"/>
  <c r="Q17" i="41" a="1"/>
  <c r="Q17" i="41" s="1"/>
  <c r="R17" i="41" a="1"/>
  <c r="R17" i="41" s="1"/>
  <c r="S17" i="41" a="1"/>
  <c r="S17" i="41" s="1"/>
  <c r="T17" i="41" a="1"/>
  <c r="T17" i="41" s="1"/>
  <c r="U17" i="41" a="1"/>
  <c r="U17" i="41" s="1"/>
  <c r="V17" i="41" a="1"/>
  <c r="V17" i="41" s="1"/>
  <c r="W17" i="41" a="1"/>
  <c r="W17" i="41" s="1"/>
  <c r="X17" i="41" a="1"/>
  <c r="X17" i="41" s="1"/>
  <c r="Y17" i="41" a="1"/>
  <c r="Y17" i="41" s="1"/>
  <c r="Z17" i="41" a="1"/>
  <c r="Z17" i="41" s="1"/>
  <c r="AA17" i="41" a="1"/>
  <c r="AA17" i="41" s="1"/>
  <c r="C18" i="41" a="1"/>
  <c r="C18" i="41" s="1"/>
  <c r="D18" i="41" a="1"/>
  <c r="D18" i="41" s="1"/>
  <c r="E18" i="41" a="1"/>
  <c r="E18" i="41" s="1"/>
  <c r="F18" i="41" a="1"/>
  <c r="F18" i="41" s="1"/>
  <c r="G18" i="41" a="1"/>
  <c r="G18" i="41" s="1"/>
  <c r="H18" i="41" a="1"/>
  <c r="H18" i="41" s="1"/>
  <c r="I18" i="41" a="1"/>
  <c r="I18" i="41" s="1"/>
  <c r="J18" i="41" a="1"/>
  <c r="J18" i="41" s="1"/>
  <c r="K18" i="41" a="1"/>
  <c r="K18" i="41" s="1"/>
  <c r="L18" i="41" a="1"/>
  <c r="L18" i="41" s="1"/>
  <c r="M18" i="41" a="1"/>
  <c r="M18" i="41" s="1"/>
  <c r="N18" i="41" a="1"/>
  <c r="N18" i="41" s="1"/>
  <c r="O18" i="41" a="1"/>
  <c r="O18" i="41" s="1"/>
  <c r="P18" i="41" a="1"/>
  <c r="P18" i="41" s="1"/>
  <c r="Q18" i="41" a="1"/>
  <c r="Q18" i="41" s="1"/>
  <c r="R18" i="41" a="1"/>
  <c r="R18" i="41" s="1"/>
  <c r="S18" i="41" a="1"/>
  <c r="S18" i="41" s="1"/>
  <c r="T18" i="41" a="1"/>
  <c r="T18" i="41" s="1"/>
  <c r="U18" i="41" a="1"/>
  <c r="U18" i="41" s="1"/>
  <c r="V18" i="41" a="1"/>
  <c r="V18" i="41" s="1"/>
  <c r="W18" i="41" a="1"/>
  <c r="W18" i="41" s="1"/>
  <c r="X18" i="41" a="1"/>
  <c r="X18" i="41" s="1"/>
  <c r="Y18" i="41" a="1"/>
  <c r="Y18" i="41" s="1"/>
  <c r="Z18" i="41" a="1"/>
  <c r="Z18" i="41" s="1"/>
  <c r="AA18" i="41" a="1"/>
  <c r="AA18" i="41" s="1"/>
  <c r="B4" i="41" a="1"/>
  <c r="B4" i="41" s="1"/>
  <c r="B5" i="41" a="1"/>
  <c r="B5" i="41" s="1"/>
  <c r="B6" i="41" a="1"/>
  <c r="B6" i="41" s="1"/>
  <c r="B7" i="41" a="1"/>
  <c r="B7" i="41" s="1"/>
  <c r="B8" i="41" a="1"/>
  <c r="B8" i="41" s="1"/>
  <c r="B9" i="41" a="1"/>
  <c r="B9" i="41" s="1"/>
  <c r="B10" i="41" a="1"/>
  <c r="B10" i="41" s="1"/>
  <c r="B11" i="41" a="1"/>
  <c r="B11" i="41" s="1"/>
  <c r="B12" i="41" a="1"/>
  <c r="B12" i="41" s="1"/>
  <c r="B13" i="41" a="1"/>
  <c r="B13" i="41" s="1"/>
  <c r="B14" i="41" a="1"/>
  <c r="B14" i="41" s="1"/>
  <c r="B15" i="41" a="1"/>
  <c r="B15" i="41" s="1"/>
  <c r="B16" i="41" a="1"/>
  <c r="B16" i="41" s="1"/>
  <c r="B17" i="41" a="1"/>
  <c r="B17" i="41" s="1"/>
  <c r="B18" i="41" a="1"/>
  <c r="B18" i="41" s="1"/>
  <c r="B3" i="41" a="1"/>
  <c r="B3" i="41" s="1"/>
  <c r="Q13" i="43" l="1" a="1"/>
  <c r="Q13" i="43" s="1"/>
  <c r="Q14" i="43" s="1" a="1"/>
  <c r="Q14" i="43" s="1"/>
  <c r="Q15" i="43" s="1" a="1"/>
  <c r="Q15" i="43" s="1"/>
  <c r="Q16" i="43" s="1" a="1"/>
  <c r="Q16" i="43" s="1"/>
  <c r="Q17" i="43" s="1" a="1"/>
  <c r="Q17" i="43" s="1"/>
  <c r="Q18" i="43" s="1" a="1"/>
  <c r="Q18" i="43" s="1"/>
  <c r="Q19" i="43" s="1" a="1"/>
  <c r="Q19" i="43" s="1"/>
  <c r="Q20" i="43" s="1" a="1"/>
  <c r="Q20" i="43" s="1"/>
  <c r="Q21" i="43" s="1" a="1"/>
  <c r="Q21" i="43" s="1"/>
  <c r="Q22" i="43" s="1" a="1"/>
  <c r="Q22" i="43" s="1"/>
  <c r="Q23" i="43" s="1" a="1"/>
  <c r="Q23" i="43" s="1"/>
  <c r="Q24" i="43" s="1" a="1"/>
  <c r="Q24" i="43" s="1"/>
  <c r="Q25" i="43" s="1" a="1"/>
  <c r="Q25" i="43" s="1"/>
  <c r="Q26" i="43" s="1" a="1"/>
  <c r="Q26" i="43" s="1"/>
  <c r="Q27" i="43" s="1" a="1"/>
  <c r="Q27" i="43" s="1"/>
  <c r="C201" i="34"/>
  <c r="C200" i="34"/>
  <c r="C199" i="34"/>
  <c r="C198" i="34"/>
  <c r="C197" i="34"/>
  <c r="C196" i="34"/>
  <c r="C195" i="34"/>
  <c r="C194" i="34"/>
  <c r="C193" i="34"/>
  <c r="C192" i="34"/>
  <c r="C191" i="34"/>
  <c r="C190" i="34"/>
  <c r="C189" i="34"/>
  <c r="C188" i="34"/>
  <c r="C187" i="34"/>
  <c r="C186" i="34"/>
  <c r="C185" i="34"/>
  <c r="C184" i="34"/>
  <c r="C183" i="34"/>
  <c r="C182" i="34"/>
  <c r="C181" i="34"/>
  <c r="C180" i="34"/>
  <c r="C179" i="34"/>
  <c r="C178" i="34"/>
  <c r="C177" i="34"/>
  <c r="C176" i="34"/>
  <c r="C175" i="34"/>
  <c r="C174" i="34"/>
  <c r="C173" i="34"/>
  <c r="C172" i="34"/>
  <c r="C171" i="34"/>
  <c r="C170" i="34"/>
  <c r="C169" i="34"/>
  <c r="C168" i="34"/>
  <c r="C167" i="34"/>
  <c r="C166" i="34"/>
  <c r="C165" i="34"/>
  <c r="C164" i="34"/>
  <c r="C163" i="34"/>
  <c r="C162" i="34"/>
  <c r="C161" i="34"/>
  <c r="C160" i="34"/>
  <c r="C159" i="34"/>
  <c r="C158" i="34"/>
  <c r="C157" i="34"/>
  <c r="C156" i="34"/>
  <c r="C155" i="34"/>
  <c r="C154" i="34"/>
  <c r="C153" i="34"/>
  <c r="C152" i="34"/>
  <c r="C151" i="34"/>
  <c r="C150" i="34"/>
  <c r="C149" i="34"/>
  <c r="C148" i="34"/>
  <c r="C147" i="34"/>
  <c r="C146" i="34"/>
  <c r="C145" i="34"/>
  <c r="C144" i="34"/>
  <c r="C143" i="34"/>
  <c r="C142" i="34"/>
  <c r="C141" i="34"/>
  <c r="C140" i="34"/>
  <c r="C139" i="34"/>
  <c r="C138" i="34"/>
  <c r="C137" i="34"/>
  <c r="C136" i="34"/>
  <c r="C135" i="34"/>
  <c r="C134" i="34"/>
  <c r="C133" i="34"/>
  <c r="C132" i="34"/>
  <c r="C131" i="34"/>
  <c r="C130" i="34"/>
  <c r="C129" i="34"/>
  <c r="C128" i="34"/>
  <c r="C127" i="34"/>
  <c r="C126" i="34"/>
  <c r="C125" i="34"/>
  <c r="C124" i="34"/>
  <c r="C123" i="34"/>
  <c r="C122" i="34"/>
  <c r="C121" i="34"/>
  <c r="C120" i="34"/>
  <c r="C119" i="34"/>
  <c r="C118" i="34"/>
  <c r="C117" i="34"/>
  <c r="C116" i="34"/>
  <c r="C115" i="34"/>
  <c r="C114" i="34"/>
  <c r="C113" i="34"/>
  <c r="C112" i="34"/>
  <c r="C111" i="34"/>
  <c r="C110" i="34"/>
  <c r="C109" i="34"/>
  <c r="C108" i="34"/>
  <c r="C107" i="34"/>
  <c r="C106" i="34"/>
  <c r="C105" i="34"/>
  <c r="C104" i="34"/>
  <c r="C103" i="34"/>
  <c r="C102" i="34"/>
  <c r="C101" i="34"/>
  <c r="C100" i="34"/>
  <c r="C99" i="34"/>
  <c r="C98" i="34"/>
  <c r="C97" i="34"/>
  <c r="C96" i="34"/>
  <c r="C95" i="34"/>
  <c r="C94" i="34"/>
  <c r="C93" i="34"/>
  <c r="C92" i="34"/>
  <c r="C91" i="34"/>
  <c r="C90" i="34"/>
  <c r="C89" i="34"/>
  <c r="C88" i="34"/>
  <c r="C87" i="34"/>
  <c r="C86" i="34"/>
  <c r="C85" i="34"/>
  <c r="C84" i="34"/>
  <c r="C83" i="34"/>
  <c r="C82" i="34"/>
  <c r="C81" i="34"/>
  <c r="C80" i="34"/>
  <c r="C79" i="34"/>
  <c r="C78" i="34"/>
  <c r="C77" i="34"/>
  <c r="C76" i="34"/>
  <c r="C75" i="34"/>
  <c r="C74" i="34"/>
  <c r="C73" i="34"/>
  <c r="C72" i="34"/>
  <c r="C71" i="34"/>
  <c r="C70" i="34"/>
  <c r="C69" i="34"/>
  <c r="C68" i="34"/>
  <c r="C67" i="34"/>
  <c r="C66" i="34"/>
  <c r="C65" i="34"/>
  <c r="C64" i="34"/>
  <c r="C63" i="34"/>
  <c r="C62" i="34"/>
  <c r="C61" i="34"/>
  <c r="C60" i="34"/>
  <c r="C59" i="34"/>
  <c r="C58" i="34"/>
  <c r="C57" i="34"/>
  <c r="C56" i="34"/>
  <c r="C55" i="34"/>
  <c r="C54" i="34"/>
  <c r="C53" i="34"/>
  <c r="C52" i="34"/>
  <c r="C51" i="34"/>
  <c r="C50" i="34"/>
  <c r="C49" i="34"/>
  <c r="C48" i="34"/>
  <c r="C47" i="34"/>
  <c r="C46" i="34"/>
  <c r="C45" i="34"/>
  <c r="C44" i="34"/>
  <c r="C43" i="34"/>
  <c r="C42" i="34"/>
  <c r="C41" i="34"/>
  <c r="C40" i="34"/>
  <c r="C39" i="34"/>
  <c r="C38" i="34"/>
  <c r="C37" i="34"/>
  <c r="C36" i="34"/>
  <c r="C35" i="34"/>
  <c r="C34" i="34"/>
  <c r="C33" i="34"/>
  <c r="C32" i="34"/>
  <c r="C31" i="34"/>
  <c r="C30" i="34"/>
  <c r="C29" i="34"/>
  <c r="C28" i="34"/>
  <c r="C27" i="34"/>
  <c r="C26" i="34"/>
  <c r="C25" i="34"/>
  <c r="C24" i="34"/>
  <c r="C23" i="34"/>
  <c r="C22" i="34"/>
  <c r="C21" i="34"/>
  <c r="C20" i="34"/>
  <c r="C19" i="34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4" i="34"/>
  <c r="C3" i="34"/>
  <c r="C2" i="34"/>
  <c r="D2" i="33"/>
  <c r="C2" i="33"/>
  <c r="B2" i="33"/>
  <c r="V2" i="33"/>
  <c r="V3" i="33"/>
  <c r="V4" i="33"/>
  <c r="V5" i="33"/>
  <c r="V6" i="33"/>
  <c r="V7" i="33"/>
  <c r="V8" i="33"/>
  <c r="V9" i="33"/>
  <c r="V10" i="33"/>
  <c r="V11" i="33"/>
  <c r="V12" i="33"/>
  <c r="V13" i="33"/>
  <c r="V14" i="33"/>
  <c r="V15" i="33"/>
  <c r="V16" i="33"/>
  <c r="V17" i="33"/>
  <c r="V18" i="33"/>
  <c r="V19" i="33"/>
  <c r="V20" i="33"/>
  <c r="V21" i="33"/>
  <c r="V22" i="33"/>
  <c r="V23" i="33"/>
  <c r="V24" i="33"/>
  <c r="V25" i="33"/>
  <c r="V26" i="33"/>
  <c r="V27" i="33"/>
  <c r="U3" i="33"/>
  <c r="U4" i="33"/>
  <c r="U5" i="33"/>
  <c r="U6" i="33"/>
  <c r="U7" i="33"/>
  <c r="U8" i="33"/>
  <c r="U9" i="33"/>
  <c r="U10" i="33"/>
  <c r="U11" i="33"/>
  <c r="U12" i="33"/>
  <c r="U13" i="33"/>
  <c r="U14" i="33"/>
  <c r="U15" i="33"/>
  <c r="U16" i="33"/>
  <c r="U17" i="33"/>
  <c r="U18" i="33"/>
  <c r="U19" i="33"/>
  <c r="U20" i="33"/>
  <c r="U21" i="33"/>
  <c r="U22" i="33"/>
  <c r="U23" i="33"/>
  <c r="U24" i="33"/>
  <c r="U25" i="33"/>
  <c r="U26" i="33"/>
  <c r="U27" i="33"/>
  <c r="U2" i="33"/>
  <c r="T3" i="33"/>
  <c r="T4" i="33"/>
  <c r="T5" i="33"/>
  <c r="T6" i="33"/>
  <c r="T7" i="33"/>
  <c r="T8" i="33"/>
  <c r="T9" i="33"/>
  <c r="T10" i="33"/>
  <c r="T11" i="33"/>
  <c r="T12" i="33"/>
  <c r="T13" i="33"/>
  <c r="T14" i="33"/>
  <c r="T15" i="33"/>
  <c r="T16" i="33"/>
  <c r="T17" i="33"/>
  <c r="T18" i="33"/>
  <c r="T19" i="33"/>
  <c r="T20" i="33"/>
  <c r="T21" i="33"/>
  <c r="T22" i="33"/>
  <c r="T23" i="33"/>
  <c r="T24" i="33"/>
  <c r="T25" i="33"/>
  <c r="T26" i="33"/>
  <c r="T27" i="33"/>
  <c r="T2" i="33"/>
  <c r="S2" i="33"/>
  <c r="S3" i="33"/>
  <c r="S4" i="33"/>
  <c r="S5" i="33"/>
  <c r="S6" i="33"/>
  <c r="S7" i="33"/>
  <c r="S8" i="33"/>
  <c r="S9" i="33"/>
  <c r="S10" i="33"/>
  <c r="S11" i="33"/>
  <c r="S12" i="33"/>
  <c r="S13" i="33"/>
  <c r="S14" i="33"/>
  <c r="S15" i="33"/>
  <c r="S16" i="33"/>
  <c r="S17" i="33"/>
  <c r="S18" i="33"/>
  <c r="S19" i="33"/>
  <c r="S20" i="33"/>
  <c r="S21" i="33"/>
  <c r="S22" i="33"/>
  <c r="S23" i="33"/>
  <c r="S24" i="33"/>
  <c r="S25" i="33"/>
  <c r="S26" i="33"/>
  <c r="S27" i="33"/>
  <c r="R3" i="33"/>
  <c r="R4" i="33"/>
  <c r="R5" i="33"/>
  <c r="R6" i="33"/>
  <c r="R7" i="33"/>
  <c r="R8" i="33"/>
  <c r="R9" i="33"/>
  <c r="R10" i="33"/>
  <c r="R11" i="33"/>
  <c r="R12" i="33"/>
  <c r="R13" i="33"/>
  <c r="R14" i="33"/>
  <c r="R15" i="33"/>
  <c r="R16" i="33"/>
  <c r="R17" i="33"/>
  <c r="R18" i="33"/>
  <c r="R19" i="33"/>
  <c r="R20" i="33"/>
  <c r="R21" i="33"/>
  <c r="R22" i="33"/>
  <c r="R23" i="33"/>
  <c r="R24" i="33"/>
  <c r="R25" i="33"/>
  <c r="R26" i="33"/>
  <c r="R27" i="33"/>
  <c r="R2" i="33"/>
  <c r="N3" i="33"/>
  <c r="N4" i="33"/>
  <c r="N5" i="33"/>
  <c r="N6" i="33"/>
  <c r="N7" i="33"/>
  <c r="N8" i="33"/>
  <c r="N9" i="33"/>
  <c r="N2" i="33"/>
  <c r="M3" i="33"/>
  <c r="M4" i="33"/>
  <c r="M5" i="33"/>
  <c r="M6" i="33"/>
  <c r="M7" i="33"/>
  <c r="M8" i="33"/>
  <c r="M9" i="33"/>
  <c r="M2" i="33"/>
  <c r="K3" i="33"/>
  <c r="K4" i="33"/>
  <c r="K5" i="33"/>
  <c r="K6" i="33"/>
  <c r="K7" i="33"/>
  <c r="K8" i="33"/>
  <c r="K9" i="33"/>
  <c r="K2" i="33"/>
  <c r="J3" i="33"/>
  <c r="J4" i="33"/>
  <c r="J5" i="33"/>
  <c r="J6" i="33"/>
  <c r="J7" i="33"/>
  <c r="J8" i="33"/>
  <c r="J9" i="33"/>
  <c r="J2" i="33"/>
  <c r="H3" i="33"/>
  <c r="H4" i="33"/>
  <c r="H5" i="33"/>
  <c r="H6" i="33"/>
  <c r="H7" i="33"/>
  <c r="H8" i="33"/>
  <c r="H9" i="33"/>
  <c r="H2" i="33"/>
  <c r="G5" i="31"/>
  <c r="G6" i="31"/>
  <c r="G7" i="31"/>
  <c r="G8" i="31"/>
  <c r="G4" i="31"/>
  <c r="H5" i="30"/>
  <c r="H6" i="30"/>
  <c r="H7" i="30"/>
  <c r="H8" i="30"/>
  <c r="H4" i="30"/>
  <c r="F2" i="32"/>
  <c r="F3" i="32"/>
  <c r="F4" i="32"/>
  <c r="F5" i="32"/>
  <c r="F6" i="32"/>
  <c r="C3" i="32"/>
  <c r="C4" i="32"/>
  <c r="C5" i="32"/>
  <c r="C6" i="32"/>
  <c r="C2" i="32"/>
  <c r="E6" i="32"/>
  <c r="E3" i="32"/>
  <c r="E4" i="32"/>
  <c r="E5" i="32"/>
  <c r="E2" i="32"/>
  <c r="D3" i="32"/>
  <c r="D4" i="32"/>
  <c r="D5" i="32"/>
  <c r="D6" i="32"/>
  <c r="D2" i="32"/>
  <c r="B3" i="32"/>
  <c r="B4" i="32"/>
  <c r="B5" i="32"/>
  <c r="B6" i="32"/>
  <c r="B2" i="32"/>
  <c r="F5" i="31"/>
  <c r="F6" i="31"/>
  <c r="F7" i="31"/>
  <c r="F8" i="31"/>
  <c r="F4" i="31"/>
  <c r="E5" i="31"/>
  <c r="E6" i="31"/>
  <c r="E7" i="31"/>
  <c r="E8" i="31"/>
  <c r="E4" i="31"/>
  <c r="D4" i="31"/>
  <c r="D5" i="31"/>
  <c r="D6" i="31"/>
  <c r="D7" i="31"/>
  <c r="D8" i="31"/>
  <c r="C5" i="31"/>
  <c r="C6" i="31"/>
  <c r="C7" i="31"/>
  <c r="C8" i="31"/>
  <c r="C4" i="31"/>
  <c r="B5" i="31"/>
  <c r="B6" i="31"/>
  <c r="B7" i="31"/>
  <c r="B8" i="31"/>
  <c r="B4" i="31"/>
  <c r="G5" i="30"/>
  <c r="G6" i="30"/>
  <c r="G7" i="30"/>
  <c r="G8" i="30"/>
  <c r="G4" i="30"/>
  <c r="C1" i="30"/>
  <c r="D1" i="30"/>
  <c r="E1" i="30"/>
  <c r="F1" i="30"/>
  <c r="B1" i="30"/>
  <c r="B5" i="30"/>
  <c r="C5" i="30"/>
  <c r="D5" i="30"/>
  <c r="E5" i="30"/>
  <c r="F5" i="30"/>
  <c r="B6" i="30"/>
  <c r="C6" i="30"/>
  <c r="D6" i="30"/>
  <c r="E6" i="30"/>
  <c r="F6" i="30"/>
  <c r="B7" i="30"/>
  <c r="C7" i="30"/>
  <c r="D7" i="30"/>
  <c r="E7" i="30"/>
  <c r="F7" i="30"/>
  <c r="B8" i="30"/>
  <c r="C8" i="30"/>
  <c r="D8" i="30"/>
  <c r="E8" i="30"/>
  <c r="F8" i="30"/>
  <c r="C4" i="30"/>
  <c r="D4" i="30"/>
  <c r="E4" i="30"/>
  <c r="F4" i="30"/>
  <c r="B4" i="30"/>
  <c r="I3" i="29"/>
  <c r="I4" i="29"/>
  <c r="I5" i="29"/>
  <c r="I6" i="29"/>
  <c r="I2" i="29"/>
  <c r="H3" i="29" a="1"/>
  <c r="H3" i="29" s="1"/>
  <c r="H4" i="29" a="1"/>
  <c r="H4" i="29" s="1"/>
  <c r="H5" i="29" a="1"/>
  <c r="H5" i="29" s="1"/>
  <c r="H6" i="29" a="1"/>
  <c r="H6" i="29"/>
  <c r="H2" i="29" a="1"/>
  <c r="H2" i="29" s="1"/>
  <c r="G2" i="29"/>
  <c r="H4" i="28"/>
  <c r="H5" i="28"/>
  <c r="H6" i="28"/>
  <c r="H7" i="28"/>
  <c r="H3" i="28"/>
  <c r="G4" i="28"/>
  <c r="G5" i="28"/>
  <c r="G6" i="28"/>
  <c r="G7" i="28"/>
  <c r="G3" i="28"/>
  <c r="F4" i="28"/>
  <c r="F5" i="28"/>
  <c r="F6" i="28"/>
  <c r="F7" i="28"/>
  <c r="F3" i="28"/>
  <c r="E4" i="28"/>
  <c r="E5" i="28"/>
  <c r="E6" i="28"/>
  <c r="E7" i="28"/>
  <c r="E3" i="28"/>
  <c r="D4" i="28"/>
  <c r="D5" i="28"/>
  <c r="D6" i="28"/>
  <c r="D7" i="28"/>
  <c r="D3" i="28"/>
  <c r="B4" i="28"/>
  <c r="B5" i="28"/>
  <c r="B6" i="28"/>
  <c r="B7" i="28"/>
  <c r="B3" i="28"/>
  <c r="L55" i="26"/>
  <c r="P55" i="26"/>
  <c r="T55" i="26"/>
  <c r="X55" i="26"/>
  <c r="AB55" i="26"/>
  <c r="H55" i="26"/>
  <c r="D38" i="26"/>
  <c r="D39" i="26"/>
  <c r="D40" i="26"/>
  <c r="D41" i="26"/>
  <c r="D42" i="26"/>
  <c r="D37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I4" i="25"/>
  <c r="I5" i="25"/>
  <c r="I7" i="25"/>
  <c r="I8" i="25"/>
  <c r="L82" i="28"/>
  <c r="L83" i="28"/>
  <c r="L84" i="28"/>
  <c r="L85" i="28"/>
  <c r="L86" i="28"/>
  <c r="L87" i="28"/>
  <c r="L88" i="28"/>
  <c r="K82" i="28"/>
  <c r="K83" i="28"/>
  <c r="K84" i="28"/>
  <c r="K85" i="28"/>
  <c r="K86" i="28"/>
  <c r="K87" i="28"/>
  <c r="K88" i="28"/>
  <c r="K81" i="28"/>
  <c r="L81" i="28" s="1"/>
  <c r="H88" i="28"/>
  <c r="G87" i="28" a="1"/>
  <c r="G87" i="28" s="1"/>
  <c r="F86" i="28" a="1"/>
  <c r="F86" i="28" s="1"/>
  <c r="E85" i="28" a="1"/>
  <c r="E85" i="28" s="1"/>
  <c r="D84" i="28" a="1"/>
  <c r="D84" i="28" s="1"/>
  <c r="C83" i="28" a="1"/>
  <c r="B82" i="28" a="1"/>
  <c r="J81" i="28"/>
  <c r="Y36" i="28"/>
  <c r="Y37" i="28"/>
  <c r="Y38" i="28"/>
  <c r="Y39" i="28"/>
  <c r="Y40" i="28"/>
  <c r="Y41" i="28"/>
  <c r="Y42" i="28"/>
  <c r="Y43" i="28"/>
  <c r="Y44" i="28"/>
  <c r="Y45" i="28"/>
  <c r="Y46" i="28"/>
  <c r="Y47" i="28"/>
  <c r="Y48" i="28"/>
  <c r="Y49" i="28"/>
  <c r="Y50" i="28"/>
  <c r="Y51" i="28"/>
  <c r="Y52" i="28"/>
  <c r="Y53" i="28"/>
  <c r="Y54" i="28"/>
  <c r="Y55" i="28"/>
  <c r="Y56" i="28"/>
  <c r="Y57" i="28"/>
  <c r="Y58" i="28"/>
  <c r="Y59" i="28"/>
  <c r="Y60" i="28"/>
  <c r="Y61" i="28"/>
  <c r="Y62" i="28"/>
  <c r="Y63" i="28"/>
  <c r="Y64" i="28"/>
  <c r="Y65" i="28"/>
  <c r="Y66" i="28"/>
  <c r="Y67" i="28"/>
  <c r="Y68" i="28"/>
  <c r="Y69" i="28"/>
  <c r="Y70" i="28"/>
  <c r="Y71" i="28"/>
  <c r="Y72" i="28"/>
  <c r="Y73" i="28"/>
  <c r="Y74" i="28"/>
  <c r="Y35" i="28"/>
  <c r="W36" i="28"/>
  <c r="W37" i="28"/>
  <c r="W38" i="28"/>
  <c r="W39" i="28"/>
  <c r="W40" i="28"/>
  <c r="W41" i="28"/>
  <c r="W42" i="28"/>
  <c r="W43" i="28"/>
  <c r="W44" i="28"/>
  <c r="W45" i="28"/>
  <c r="W46" i="28"/>
  <c r="W47" i="28"/>
  <c r="W48" i="28"/>
  <c r="W49" i="28"/>
  <c r="W50" i="28"/>
  <c r="W51" i="28"/>
  <c r="W52" i="28"/>
  <c r="W53" i="28"/>
  <c r="W54" i="28"/>
  <c r="W55" i="28"/>
  <c r="W56" i="28"/>
  <c r="W57" i="28"/>
  <c r="W58" i="28"/>
  <c r="W59" i="28"/>
  <c r="W60" i="28"/>
  <c r="W61" i="28"/>
  <c r="W62" i="28"/>
  <c r="W63" i="28"/>
  <c r="W64" i="28"/>
  <c r="W65" i="28"/>
  <c r="W66" i="28"/>
  <c r="W67" i="28"/>
  <c r="W68" i="28"/>
  <c r="W69" i="28"/>
  <c r="W70" i="28"/>
  <c r="W71" i="28"/>
  <c r="W72" i="28"/>
  <c r="W73" i="28"/>
  <c r="W74" i="28"/>
  <c r="W35" i="28"/>
  <c r="G36" i="28"/>
  <c r="G37" i="28"/>
  <c r="G38" i="28"/>
  <c r="G39" i="28"/>
  <c r="X39" i="28" s="1"/>
  <c r="G40" i="28"/>
  <c r="X40" i="28" s="1"/>
  <c r="G41" i="28"/>
  <c r="X41" i="28" s="1"/>
  <c r="G42" i="28"/>
  <c r="X42" i="28" s="1"/>
  <c r="G43" i="28"/>
  <c r="X43" i="28" s="1"/>
  <c r="G44" i="28"/>
  <c r="G45" i="28"/>
  <c r="G46" i="28"/>
  <c r="G48" i="28"/>
  <c r="G49" i="28"/>
  <c r="X49" i="28" s="1"/>
  <c r="G50" i="28"/>
  <c r="X50" i="28" s="1"/>
  <c r="G51" i="28"/>
  <c r="G52" i="28"/>
  <c r="X52" i="28" s="1"/>
  <c r="G53" i="28"/>
  <c r="X53" i="28" s="1"/>
  <c r="G54" i="28"/>
  <c r="G55" i="28"/>
  <c r="G56" i="28"/>
  <c r="X56" i="28" s="1"/>
  <c r="G57" i="28"/>
  <c r="X57" i="28" s="1"/>
  <c r="G58" i="28"/>
  <c r="G59" i="28"/>
  <c r="G60" i="28"/>
  <c r="X60" i="28" s="1"/>
  <c r="G61" i="28"/>
  <c r="G62" i="28"/>
  <c r="G63" i="28"/>
  <c r="G64" i="28"/>
  <c r="X64" i="28" s="1"/>
  <c r="G65" i="28"/>
  <c r="X65" i="28" s="1"/>
  <c r="G66" i="28"/>
  <c r="X66" i="28" s="1"/>
  <c r="G67" i="28"/>
  <c r="X67" i="28" s="1"/>
  <c r="G68" i="28"/>
  <c r="X68" i="28" s="1"/>
  <c r="G71" i="28"/>
  <c r="G72" i="28"/>
  <c r="X72" i="28" s="1"/>
  <c r="G73" i="28"/>
  <c r="X73" i="28" s="1"/>
  <c r="G74" i="28"/>
  <c r="X74" i="28" s="1"/>
  <c r="G35" i="28"/>
  <c r="U74" i="28"/>
  <c r="T74" i="28"/>
  <c r="S74" i="28"/>
  <c r="O74" i="28"/>
  <c r="U73" i="28"/>
  <c r="T73" i="28"/>
  <c r="S73" i="28"/>
  <c r="O73" i="28"/>
  <c r="U72" i="28"/>
  <c r="T72" i="28"/>
  <c r="S72" i="28"/>
  <c r="O72" i="28"/>
  <c r="U71" i="28"/>
  <c r="T71" i="28"/>
  <c r="S71" i="28"/>
  <c r="O71" i="28"/>
  <c r="X71" i="28"/>
  <c r="E71" i="28"/>
  <c r="U70" i="28"/>
  <c r="T70" i="28"/>
  <c r="S70" i="28"/>
  <c r="O70" i="28"/>
  <c r="F70" i="28"/>
  <c r="E70" i="28"/>
  <c r="C70" i="28"/>
  <c r="U69" i="28"/>
  <c r="T69" i="28"/>
  <c r="S69" i="28"/>
  <c r="O69" i="28"/>
  <c r="F69" i="28"/>
  <c r="G69" i="28" s="1"/>
  <c r="E69" i="28"/>
  <c r="C69" i="28"/>
  <c r="U68" i="28"/>
  <c r="T68" i="28"/>
  <c r="S68" i="28"/>
  <c r="O68" i="28"/>
  <c r="M68" i="28"/>
  <c r="U67" i="28"/>
  <c r="T67" i="28"/>
  <c r="S67" i="28"/>
  <c r="O67" i="28"/>
  <c r="U66" i="28"/>
  <c r="T66" i="28"/>
  <c r="S66" i="28"/>
  <c r="O66" i="28"/>
  <c r="U65" i="28"/>
  <c r="T65" i="28"/>
  <c r="S65" i="28"/>
  <c r="O65" i="28"/>
  <c r="C65" i="28"/>
  <c r="U64" i="28"/>
  <c r="T64" i="28"/>
  <c r="S64" i="28"/>
  <c r="O64" i="28"/>
  <c r="X63" i="28"/>
  <c r="U63" i="28"/>
  <c r="T63" i="28"/>
  <c r="S63" i="28"/>
  <c r="O63" i="28"/>
  <c r="X62" i="28"/>
  <c r="U62" i="28"/>
  <c r="T62" i="28"/>
  <c r="S62" i="28"/>
  <c r="O62" i="28"/>
  <c r="E62" i="28"/>
  <c r="C62" i="28"/>
  <c r="U61" i="28"/>
  <c r="T61" i="28"/>
  <c r="S61" i="28"/>
  <c r="O61" i="28"/>
  <c r="X61" i="28"/>
  <c r="U60" i="28"/>
  <c r="T60" i="28"/>
  <c r="S60" i="28"/>
  <c r="O60" i="28"/>
  <c r="U59" i="28"/>
  <c r="T59" i="28"/>
  <c r="S59" i="28"/>
  <c r="O59" i="28"/>
  <c r="U58" i="28"/>
  <c r="T58" i="28"/>
  <c r="S58" i="28"/>
  <c r="O58" i="28"/>
  <c r="U57" i="28"/>
  <c r="T57" i="28"/>
  <c r="S57" i="28"/>
  <c r="O57" i="28"/>
  <c r="E57" i="28"/>
  <c r="P57" i="28" s="1"/>
  <c r="C57" i="28"/>
  <c r="U56" i="28"/>
  <c r="T56" i="28"/>
  <c r="S56" i="28"/>
  <c r="O56" i="28"/>
  <c r="U55" i="28"/>
  <c r="T55" i="28"/>
  <c r="S55" i="28"/>
  <c r="O55" i="28"/>
  <c r="U54" i="28"/>
  <c r="T54" i="28"/>
  <c r="S54" i="28"/>
  <c r="O54" i="28"/>
  <c r="X54" i="28"/>
  <c r="U53" i="28"/>
  <c r="T53" i="28"/>
  <c r="S53" i="28"/>
  <c r="O53" i="28"/>
  <c r="U52" i="28"/>
  <c r="T52" i="28"/>
  <c r="S52" i="28"/>
  <c r="O52" i="28"/>
  <c r="U51" i="28"/>
  <c r="T51" i="28"/>
  <c r="S51" i="28"/>
  <c r="O51" i="28"/>
  <c r="U50" i="28"/>
  <c r="T50" i="28"/>
  <c r="S50" i="28"/>
  <c r="P50" i="28"/>
  <c r="O50" i="28"/>
  <c r="U49" i="28"/>
  <c r="T49" i="28"/>
  <c r="S49" i="28"/>
  <c r="O49" i="28"/>
  <c r="U48" i="28"/>
  <c r="T48" i="28"/>
  <c r="S48" i="28"/>
  <c r="O48" i="28"/>
  <c r="U47" i="28"/>
  <c r="T47" i="28"/>
  <c r="S47" i="28"/>
  <c r="O47" i="28"/>
  <c r="F47" i="28"/>
  <c r="Q56" i="28" s="1"/>
  <c r="X46" i="28"/>
  <c r="U46" i="28"/>
  <c r="T46" i="28"/>
  <c r="S46" i="28"/>
  <c r="O46" i="28"/>
  <c r="X45" i="28"/>
  <c r="U45" i="28"/>
  <c r="T45" i="28"/>
  <c r="S45" i="28"/>
  <c r="O45" i="28"/>
  <c r="X44" i="28"/>
  <c r="U44" i="28"/>
  <c r="T44" i="28"/>
  <c r="S44" i="28"/>
  <c r="O44" i="28"/>
  <c r="U43" i="28"/>
  <c r="T43" i="28"/>
  <c r="S43" i="28"/>
  <c r="O43" i="28"/>
  <c r="U42" i="28"/>
  <c r="T42" i="28"/>
  <c r="S42" i="28"/>
  <c r="O42" i="28"/>
  <c r="U41" i="28"/>
  <c r="T41" i="28"/>
  <c r="S41" i="28"/>
  <c r="O41" i="28"/>
  <c r="U40" i="28"/>
  <c r="T40" i="28"/>
  <c r="S40" i="28"/>
  <c r="O40" i="28"/>
  <c r="U39" i="28"/>
  <c r="T39" i="28"/>
  <c r="S39" i="28"/>
  <c r="O39" i="28"/>
  <c r="E39" i="28"/>
  <c r="C39" i="28"/>
  <c r="X38" i="28"/>
  <c r="U38" i="28"/>
  <c r="T38" i="28"/>
  <c r="S38" i="28"/>
  <c r="Q38" i="28"/>
  <c r="O38" i="28"/>
  <c r="E38" i="28"/>
  <c r="P35" i="28" s="1"/>
  <c r="C38" i="28"/>
  <c r="U37" i="28"/>
  <c r="T37" i="28"/>
  <c r="S37" i="28"/>
  <c r="O37" i="28"/>
  <c r="E37" i="28"/>
  <c r="C37" i="28"/>
  <c r="X36" i="28"/>
  <c r="U36" i="28"/>
  <c r="T36" i="28"/>
  <c r="S36" i="28"/>
  <c r="O36" i="28"/>
  <c r="U35" i="28"/>
  <c r="T35" i="28"/>
  <c r="S35" i="28"/>
  <c r="O35" i="28"/>
  <c r="X35" i="28"/>
  <c r="S2" i="43" l="1" a="1"/>
  <c r="V43" i="28" a="1"/>
  <c r="V43" i="28" s="1"/>
  <c r="V49" i="28" a="1"/>
  <c r="V49" i="28" s="1"/>
  <c r="V38" i="28" a="1"/>
  <c r="V38" i="28" s="1"/>
  <c r="V55" i="28" a="1"/>
  <c r="V55" i="28" s="1"/>
  <c r="J88" i="28"/>
  <c r="J85" i="28"/>
  <c r="J84" i="28"/>
  <c r="B82" i="28"/>
  <c r="J82" i="28" s="1"/>
  <c r="J87" i="28"/>
  <c r="C83" i="28"/>
  <c r="J83" i="28" s="1"/>
  <c r="J86" i="28"/>
  <c r="Q39" i="28"/>
  <c r="Q40" i="28"/>
  <c r="Q43" i="28"/>
  <c r="Q44" i="28"/>
  <c r="Q45" i="28"/>
  <c r="P36" i="28"/>
  <c r="Q47" i="28"/>
  <c r="Q67" i="28"/>
  <c r="Q35" i="28"/>
  <c r="Q36" i="28"/>
  <c r="P61" i="28"/>
  <c r="G47" i="28"/>
  <c r="R73" i="28" s="1"/>
  <c r="V73" i="28" s="1" a="1"/>
  <c r="V73" i="28" s="1"/>
  <c r="G70" i="28"/>
  <c r="X70" i="28" s="1"/>
  <c r="P38" i="28"/>
  <c r="X37" i="28"/>
  <c r="R59" i="28"/>
  <c r="V59" i="28" s="1" a="1"/>
  <c r="V59" i="28" s="1"/>
  <c r="N38" i="28"/>
  <c r="N35" i="28"/>
  <c r="N41" i="28"/>
  <c r="N37" i="28"/>
  <c r="N48" i="28"/>
  <c r="N42" i="28"/>
  <c r="N45" i="28"/>
  <c r="N39" i="28"/>
  <c r="R74" i="28"/>
  <c r="V74" i="28" s="1" a="1"/>
  <c r="V74" i="28" s="1"/>
  <c r="R45" i="28"/>
  <c r="V45" i="28" s="1" a="1"/>
  <c r="V45" i="28" s="1"/>
  <c r="R49" i="28"/>
  <c r="R40" i="28"/>
  <c r="V40" i="28" s="1" a="1"/>
  <c r="V40" i="28" s="1"/>
  <c r="R38" i="28"/>
  <c r="R61" i="28"/>
  <c r="V61" i="28" s="1" a="1"/>
  <c r="V61" i="28" s="1"/>
  <c r="R52" i="28"/>
  <c r="V52" i="28" s="1" a="1"/>
  <c r="V52" i="28" s="1"/>
  <c r="R66" i="28"/>
  <c r="V66" i="28" s="1" a="1"/>
  <c r="V66" i="28" s="1"/>
  <c r="R65" i="28"/>
  <c r="V65" i="28" s="1" a="1"/>
  <c r="V65" i="28" s="1"/>
  <c r="R64" i="28"/>
  <c r="V64" i="28" s="1" a="1"/>
  <c r="V64" i="28" s="1"/>
  <c r="R43" i="28"/>
  <c r="R57" i="28"/>
  <c r="V57" i="28" s="1" a="1"/>
  <c r="V57" i="28" s="1"/>
  <c r="R44" i="28"/>
  <c r="V44" i="28" s="1" a="1"/>
  <c r="V44" i="28" s="1"/>
  <c r="X48" i="28"/>
  <c r="X51" i="28"/>
  <c r="N68" i="28"/>
  <c r="R63" i="28"/>
  <c r="V63" i="28" s="1" a="1"/>
  <c r="V63" i="28" s="1"/>
  <c r="P40" i="28"/>
  <c r="P46" i="28"/>
  <c r="N52" i="28"/>
  <c r="N54" i="28"/>
  <c r="R55" i="28"/>
  <c r="X55" i="28"/>
  <c r="N58" i="28"/>
  <c r="P60" i="28"/>
  <c r="P64" i="28"/>
  <c r="P66" i="28"/>
  <c r="P70" i="28"/>
  <c r="Q66" i="28"/>
  <c r="Q70" i="28"/>
  <c r="Q74" i="28"/>
  <c r="Q65" i="28"/>
  <c r="Q73" i="28"/>
  <c r="Q68" i="28"/>
  <c r="Q58" i="28"/>
  <c r="Q55" i="28"/>
  <c r="Q72" i="28"/>
  <c r="Q64" i="28"/>
  <c r="Q61" i="28"/>
  <c r="Q57" i="28"/>
  <c r="Q54" i="28"/>
  <c r="Q50" i="28"/>
  <c r="Q46" i="28"/>
  <c r="Q41" i="28"/>
  <c r="Q71" i="28"/>
  <c r="Q69" i="28"/>
  <c r="P49" i="28"/>
  <c r="Q60" i="28"/>
  <c r="P62" i="28"/>
  <c r="R68" i="28"/>
  <c r="V68" i="28" s="1" a="1"/>
  <c r="V68" i="28" s="1"/>
  <c r="Q49" i="28"/>
  <c r="N51" i="28"/>
  <c r="Q52" i="28"/>
  <c r="P54" i="28"/>
  <c r="P58" i="28"/>
  <c r="R62" i="28"/>
  <c r="V62" i="28" s="1" a="1"/>
  <c r="V62" i="28" s="1"/>
  <c r="R70" i="28"/>
  <c r="V70" i="28" s="1" a="1"/>
  <c r="V70" i="28" s="1"/>
  <c r="Q48" i="28"/>
  <c r="N55" i="28"/>
  <c r="N59" i="28"/>
  <c r="N69" i="28"/>
  <c r="P42" i="28"/>
  <c r="P39" i="28"/>
  <c r="Q42" i="28"/>
  <c r="N47" i="28"/>
  <c r="P51" i="28"/>
  <c r="X59" i="28"/>
  <c r="N62" i="28"/>
  <c r="N65" i="28"/>
  <c r="P45" i="28"/>
  <c r="P37" i="28"/>
  <c r="N64" i="28"/>
  <c r="N61" i="28"/>
  <c r="N71" i="28"/>
  <c r="N67" i="28"/>
  <c r="N63" i="28"/>
  <c r="N60" i="28"/>
  <c r="N53" i="28"/>
  <c r="N49" i="28"/>
  <c r="N44" i="28"/>
  <c r="N40" i="28"/>
  <c r="N66" i="28"/>
  <c r="N70" i="28"/>
  <c r="N74" i="28"/>
  <c r="N73" i="28"/>
  <c r="N72" i="28"/>
  <c r="N50" i="28"/>
  <c r="Q51" i="28"/>
  <c r="P53" i="28"/>
  <c r="P55" i="28"/>
  <c r="N57" i="28"/>
  <c r="X58" i="28"/>
  <c r="Q59" i="28"/>
  <c r="Q37" i="28"/>
  <c r="N36" i="28"/>
  <c r="P63" i="28"/>
  <c r="P59" i="28"/>
  <c r="P56" i="28"/>
  <c r="P52" i="28"/>
  <c r="P48" i="28"/>
  <c r="P43" i="28"/>
  <c r="P74" i="28"/>
  <c r="P65" i="28"/>
  <c r="P73" i="28"/>
  <c r="P68" i="28"/>
  <c r="P72" i="28"/>
  <c r="P71" i="28"/>
  <c r="P69" i="28"/>
  <c r="P41" i="28"/>
  <c r="R42" i="28"/>
  <c r="V42" i="28" s="1" a="1"/>
  <c r="V42" i="28" s="1"/>
  <c r="N43" i="28"/>
  <c r="P44" i="28"/>
  <c r="N46" i="28"/>
  <c r="P47" i="28"/>
  <c r="Q53" i="28"/>
  <c r="N56" i="28"/>
  <c r="Q62" i="28"/>
  <c r="Q63" i="28"/>
  <c r="P67" i="28"/>
  <c r="X69" i="28"/>
  <c r="R67" i="28"/>
  <c r="V67" i="28" s="1" a="1"/>
  <c r="V67" i="28" s="1"/>
  <c r="R69" i="28"/>
  <c r="V69" i="28" s="1" a="1"/>
  <c r="V69" i="28" s="1"/>
  <c r="AA2" i="43" l="1"/>
  <c r="X2" i="43"/>
  <c r="AO2" i="43"/>
  <c r="U2" i="43"/>
  <c r="AJ2" i="43"/>
  <c r="AG2" i="43"/>
  <c r="AD2" i="43"/>
  <c r="Z2" i="43"/>
  <c r="V2" i="43"/>
  <c r="S2" i="43"/>
  <c r="AM2" i="43"/>
  <c r="AI2" i="43"/>
  <c r="W2" i="43"/>
  <c r="AB2" i="43"/>
  <c r="AR2" i="43"/>
  <c r="AP2" i="43"/>
  <c r="AK2" i="43"/>
  <c r="AH2" i="43"/>
  <c r="Y2" i="43"/>
  <c r="T2" i="43"/>
  <c r="AN2" i="43"/>
  <c r="AQ2" i="43"/>
  <c r="AC2" i="43"/>
  <c r="AF2" i="43"/>
  <c r="AE2" i="43"/>
  <c r="AL2" i="43"/>
  <c r="R48" i="28"/>
  <c r="V48" i="28" s="1" a="1"/>
  <c r="V48" i="28" s="1"/>
  <c r="R60" i="28"/>
  <c r="V60" i="28" s="1" a="1"/>
  <c r="V60" i="28" s="1"/>
  <c r="R71" i="28"/>
  <c r="V71" i="28" s="1" a="1"/>
  <c r="V71" i="28" s="1"/>
  <c r="R58" i="28"/>
  <c r="V58" i="28" s="1" a="1"/>
  <c r="V58" i="28" s="1"/>
  <c r="R35" i="28"/>
  <c r="V35" i="28" s="1" a="1"/>
  <c r="V35" i="28" s="1"/>
  <c r="R36" i="28"/>
  <c r="V36" i="28" s="1" a="1"/>
  <c r="V36" i="28" s="1"/>
  <c r="AD38" i="28"/>
  <c r="AE38" i="28" s="1"/>
  <c r="AD47" i="28"/>
  <c r="AE47" i="28" s="1"/>
  <c r="AD69" i="28"/>
  <c r="AE69" i="28" s="1"/>
  <c r="Z38" i="28"/>
  <c r="AA38" i="28" s="1"/>
  <c r="X47" i="28"/>
  <c r="R53" i="28"/>
  <c r="V53" i="28" s="1" a="1"/>
  <c r="V53" i="28" s="1"/>
  <c r="R50" i="28"/>
  <c r="V50" i="28" s="1" a="1"/>
  <c r="V50" i="28" s="1"/>
  <c r="R46" i="28"/>
  <c r="V46" i="28" s="1" a="1"/>
  <c r="V46" i="28" s="1"/>
  <c r="R54" i="28"/>
  <c r="V54" i="28" s="1" a="1"/>
  <c r="V54" i="28" s="1"/>
  <c r="R72" i="28"/>
  <c r="V72" i="28" s="1" a="1"/>
  <c r="V72" i="28" s="1"/>
  <c r="R37" i="28"/>
  <c r="V37" i="28" s="1" a="1"/>
  <c r="V37" i="28" s="1"/>
  <c r="Z69" i="28"/>
  <c r="AA69" i="28" s="1"/>
  <c r="R51" i="28"/>
  <c r="V51" i="28" s="1" a="1"/>
  <c r="V51" i="28" s="1"/>
  <c r="R41" i="28"/>
  <c r="V41" i="28" s="1" a="1"/>
  <c r="V41" i="28" s="1"/>
  <c r="R56" i="28"/>
  <c r="V56" i="28" s="1" a="1"/>
  <c r="V56" i="28" s="1"/>
  <c r="R39" i="28"/>
  <c r="V39" i="28" s="1" a="1"/>
  <c r="V39" i="28" s="1"/>
  <c r="R47" i="28"/>
  <c r="V47" i="28" s="1" a="1"/>
  <c r="V47" i="28" s="1"/>
  <c r="Z17" i="43" l="1" a="1"/>
  <c r="Z17" i="43" s="1"/>
  <c r="Z7" i="43" a="1"/>
  <c r="Z7" i="43" s="1"/>
  <c r="Z16" i="43" a="1"/>
  <c r="Z16" i="43" s="1"/>
  <c r="Z3" i="43" a="1"/>
  <c r="Z3" i="43" s="1"/>
  <c r="Z11" i="43" a="1"/>
  <c r="Z11" i="43" s="1"/>
  <c r="Z15" i="43" a="1"/>
  <c r="Z15" i="43" s="1"/>
  <c r="Z6" i="43" a="1"/>
  <c r="Z6" i="43" s="1"/>
  <c r="Z5" i="43" a="1"/>
  <c r="Z5" i="43" s="1"/>
  <c r="Z18" i="43" a="1"/>
  <c r="Z18" i="43" s="1"/>
  <c r="Z8" i="43" a="1"/>
  <c r="Z8" i="43" s="1"/>
  <c r="Z12" i="43" a="1"/>
  <c r="Z12" i="43" s="1"/>
  <c r="Z4" i="43" a="1"/>
  <c r="Z4" i="43" s="1"/>
  <c r="Z14" i="43" a="1"/>
  <c r="Z14" i="43" s="1"/>
  <c r="Z9" i="43" a="1"/>
  <c r="Z9" i="43" s="1"/>
  <c r="Z19" i="43"/>
  <c r="Z10" i="43" a="1"/>
  <c r="Z10" i="43" s="1"/>
  <c r="Z13" i="43" a="1"/>
  <c r="Z13" i="43" s="1"/>
  <c r="Z37" i="43"/>
  <c r="AC9" i="43" a="1"/>
  <c r="AC9" i="43" s="1"/>
  <c r="AC3" i="43" a="1"/>
  <c r="AC3" i="43" s="1"/>
  <c r="AC13" i="43" a="1"/>
  <c r="AC13" i="43" s="1"/>
  <c r="AC14" i="43" a="1"/>
  <c r="AC14" i="43" s="1"/>
  <c r="AC8" i="43" a="1"/>
  <c r="AC8" i="43" s="1"/>
  <c r="AC15" i="43" a="1"/>
  <c r="AC15" i="43" s="1"/>
  <c r="AC4" i="43" a="1"/>
  <c r="AC4" i="43" s="1"/>
  <c r="AC7" i="43" a="1"/>
  <c r="AC7" i="43" s="1"/>
  <c r="AC37" i="43"/>
  <c r="AC17" i="43" a="1"/>
  <c r="AC17" i="43" s="1"/>
  <c r="AC10" i="43" a="1"/>
  <c r="AC10" i="43" s="1"/>
  <c r="AC11" i="43" a="1"/>
  <c r="AC11" i="43" s="1"/>
  <c r="AC18" i="43" a="1"/>
  <c r="AC18" i="43" s="1"/>
  <c r="AC6" i="43" a="1"/>
  <c r="AC6" i="43" s="1"/>
  <c r="O32" i="43" s="1"/>
  <c r="AC19" i="43"/>
  <c r="AC16" i="43" a="1"/>
  <c r="AC16" i="43" s="1"/>
  <c r="AC12" i="43" a="1"/>
  <c r="AC12" i="43" s="1"/>
  <c r="AC5" i="43" a="1"/>
  <c r="AC5" i="43" s="1"/>
  <c r="AD19" i="43"/>
  <c r="AD16" i="43" a="1"/>
  <c r="AD16" i="43" s="1"/>
  <c r="AD4" i="43" a="1"/>
  <c r="AD4" i="43" s="1"/>
  <c r="AD18" i="43" a="1"/>
  <c r="AD18" i="43" s="1"/>
  <c r="AD11" i="43" a="1"/>
  <c r="AD11" i="43" s="1"/>
  <c r="AD7" i="43" a="1"/>
  <c r="AD7" i="43" s="1"/>
  <c r="AD37" i="43"/>
  <c r="AD6" i="43" a="1"/>
  <c r="AD6" i="43" s="1"/>
  <c r="AD12" i="43" a="1"/>
  <c r="AD12" i="43" s="1"/>
  <c r="AD10" i="43" a="1"/>
  <c r="AD10" i="43" s="1"/>
  <c r="AD5" i="43" a="1"/>
  <c r="AD5" i="43" s="1"/>
  <c r="AD15" i="43" a="1"/>
  <c r="AD15" i="43" s="1"/>
  <c r="AD14" i="43" a="1"/>
  <c r="AD14" i="43" s="1"/>
  <c r="AD13" i="43" a="1"/>
  <c r="AD13" i="43" s="1"/>
  <c r="AD8" i="43" a="1"/>
  <c r="AD8" i="43" s="1"/>
  <c r="AD17" i="43" a="1"/>
  <c r="AD17" i="43" s="1"/>
  <c r="AD3" i="43" a="1"/>
  <c r="AD3" i="43" s="1"/>
  <c r="AD9" i="43" a="1"/>
  <c r="AD9" i="43" s="1"/>
  <c r="AB19" i="43"/>
  <c r="AB8" i="43" a="1"/>
  <c r="AB8" i="43" s="1"/>
  <c r="AB16" i="43" a="1"/>
  <c r="AB16" i="43" s="1"/>
  <c r="AB9" i="43" a="1"/>
  <c r="AB9" i="43" s="1"/>
  <c r="AB17" i="43" a="1"/>
  <c r="AB17" i="43" s="1"/>
  <c r="AB11" i="43" a="1"/>
  <c r="AB11" i="43" s="1"/>
  <c r="AB6" i="43" a="1"/>
  <c r="AB6" i="43" s="1"/>
  <c r="AB10" i="43" a="1"/>
  <c r="AB10" i="43" s="1"/>
  <c r="AB7" i="43" a="1"/>
  <c r="AB7" i="43" s="1"/>
  <c r="AB18" i="43" a="1"/>
  <c r="AB18" i="43" s="1"/>
  <c r="AB5" i="43" a="1"/>
  <c r="AB5" i="43" s="1"/>
  <c r="AB37" i="43"/>
  <c r="AB14" i="43" a="1"/>
  <c r="AB14" i="43" s="1"/>
  <c r="AB13" i="43" a="1"/>
  <c r="AB13" i="43" s="1"/>
  <c r="AB12" i="43" a="1"/>
  <c r="AB12" i="43" s="1"/>
  <c r="AB15" i="43" a="1"/>
  <c r="AB15" i="43" s="1"/>
  <c r="AB4" i="43" a="1"/>
  <c r="AB4" i="43" s="1"/>
  <c r="AB3" i="43" a="1"/>
  <c r="AB3" i="43" s="1"/>
  <c r="AN14" i="43" a="1"/>
  <c r="AN14" i="43" s="1"/>
  <c r="AN19" i="43"/>
  <c r="AN5" i="43" a="1"/>
  <c r="AN5" i="43" s="1"/>
  <c r="AN18" i="43" a="1"/>
  <c r="AN18" i="43" s="1"/>
  <c r="AN3" i="43" a="1"/>
  <c r="AN3" i="43" s="1"/>
  <c r="AN37" i="43"/>
  <c r="AN11" i="43" a="1"/>
  <c r="AN11" i="43" s="1"/>
  <c r="AN15" i="43" a="1"/>
  <c r="AN15" i="43" s="1"/>
  <c r="AN17" i="43" a="1"/>
  <c r="AN17" i="43" s="1"/>
  <c r="AN6" i="43" a="1"/>
  <c r="AN6" i="43" s="1"/>
  <c r="AN16" i="43" a="1"/>
  <c r="AN16" i="43" s="1"/>
  <c r="AN7" i="43" a="1"/>
  <c r="AN7" i="43" s="1"/>
  <c r="AN8" i="43" a="1"/>
  <c r="AN8" i="43" s="1"/>
  <c r="AN13" i="43" a="1"/>
  <c r="AN13" i="43" s="1"/>
  <c r="AN12" i="43" a="1"/>
  <c r="AN12" i="43" s="1"/>
  <c r="AN10" i="43" a="1"/>
  <c r="AN10" i="43" s="1"/>
  <c r="N78" i="43" s="1"/>
  <c r="AN4" i="43" a="1"/>
  <c r="AN4" i="43" s="1"/>
  <c r="AN9" i="43" a="1"/>
  <c r="AN9" i="43" s="1"/>
  <c r="AJ11" i="43" a="1"/>
  <c r="AJ11" i="43" s="1"/>
  <c r="AJ3" i="43" a="1"/>
  <c r="AJ3" i="43" s="1"/>
  <c r="AJ17" i="43" a="1"/>
  <c r="AJ17" i="43" s="1"/>
  <c r="AJ8" i="43" a="1"/>
  <c r="AJ8" i="43" s="1"/>
  <c r="AJ15" i="43" a="1"/>
  <c r="AJ15" i="43" s="1"/>
  <c r="AJ6" i="43" a="1"/>
  <c r="AJ6" i="43" s="1"/>
  <c r="O58" i="43" s="1"/>
  <c r="AJ14" i="43" a="1"/>
  <c r="AJ14" i="43" s="1"/>
  <c r="AJ9" i="43" a="1"/>
  <c r="AJ9" i="43" s="1"/>
  <c r="AJ4" i="43" a="1"/>
  <c r="AJ4" i="43" s="1"/>
  <c r="AJ7" i="43" a="1"/>
  <c r="AJ7" i="43" s="1"/>
  <c r="AJ13" i="43" a="1"/>
  <c r="AJ13" i="43" s="1"/>
  <c r="AJ5" i="43" a="1"/>
  <c r="AJ5" i="43" s="1"/>
  <c r="AJ12" i="43" a="1"/>
  <c r="AJ12" i="43" s="1"/>
  <c r="AJ16" i="43" a="1"/>
  <c r="AJ16" i="43" s="1"/>
  <c r="AJ37" i="43"/>
  <c r="AJ19" i="43"/>
  <c r="AJ18" i="43" a="1"/>
  <c r="AJ18" i="43" s="1"/>
  <c r="AJ10" i="43" a="1"/>
  <c r="AJ10" i="43" s="1"/>
  <c r="T19" i="43"/>
  <c r="T18" i="43" a="1"/>
  <c r="T18" i="43" s="1"/>
  <c r="T16" i="43" a="1"/>
  <c r="T16" i="43" s="1"/>
  <c r="T15" i="43" a="1"/>
  <c r="T15" i="43" s="1"/>
  <c r="T8" i="43" a="1"/>
  <c r="T8" i="43" s="1"/>
  <c r="T12" i="43" a="1"/>
  <c r="T12" i="43" s="1"/>
  <c r="T4" i="43" a="1"/>
  <c r="T4" i="43" s="1"/>
  <c r="T17" i="43" a="1"/>
  <c r="T17" i="43" s="1"/>
  <c r="T3" i="43" a="1"/>
  <c r="T3" i="43" s="1"/>
  <c r="T37" i="43"/>
  <c r="T5" i="43" a="1"/>
  <c r="T5" i="43" s="1"/>
  <c r="O6" i="43" s="1"/>
  <c r="T14" i="43" a="1"/>
  <c r="T14" i="43" s="1"/>
  <c r="N5" i="43" s="1"/>
  <c r="T11" i="43" a="1"/>
  <c r="T11" i="43" s="1"/>
  <c r="T13" i="43" a="1"/>
  <c r="T13" i="43" s="1"/>
  <c r="T6" i="43" a="1"/>
  <c r="T6" i="43" s="1"/>
  <c r="T10" i="43" a="1"/>
  <c r="T10" i="43" s="1"/>
  <c r="T9" i="43" a="1"/>
  <c r="T9" i="43" s="1"/>
  <c r="T7" i="43" a="1"/>
  <c r="T7" i="43" s="1"/>
  <c r="U17" i="43" a="1"/>
  <c r="U17" i="43" s="1"/>
  <c r="U3" i="43" a="1"/>
  <c r="U3" i="43" s="1"/>
  <c r="U19" i="43"/>
  <c r="U6" i="43" a="1"/>
  <c r="U6" i="43" s="1"/>
  <c r="U15" i="43" a="1"/>
  <c r="U15" i="43" s="1"/>
  <c r="U9" i="43" a="1"/>
  <c r="U9" i="43" s="1"/>
  <c r="U11" i="43" a="1"/>
  <c r="U11" i="43" s="1"/>
  <c r="U16" i="43" a="1"/>
  <c r="U16" i="43" s="1"/>
  <c r="U13" i="43" a="1"/>
  <c r="U13" i="43" s="1"/>
  <c r="U37" i="43"/>
  <c r="U5" i="43" a="1"/>
  <c r="U5" i="43" s="1"/>
  <c r="U8" i="43" a="1"/>
  <c r="U8" i="43" s="1"/>
  <c r="U10" i="43" a="1"/>
  <c r="U10" i="43" s="1"/>
  <c r="U12" i="43" a="1"/>
  <c r="U12" i="43" s="1"/>
  <c r="U4" i="43" a="1"/>
  <c r="U4" i="43" s="1"/>
  <c r="U18" i="43" a="1"/>
  <c r="U18" i="43" s="1"/>
  <c r="U14" i="43" a="1"/>
  <c r="U14" i="43" s="1"/>
  <c r="U7" i="43" a="1"/>
  <c r="U7" i="43" s="1"/>
  <c r="Y16" i="43" a="1"/>
  <c r="Y16" i="43" s="1"/>
  <c r="Y6" i="43" a="1"/>
  <c r="Y6" i="43" s="1"/>
  <c r="Y37" i="43"/>
  <c r="Y12" i="43" a="1"/>
  <c r="Y12" i="43" s="1"/>
  <c r="Y3" i="43" a="1"/>
  <c r="Y3" i="43" s="1"/>
  <c r="Y14" i="43" a="1"/>
  <c r="Y14" i="43" s="1"/>
  <c r="Y7" i="43" a="1"/>
  <c r="Y7" i="43" s="1"/>
  <c r="M22" i="43" s="1"/>
  <c r="Y9" i="43" a="1"/>
  <c r="Y9" i="43" s="1"/>
  <c r="Y11" i="43" a="1"/>
  <c r="Y11" i="43" s="1"/>
  <c r="Y10" i="43" a="1"/>
  <c r="Y10" i="43" s="1"/>
  <c r="Y15" i="43" a="1"/>
  <c r="Y15" i="43" s="1"/>
  <c r="Y17" i="43" a="1"/>
  <c r="Y17" i="43" s="1"/>
  <c r="Y19" i="43"/>
  <c r="Y8" i="43" a="1"/>
  <c r="Y8" i="43" s="1"/>
  <c r="Y18" i="43" a="1"/>
  <c r="Y18" i="43" s="1"/>
  <c r="Y13" i="43" a="1"/>
  <c r="Y13" i="43" s="1"/>
  <c r="O22" i="43" s="1"/>
  <c r="Y4" i="43" a="1"/>
  <c r="Y4" i="43" s="1"/>
  <c r="Y5" i="43" a="1"/>
  <c r="Y5" i="43" s="1"/>
  <c r="AM16" i="43" a="1"/>
  <c r="AM16" i="43" s="1"/>
  <c r="AM7" i="43" a="1"/>
  <c r="AM7" i="43" s="1"/>
  <c r="AM14" i="43" a="1"/>
  <c r="AM14" i="43" s="1"/>
  <c r="AM12" i="43" a="1"/>
  <c r="AM12" i="43" s="1"/>
  <c r="AM8" i="43" a="1"/>
  <c r="AM8" i="43" s="1"/>
  <c r="AM17" i="43" a="1"/>
  <c r="AM17" i="43" s="1"/>
  <c r="AM19" i="43"/>
  <c r="AM3" i="43" a="1"/>
  <c r="AM3" i="43" s="1"/>
  <c r="N72" i="43" s="1"/>
  <c r="AM37" i="43"/>
  <c r="AM10" i="43" a="1"/>
  <c r="AM10" i="43" s="1"/>
  <c r="AM9" i="43" a="1"/>
  <c r="AM9" i="43" s="1"/>
  <c r="AM6" i="43" a="1"/>
  <c r="AM6" i="43" s="1"/>
  <c r="AM15" i="43" a="1"/>
  <c r="AM15" i="43" s="1"/>
  <c r="AM5" i="43" a="1"/>
  <c r="AM5" i="43" s="1"/>
  <c r="O74" i="43" s="1"/>
  <c r="AM11" i="43" a="1"/>
  <c r="AM11" i="43" s="1"/>
  <c r="AM18" i="43" a="1"/>
  <c r="AM18" i="43" s="1"/>
  <c r="AM13" i="43" a="1"/>
  <c r="AM13" i="43" s="1"/>
  <c r="AM4" i="43" a="1"/>
  <c r="AM4" i="43" s="1"/>
  <c r="N70" i="43" s="1"/>
  <c r="AO18" i="43" a="1"/>
  <c r="AO18" i="43" s="1"/>
  <c r="AO11" i="43" a="1"/>
  <c r="AO11" i="43" s="1"/>
  <c r="AO5" i="43" a="1"/>
  <c r="AO5" i="43" s="1"/>
  <c r="M80" i="43" s="1"/>
  <c r="AO37" i="43"/>
  <c r="AO9" i="43" a="1"/>
  <c r="AO9" i="43" s="1"/>
  <c r="AO15" i="43" a="1"/>
  <c r="AO15" i="43" s="1"/>
  <c r="AO16" i="43" a="1"/>
  <c r="AO16" i="43" s="1"/>
  <c r="AO4" i="43" a="1"/>
  <c r="AO4" i="43" s="1"/>
  <c r="N82" i="43" s="1"/>
  <c r="AO7" i="43" a="1"/>
  <c r="AO7" i="43" s="1"/>
  <c r="AO19" i="43"/>
  <c r="AO10" i="43" a="1"/>
  <c r="AO10" i="43" s="1"/>
  <c r="AO8" i="43" a="1"/>
  <c r="AO8" i="43" s="1"/>
  <c r="AO17" i="43" a="1"/>
  <c r="AO17" i="43" s="1"/>
  <c r="AO12" i="43" a="1"/>
  <c r="AO12" i="43" s="1"/>
  <c r="AO6" i="43" a="1"/>
  <c r="AO6" i="43" s="1"/>
  <c r="AO13" i="43" a="1"/>
  <c r="AO13" i="43" s="1"/>
  <c r="AO3" i="43" a="1"/>
  <c r="AO3" i="43" s="1"/>
  <c r="M85" i="43" s="1"/>
  <c r="AO14" i="43" a="1"/>
  <c r="AO14" i="43" s="1"/>
  <c r="AL15" i="43" a="1"/>
  <c r="AL15" i="43" s="1"/>
  <c r="AL13" i="43" a="1"/>
  <c r="AL13" i="43" s="1"/>
  <c r="AL11" i="43" a="1"/>
  <c r="AL11" i="43" s="1"/>
  <c r="AL4" i="43" a="1"/>
  <c r="AL4" i="43" s="1"/>
  <c r="M64" i="43" s="1"/>
  <c r="AL10" i="43" a="1"/>
  <c r="AL10" i="43" s="1"/>
  <c r="AL17" i="43" a="1"/>
  <c r="AL17" i="43" s="1"/>
  <c r="AL7" i="43" a="1"/>
  <c r="AL7" i="43" s="1"/>
  <c r="AL12" i="43" a="1"/>
  <c r="AL12" i="43" s="1"/>
  <c r="AL18" i="43" a="1"/>
  <c r="AL18" i="43" s="1"/>
  <c r="AL6" i="43" a="1"/>
  <c r="AL6" i="43" s="1"/>
  <c r="N65" i="43" s="1"/>
  <c r="AL3" i="43" a="1"/>
  <c r="AL3" i="43" s="1"/>
  <c r="AL16" i="43" a="1"/>
  <c r="AL16" i="43" s="1"/>
  <c r="AL5" i="43" a="1"/>
  <c r="AL5" i="43" s="1"/>
  <c r="M68" i="43" s="1"/>
  <c r="AL9" i="43" a="1"/>
  <c r="AL9" i="43" s="1"/>
  <c r="AL8" i="43" a="1"/>
  <c r="AL8" i="43" s="1"/>
  <c r="AL37" i="43"/>
  <c r="AL19" i="43"/>
  <c r="AL14" i="43" a="1"/>
  <c r="AL14" i="43" s="1"/>
  <c r="AH13" i="43" a="1"/>
  <c r="AH13" i="43" s="1"/>
  <c r="AH15" i="43" a="1"/>
  <c r="AH15" i="43" s="1"/>
  <c r="AH12" i="43" a="1"/>
  <c r="AH12" i="43" s="1"/>
  <c r="AH14" i="43" a="1"/>
  <c r="AH14" i="43" s="1"/>
  <c r="AH19" i="43"/>
  <c r="AH11" i="43" a="1"/>
  <c r="AH11" i="43" s="1"/>
  <c r="AH16" i="43" a="1"/>
  <c r="AH16" i="43" s="1"/>
  <c r="AH18" i="43" a="1"/>
  <c r="AH18" i="43" s="1"/>
  <c r="AH9" i="43" a="1"/>
  <c r="AH9" i="43" s="1"/>
  <c r="AH5" i="43" a="1"/>
  <c r="AH5" i="43" s="1"/>
  <c r="AH4" i="43" a="1"/>
  <c r="AH4" i="43" s="1"/>
  <c r="AH3" i="43" a="1"/>
  <c r="AH3" i="43" s="1"/>
  <c r="O50" i="43" s="1"/>
  <c r="AH37" i="43"/>
  <c r="AH7" i="43" a="1"/>
  <c r="AH7" i="43" s="1"/>
  <c r="AH6" i="43" a="1"/>
  <c r="AH6" i="43" s="1"/>
  <c r="M51" i="43" s="1"/>
  <c r="AH17" i="43" a="1"/>
  <c r="AH17" i="43" s="1"/>
  <c r="AH10" i="43" a="1"/>
  <c r="AH10" i="43" s="1"/>
  <c r="AH8" i="43" a="1"/>
  <c r="AH8" i="43" s="1"/>
  <c r="O118" i="43"/>
  <c r="S37" i="43"/>
  <c r="S7" i="43" a="1"/>
  <c r="S7" i="43" s="1"/>
  <c r="S19" i="43"/>
  <c r="S10" i="43" a="1"/>
  <c r="S10" i="43" s="1"/>
  <c r="S5" i="43" a="1"/>
  <c r="S5" i="43" s="1"/>
  <c r="O2" i="43" s="1"/>
  <c r="S16" i="43" a="1"/>
  <c r="S16" i="43" s="1"/>
  <c r="S17" i="43" a="1"/>
  <c r="S17" i="43" s="1"/>
  <c r="S18" i="43" a="1"/>
  <c r="S18" i="43" s="1"/>
  <c r="S8" i="43" a="1"/>
  <c r="S8" i="43" s="1"/>
  <c r="S11" i="43" a="1"/>
  <c r="S11" i="43" s="1"/>
  <c r="S15" i="43" a="1"/>
  <c r="S15" i="43" s="1"/>
  <c r="S12" i="43" a="1"/>
  <c r="S12" i="43" s="1"/>
  <c r="S9" i="43" a="1"/>
  <c r="S9" i="43" s="1"/>
  <c r="S3" i="43" a="1"/>
  <c r="S3" i="43" s="1"/>
  <c r="S14" i="43" a="1"/>
  <c r="S14" i="43" s="1"/>
  <c r="S13" i="43" a="1"/>
  <c r="S13" i="43" s="1"/>
  <c r="S4" i="43" a="1"/>
  <c r="S4" i="43" s="1"/>
  <c r="M4" i="43" s="1"/>
  <c r="S6" i="43" a="1"/>
  <c r="S6" i="43" s="1"/>
  <c r="N35" i="43"/>
  <c r="N54" i="43"/>
  <c r="O57" i="43"/>
  <c r="M56" i="43"/>
  <c r="O31" i="43"/>
  <c r="N74" i="43"/>
  <c r="N67" i="43"/>
  <c r="M38" i="43"/>
  <c r="N6" i="43"/>
  <c r="O55" i="43"/>
  <c r="N37" i="43"/>
  <c r="N55" i="43"/>
  <c r="O30" i="43"/>
  <c r="M33" i="43"/>
  <c r="N32" i="43"/>
  <c r="O34" i="43"/>
  <c r="M83" i="43"/>
  <c r="N36" i="43"/>
  <c r="O26" i="43"/>
  <c r="N49" i="43"/>
  <c r="O71" i="43"/>
  <c r="N51" i="43"/>
  <c r="M57" i="43"/>
  <c r="M78" i="43"/>
  <c r="O24" i="43"/>
  <c r="M59" i="43"/>
  <c r="M82" i="43"/>
  <c r="M69" i="43"/>
  <c r="O39" i="43"/>
  <c r="O76" i="43"/>
  <c r="N39" i="43"/>
  <c r="N25" i="43"/>
  <c r="M5" i="43"/>
  <c r="N77" i="43"/>
  <c r="O35" i="43"/>
  <c r="N22" i="43"/>
  <c r="M25" i="43"/>
  <c r="M37" i="43"/>
  <c r="O67" i="43"/>
  <c r="O56" i="43"/>
  <c r="M71" i="43"/>
  <c r="M60" i="43"/>
  <c r="O7" i="43"/>
  <c r="N59" i="43"/>
  <c r="O23" i="43"/>
  <c r="M35" i="43"/>
  <c r="O40" i="43"/>
  <c r="M36" i="43"/>
  <c r="O60" i="43"/>
  <c r="M76" i="43"/>
  <c r="N31" i="43"/>
  <c r="N75" i="43"/>
  <c r="N60" i="43"/>
  <c r="O33" i="43"/>
  <c r="M26" i="43"/>
  <c r="O49" i="43"/>
  <c r="N64" i="43"/>
  <c r="O38" i="43"/>
  <c r="N69" i="43"/>
  <c r="N33" i="43"/>
  <c r="M58" i="43"/>
  <c r="N57" i="43"/>
  <c r="O25" i="43"/>
  <c r="N76" i="43"/>
  <c r="M77" i="43"/>
  <c r="O84" i="43"/>
  <c r="M40" i="43"/>
  <c r="O65" i="43"/>
  <c r="N80" i="43"/>
  <c r="M8" i="43"/>
  <c r="M74" i="43"/>
  <c r="N40" i="43"/>
  <c r="N58" i="43"/>
  <c r="O77" i="43"/>
  <c r="M79" i="43"/>
  <c r="O81" i="43"/>
  <c r="O37" i="43"/>
  <c r="M24" i="43"/>
  <c r="M70" i="43"/>
  <c r="O54" i="43"/>
  <c r="O4" i="43"/>
  <c r="N85" i="43"/>
  <c r="N38" i="43"/>
  <c r="O64" i="43"/>
  <c r="M75" i="43"/>
  <c r="O36" i="43"/>
  <c r="M32" i="43"/>
  <c r="N34" i="43"/>
  <c r="M39" i="43"/>
  <c r="M73" i="43"/>
  <c r="M34" i="43"/>
  <c r="M84" i="43"/>
  <c r="O51" i="43"/>
  <c r="N26" i="43"/>
  <c r="O78" i="43"/>
  <c r="N30" i="43"/>
  <c r="N23" i="43"/>
  <c r="M81" i="43"/>
  <c r="X17" i="43" a="1"/>
  <c r="X17" i="43" s="1"/>
  <c r="X4" i="43" a="1"/>
  <c r="X4" i="43" s="1"/>
  <c r="X15" i="43" a="1"/>
  <c r="X15" i="43" s="1"/>
  <c r="X9" i="43" a="1"/>
  <c r="X9" i="43" s="1"/>
  <c r="M21" i="43" s="1"/>
  <c r="X16" i="43" a="1"/>
  <c r="X16" i="43" s="1"/>
  <c r="X18" i="43" a="1"/>
  <c r="X18" i="43" s="1"/>
  <c r="X3" i="43" a="1"/>
  <c r="X3" i="43" s="1"/>
  <c r="O20" i="43" s="1"/>
  <c r="X11" i="43" a="1"/>
  <c r="X11" i="43" s="1"/>
  <c r="X37" i="43"/>
  <c r="X14" i="43" a="1"/>
  <c r="X14" i="43" s="1"/>
  <c r="X6" i="43" a="1"/>
  <c r="X6" i="43" s="1"/>
  <c r="X10" i="43" a="1"/>
  <c r="X10" i="43" s="1"/>
  <c r="X19" i="43"/>
  <c r="X8" i="43" a="1"/>
  <c r="X8" i="43" s="1"/>
  <c r="X5" i="43" a="1"/>
  <c r="X5" i="43" s="1"/>
  <c r="X7" i="43" a="1"/>
  <c r="X7" i="43" s="1"/>
  <c r="X13" i="43" a="1"/>
  <c r="X13" i="43" s="1"/>
  <c r="X12" i="43" a="1"/>
  <c r="X12" i="43" s="1"/>
  <c r="AF17" i="43" a="1"/>
  <c r="AF17" i="43" s="1"/>
  <c r="AF7" i="43" a="1"/>
  <c r="AF7" i="43" s="1"/>
  <c r="AF18" i="43" a="1"/>
  <c r="AF18" i="43" s="1"/>
  <c r="AF6" i="43" a="1"/>
  <c r="AF6" i="43" s="1"/>
  <c r="AF19" i="43"/>
  <c r="AF12" i="43" a="1"/>
  <c r="AF12" i="43" s="1"/>
  <c r="AF4" i="43" a="1"/>
  <c r="AF4" i="43" s="1"/>
  <c r="AF11" i="43" a="1"/>
  <c r="AF11" i="43" s="1"/>
  <c r="AF15" i="43" a="1"/>
  <c r="AF15" i="43" s="1"/>
  <c r="AF5" i="43" a="1"/>
  <c r="AF5" i="43" s="1"/>
  <c r="M43" i="43" s="1"/>
  <c r="AF37" i="43"/>
  <c r="AF10" i="43" a="1"/>
  <c r="AF10" i="43" s="1"/>
  <c r="AF16" i="43" a="1"/>
  <c r="AF16" i="43" s="1"/>
  <c r="AF3" i="43" a="1"/>
  <c r="AF3" i="43" s="1"/>
  <c r="O43" i="43" s="1"/>
  <c r="AF8" i="43" a="1"/>
  <c r="AF8" i="43" s="1"/>
  <c r="AF14" i="43" a="1"/>
  <c r="AF14" i="43" s="1"/>
  <c r="AF13" i="43" a="1"/>
  <c r="AF13" i="43" s="1"/>
  <c r="AF9" i="43" a="1"/>
  <c r="AF9" i="43" s="1"/>
  <c r="AP18" i="43" a="1"/>
  <c r="AP18" i="43" s="1"/>
  <c r="AP14" i="43" a="1"/>
  <c r="AP14" i="43" s="1"/>
  <c r="AP11" i="43" a="1"/>
  <c r="AP11" i="43" s="1"/>
  <c r="AP3" i="43" a="1"/>
  <c r="AP3" i="43" s="1"/>
  <c r="AP37" i="43"/>
  <c r="AP9" i="43" a="1"/>
  <c r="AP9" i="43" s="1"/>
  <c r="AP12" i="43" a="1"/>
  <c r="AP12" i="43" s="1"/>
  <c r="AP7" i="43" a="1"/>
  <c r="AP7" i="43" s="1"/>
  <c r="O86" i="43" s="1"/>
  <c r="AP16" i="43" a="1"/>
  <c r="AP16" i="43" s="1"/>
  <c r="AP6" i="43" a="1"/>
  <c r="AP6" i="43" s="1"/>
  <c r="AP10" i="43" a="1"/>
  <c r="AP10" i="43" s="1"/>
  <c r="AP15" i="43" a="1"/>
  <c r="AP15" i="43" s="1"/>
  <c r="AP5" i="43" a="1"/>
  <c r="AP5" i="43" s="1"/>
  <c r="AP4" i="43" a="1"/>
  <c r="AP4" i="43" s="1"/>
  <c r="AP19" i="43"/>
  <c r="AP17" i="43" a="1"/>
  <c r="AP17" i="43" s="1"/>
  <c r="AP13" i="43" a="1"/>
  <c r="AP13" i="43" s="1"/>
  <c r="AP8" i="43" a="1"/>
  <c r="AP8" i="43" s="1"/>
  <c r="AR14" i="43" a="1"/>
  <c r="AR14" i="43" s="1"/>
  <c r="AR10" i="43" a="1"/>
  <c r="AR10" i="43" s="1"/>
  <c r="AR8" i="43" a="1"/>
  <c r="AR8" i="43" s="1"/>
  <c r="M113" i="43" s="1"/>
  <c r="AR6" i="43" a="1"/>
  <c r="AR6" i="43" s="1"/>
  <c r="AR12" i="43" a="1"/>
  <c r="AR12" i="43" s="1"/>
  <c r="AR17" i="43" a="1"/>
  <c r="AR17" i="43" s="1"/>
  <c r="AR37" i="43"/>
  <c r="AR7" i="43" a="1"/>
  <c r="AR7" i="43" s="1"/>
  <c r="AR11" i="43" a="1"/>
  <c r="AR11" i="43" s="1"/>
  <c r="AR4" i="43" a="1"/>
  <c r="AR4" i="43" s="1"/>
  <c r="AR16" i="43" a="1"/>
  <c r="AR16" i="43" s="1"/>
  <c r="AR9" i="43" a="1"/>
  <c r="AR9" i="43" s="1"/>
  <c r="AR18" i="43" a="1"/>
  <c r="AR18" i="43" s="1"/>
  <c r="AR19" i="43"/>
  <c r="AR13" i="43" a="1"/>
  <c r="AR13" i="43" s="1"/>
  <c r="N104" i="43" s="1"/>
  <c r="AR15" i="43" a="1"/>
  <c r="AR15" i="43" s="1"/>
  <c r="AR5" i="43" a="1"/>
  <c r="AR5" i="43" s="1"/>
  <c r="AR3" i="43" a="1"/>
  <c r="AR3" i="43" s="1"/>
  <c r="O106" i="43" s="1"/>
  <c r="AQ16" i="43" a="1"/>
  <c r="AQ16" i="43" s="1"/>
  <c r="AQ7" i="43" a="1"/>
  <c r="AQ7" i="43" s="1"/>
  <c r="AQ10" i="43" a="1"/>
  <c r="AQ10" i="43" s="1"/>
  <c r="AQ6" i="43" a="1"/>
  <c r="AQ6" i="43" s="1"/>
  <c r="AQ11" i="43" a="1"/>
  <c r="AQ11" i="43" s="1"/>
  <c r="AQ19" i="43"/>
  <c r="AQ14" i="43" a="1"/>
  <c r="AQ14" i="43" s="1"/>
  <c r="AQ5" i="43" a="1"/>
  <c r="AQ5" i="43" s="1"/>
  <c r="AQ13" i="43" a="1"/>
  <c r="AQ13" i="43" s="1"/>
  <c r="AQ4" i="43" a="1"/>
  <c r="AQ4" i="43" s="1"/>
  <c r="AQ18" i="43" a="1"/>
  <c r="AQ18" i="43" s="1"/>
  <c r="AQ12" i="43" a="1"/>
  <c r="AQ12" i="43" s="1"/>
  <c r="AQ3" i="43" a="1"/>
  <c r="AQ3" i="43" s="1"/>
  <c r="AQ9" i="43" a="1"/>
  <c r="AQ9" i="43" s="1"/>
  <c r="AQ15" i="43" a="1"/>
  <c r="AQ15" i="43" s="1"/>
  <c r="AQ37" i="43"/>
  <c r="AQ17" i="43" a="1"/>
  <c r="AQ17" i="43" s="1"/>
  <c r="AQ8" i="43" a="1"/>
  <c r="AQ8" i="43" s="1"/>
  <c r="AG10" i="43" a="1"/>
  <c r="AG10" i="43" s="1"/>
  <c r="AG19" i="43"/>
  <c r="AG37" i="43"/>
  <c r="AG9" i="43" a="1"/>
  <c r="AG9" i="43" s="1"/>
  <c r="AG5" i="43" a="1"/>
  <c r="AG5" i="43" s="1"/>
  <c r="AG16" i="43" a="1"/>
  <c r="AG16" i="43" s="1"/>
  <c r="AG6" i="43" a="1"/>
  <c r="AG6" i="43" s="1"/>
  <c r="AG15" i="43" a="1"/>
  <c r="AG15" i="43" s="1"/>
  <c r="AG3" i="43" a="1"/>
  <c r="AG3" i="43" s="1"/>
  <c r="AG11" i="43" a="1"/>
  <c r="AG11" i="43" s="1"/>
  <c r="AG13" i="43" a="1"/>
  <c r="AG13" i="43" s="1"/>
  <c r="AG18" i="43" a="1"/>
  <c r="AG18" i="43" s="1"/>
  <c r="AG7" i="43" a="1"/>
  <c r="AG7" i="43" s="1"/>
  <c r="AG12" i="43" a="1"/>
  <c r="AG12" i="43" s="1"/>
  <c r="AG17" i="43" a="1"/>
  <c r="AG17" i="43" s="1"/>
  <c r="AG4" i="43" a="1"/>
  <c r="AG4" i="43" s="1"/>
  <c r="N46" i="43" s="1"/>
  <c r="AG8" i="43" a="1"/>
  <c r="AG8" i="43" s="1"/>
  <c r="AG14" i="43" a="1"/>
  <c r="AG14" i="43" s="1"/>
  <c r="W10" i="43" a="1"/>
  <c r="W10" i="43" s="1"/>
  <c r="W5" i="43" a="1"/>
  <c r="W5" i="43" s="1"/>
  <c r="W19" i="43"/>
  <c r="W9" i="43" a="1"/>
  <c r="W9" i="43" s="1"/>
  <c r="W11" i="43" a="1"/>
  <c r="W11" i="43" s="1"/>
  <c r="W3" i="43" a="1"/>
  <c r="W3" i="43" s="1"/>
  <c r="N19" i="43" s="1"/>
  <c r="W13" i="43" a="1"/>
  <c r="W13" i="43" s="1"/>
  <c r="W16" i="43" a="1"/>
  <c r="W16" i="43" s="1"/>
  <c r="W7" i="43" a="1"/>
  <c r="W7" i="43" s="1"/>
  <c r="W37" i="43"/>
  <c r="W6" i="43" a="1"/>
  <c r="W6" i="43" s="1"/>
  <c r="W12" i="43" a="1"/>
  <c r="W12" i="43" s="1"/>
  <c r="W17" i="43" a="1"/>
  <c r="W17" i="43" s="1"/>
  <c r="W8" i="43" a="1"/>
  <c r="W8" i="43" s="1"/>
  <c r="W18" i="43" a="1"/>
  <c r="W18" i="43" s="1"/>
  <c r="W4" i="43" a="1"/>
  <c r="W4" i="43" s="1"/>
  <c r="W15" i="43" a="1"/>
  <c r="W15" i="43" s="1"/>
  <c r="W14" i="43" a="1"/>
  <c r="W14" i="43" s="1"/>
  <c r="AI8" i="43" a="1"/>
  <c r="AI8" i="43" s="1"/>
  <c r="AI9" i="43" a="1"/>
  <c r="AI9" i="43" s="1"/>
  <c r="AI37" i="43"/>
  <c r="AI17" i="43" a="1"/>
  <c r="AI17" i="43" s="1"/>
  <c r="AI12" i="43" a="1"/>
  <c r="AI12" i="43" s="1"/>
  <c r="AI3" i="43" a="1"/>
  <c r="AI3" i="43" s="1"/>
  <c r="O52" i="43" s="1"/>
  <c r="AI7" i="43" a="1"/>
  <c r="AI7" i="43" s="1"/>
  <c r="AI18" i="43" a="1"/>
  <c r="AI18" i="43" s="1"/>
  <c r="AI15" i="43" a="1"/>
  <c r="AI15" i="43" s="1"/>
  <c r="AI4" i="43" a="1"/>
  <c r="AI4" i="43" s="1"/>
  <c r="AI10" i="43" a="1"/>
  <c r="AI10" i="43" s="1"/>
  <c r="AI19" i="43"/>
  <c r="AI6" i="43" a="1"/>
  <c r="AI6" i="43" s="1"/>
  <c r="AI5" i="43" a="1"/>
  <c r="AI5" i="43" s="1"/>
  <c r="AI16" i="43" a="1"/>
  <c r="AI16" i="43" s="1"/>
  <c r="AI14" i="43" a="1"/>
  <c r="AI14" i="43" s="1"/>
  <c r="AI13" i="43" a="1"/>
  <c r="AI13" i="43" s="1"/>
  <c r="AI11" i="43" a="1"/>
  <c r="AI11" i="43" s="1"/>
  <c r="AE37" i="43"/>
  <c r="AE11" i="43" a="1"/>
  <c r="AE11" i="43" s="1"/>
  <c r="AE6" i="43" a="1"/>
  <c r="AE6" i="43" s="1"/>
  <c r="AE12" i="43" a="1"/>
  <c r="AE12" i="43" s="1"/>
  <c r="AE3" i="43" a="1"/>
  <c r="AE3" i="43" s="1"/>
  <c r="M41" i="43" s="1"/>
  <c r="AE16" i="43" a="1"/>
  <c r="AE16" i="43" s="1"/>
  <c r="AE7" i="43" a="1"/>
  <c r="AE7" i="43" s="1"/>
  <c r="AE17" i="43" a="1"/>
  <c r="AE17" i="43" s="1"/>
  <c r="AE8" i="43" a="1"/>
  <c r="AE8" i="43" s="1"/>
  <c r="AE14" i="43" a="1"/>
  <c r="AE14" i="43" s="1"/>
  <c r="AE9" i="43" a="1"/>
  <c r="AE9" i="43" s="1"/>
  <c r="AE15" i="43" a="1"/>
  <c r="AE15" i="43" s="1"/>
  <c r="AE4" i="43" a="1"/>
  <c r="AE4" i="43" s="1"/>
  <c r="AE13" i="43" a="1"/>
  <c r="AE13" i="43" s="1"/>
  <c r="AE19" i="43"/>
  <c r="AE18" i="43" a="1"/>
  <c r="AE18" i="43" s="1"/>
  <c r="AE10" i="43" a="1"/>
  <c r="AE10" i="43" s="1"/>
  <c r="AE5" i="43" a="1"/>
  <c r="AE5" i="43" s="1"/>
  <c r="AK10" i="43" a="1"/>
  <c r="AK10" i="43" s="1"/>
  <c r="AK4" i="43" a="1"/>
  <c r="AK4" i="43" s="1"/>
  <c r="AK9" i="43" a="1"/>
  <c r="AK9" i="43" s="1"/>
  <c r="AK6" i="43" a="1"/>
  <c r="AK6" i="43" s="1"/>
  <c r="AK12" i="43" a="1"/>
  <c r="AK12" i="43" s="1"/>
  <c r="AK16" i="43" a="1"/>
  <c r="AK16" i="43" s="1"/>
  <c r="AK19" i="43"/>
  <c r="AK14" i="43" a="1"/>
  <c r="AK14" i="43" s="1"/>
  <c r="AK37" i="43"/>
  <c r="AK13" i="43" a="1"/>
  <c r="AK13" i="43" s="1"/>
  <c r="AK11" i="43" a="1"/>
  <c r="AK11" i="43" s="1"/>
  <c r="AK7" i="43" a="1"/>
  <c r="AK7" i="43" s="1"/>
  <c r="AK18" i="43" a="1"/>
  <c r="AK18" i="43" s="1"/>
  <c r="AK8" i="43" a="1"/>
  <c r="AK8" i="43" s="1"/>
  <c r="AK5" i="43" a="1"/>
  <c r="AK5" i="43" s="1"/>
  <c r="AK3" i="43" a="1"/>
  <c r="AK3" i="43" s="1"/>
  <c r="M63" i="43" s="1"/>
  <c r="AK17" i="43" a="1"/>
  <c r="AK17" i="43" s="1"/>
  <c r="AK15" i="43" a="1"/>
  <c r="AK15" i="43" s="1"/>
  <c r="V15" i="43" a="1"/>
  <c r="V15" i="43" s="1"/>
  <c r="V4" i="43" a="1"/>
  <c r="V4" i="43" s="1"/>
  <c r="V11" i="43" a="1"/>
  <c r="V11" i="43" s="1"/>
  <c r="V3" i="43" a="1"/>
  <c r="V3" i="43" s="1"/>
  <c r="N10" i="43" s="1"/>
  <c r="V16" i="43" a="1"/>
  <c r="V16" i="43" s="1"/>
  <c r="V12" i="43" a="1"/>
  <c r="V12" i="43" s="1"/>
  <c r="V18" i="43" a="1"/>
  <c r="V18" i="43" s="1"/>
  <c r="V8" i="43" a="1"/>
  <c r="V8" i="43" s="1"/>
  <c r="V37" i="43"/>
  <c r="V7" i="43" a="1"/>
  <c r="V7" i="43" s="1"/>
  <c r="V14" i="43" a="1"/>
  <c r="V14" i="43" s="1"/>
  <c r="V19" i="43"/>
  <c r="V6" i="43" a="1"/>
  <c r="V6" i="43" s="1"/>
  <c r="V13" i="43" a="1"/>
  <c r="V13" i="43" s="1"/>
  <c r="V17" i="43" a="1"/>
  <c r="V17" i="43" s="1"/>
  <c r="V5" i="43" a="1"/>
  <c r="V5" i="43" s="1"/>
  <c r="V10" i="43" a="1"/>
  <c r="V10" i="43" s="1"/>
  <c r="V9" i="43" a="1"/>
  <c r="V9" i="43" s="1"/>
  <c r="AA37" i="43"/>
  <c r="AA10" i="43" a="1"/>
  <c r="AA10" i="43" s="1"/>
  <c r="AA6" i="43" a="1"/>
  <c r="AA6" i="43" s="1"/>
  <c r="AA19" i="43"/>
  <c r="AA13" i="43" a="1"/>
  <c r="AA13" i="43" s="1"/>
  <c r="AA5" i="43" a="1"/>
  <c r="AA5" i="43" s="1"/>
  <c r="AA17" i="43" a="1"/>
  <c r="AA17" i="43" s="1"/>
  <c r="AA9" i="43" a="1"/>
  <c r="AA9" i="43" s="1"/>
  <c r="AA16" i="43" a="1"/>
  <c r="AA16" i="43" s="1"/>
  <c r="AA8" i="43" a="1"/>
  <c r="AA8" i="43" s="1"/>
  <c r="AA14" i="43" a="1"/>
  <c r="AA14" i="43" s="1"/>
  <c r="AA4" i="43" a="1"/>
  <c r="AA4" i="43" s="1"/>
  <c r="AA15" i="43" a="1"/>
  <c r="AA15" i="43" s="1"/>
  <c r="AA3" i="43" a="1"/>
  <c r="AA3" i="43" s="1"/>
  <c r="N28" i="43" s="1"/>
  <c r="AA11" i="43" a="1"/>
  <c r="AA11" i="43" s="1"/>
  <c r="AA12" i="43" a="1"/>
  <c r="AA12" i="43" s="1"/>
  <c r="AA18" i="43" a="1"/>
  <c r="AA18" i="43" s="1"/>
  <c r="AA7" i="43" a="1"/>
  <c r="AA7" i="43" s="1"/>
  <c r="AD58" i="28"/>
  <c r="AE58" i="28" s="1"/>
  <c r="Z58" i="28"/>
  <c r="AA58" i="28" s="1"/>
  <c r="AD56" i="28"/>
  <c r="AE56" i="28" s="1"/>
  <c r="Z56" i="28"/>
  <c r="AA56" i="28" s="1"/>
  <c r="AD50" i="28"/>
  <c r="AE50" i="28" s="1"/>
  <c r="Z50" i="28"/>
  <c r="Z74" i="28"/>
  <c r="AD74" i="28"/>
  <c r="Z73" i="28"/>
  <c r="AA73" i="28" s="1"/>
  <c r="AD73" i="28"/>
  <c r="AE73" i="28" s="1"/>
  <c r="AD59" i="28"/>
  <c r="AE59" i="28" s="1"/>
  <c r="Z59" i="28"/>
  <c r="AA59" i="28" s="1"/>
  <c r="Z39" i="28"/>
  <c r="AA39" i="28" s="1"/>
  <c r="AD39" i="28"/>
  <c r="AE39" i="28" s="1"/>
  <c r="Z40" i="28"/>
  <c r="AA40" i="28" s="1"/>
  <c r="AD40" i="28"/>
  <c r="AE40" i="28" s="1"/>
  <c r="AD64" i="28"/>
  <c r="AE64" i="28" s="1"/>
  <c r="Z64" i="28"/>
  <c r="AA64" i="28" s="1"/>
  <c r="Z47" i="28"/>
  <c r="AA47" i="28" s="1"/>
  <c r="AD60" i="28"/>
  <c r="Z60" i="28"/>
  <c r="AD70" i="28"/>
  <c r="AE70" i="28" s="1"/>
  <c r="Z70" i="28"/>
  <c r="AA70" i="28" s="1"/>
  <c r="Z63" i="28"/>
  <c r="AA63" i="28" s="1"/>
  <c r="AD63" i="28"/>
  <c r="AE63" i="28" s="1"/>
  <c r="Z41" i="28"/>
  <c r="AA41" i="28" s="1"/>
  <c r="AD41" i="28"/>
  <c r="AE41" i="28" s="1"/>
  <c r="Z44" i="28"/>
  <c r="AA44" i="28" s="1"/>
  <c r="AD44" i="28"/>
  <c r="AE44" i="28" s="1"/>
  <c r="AD66" i="28"/>
  <c r="Z66" i="28"/>
  <c r="AF56" i="28"/>
  <c r="Z68" i="28"/>
  <c r="AD68" i="28"/>
  <c r="Z61" i="28"/>
  <c r="AA61" i="28" s="1"/>
  <c r="AD61" i="28"/>
  <c r="AE61" i="28" s="1"/>
  <c r="Z71" i="28"/>
  <c r="AA71" i="28" s="1"/>
  <c r="AD71" i="28"/>
  <c r="AE71" i="28" s="1"/>
  <c r="AD52" i="28"/>
  <c r="AE52" i="28" s="1"/>
  <c r="Z52" i="28"/>
  <c r="AA52" i="28" s="1"/>
  <c r="AD42" i="28"/>
  <c r="AE42" i="28" s="1"/>
  <c r="Z42" i="28"/>
  <c r="AA42" i="28" s="1"/>
  <c r="AD45" i="28"/>
  <c r="AE45" i="28" s="1"/>
  <c r="Z45" i="28"/>
  <c r="AA45" i="28" s="1"/>
  <c r="AD55" i="28"/>
  <c r="Z55" i="28"/>
  <c r="AF50" i="28"/>
  <c r="AD62" i="28"/>
  <c r="AE62" i="28" s="1"/>
  <c r="Z62" i="28"/>
  <c r="AA62" i="28" s="1"/>
  <c r="AD72" i="28"/>
  <c r="AE72" i="28" s="1"/>
  <c r="Z72" i="28"/>
  <c r="AA72" i="28" s="1"/>
  <c r="Z54" i="28"/>
  <c r="AA54" i="28" s="1"/>
  <c r="AD54" i="28"/>
  <c r="AE54" i="28" s="1"/>
  <c r="AD43" i="28"/>
  <c r="Z43" i="28"/>
  <c r="AA43" i="28" s="1"/>
  <c r="AD46" i="28"/>
  <c r="Z46" i="28"/>
  <c r="Z49" i="28"/>
  <c r="AA49" i="28" s="1"/>
  <c r="AD49" i="28"/>
  <c r="AE49" i="28" s="1"/>
  <c r="AD36" i="28"/>
  <c r="Z36" i="28"/>
  <c r="AD35" i="28"/>
  <c r="Z35" i="28"/>
  <c r="Z57" i="28"/>
  <c r="AD57" i="28"/>
  <c r="Z48" i="28"/>
  <c r="AA48" i="28" s="1"/>
  <c r="AD48" i="28"/>
  <c r="AE48" i="28" s="1"/>
  <c r="AD67" i="28"/>
  <c r="AE67" i="28" s="1"/>
  <c r="Z67" i="28"/>
  <c r="AA67" i="28" s="1"/>
  <c r="AD53" i="28"/>
  <c r="AE53" i="28" s="1"/>
  <c r="Z53" i="28"/>
  <c r="AA53" i="28" s="1"/>
  <c r="AD37" i="28"/>
  <c r="AE37" i="28" s="1"/>
  <c r="Z37" i="28"/>
  <c r="AA37" i="28" s="1"/>
  <c r="AD51" i="28"/>
  <c r="AE51" i="28" s="1"/>
  <c r="Z51" i="28"/>
  <c r="AA51" i="28" s="1"/>
  <c r="AD65" i="28"/>
  <c r="AE65" i="28" s="1"/>
  <c r="Z65" i="28"/>
  <c r="AA65" i="28" s="1"/>
  <c r="AF70" i="28"/>
  <c r="AB62" i="28"/>
  <c r="AB69" i="28"/>
  <c r="AF69" i="28"/>
  <c r="AF65" i="28"/>
  <c r="AB42" i="28"/>
  <c r="AF42" i="28"/>
  <c r="AB49" i="28"/>
  <c r="AB38" i="28"/>
  <c r="AF38" i="28"/>
  <c r="AB41" i="28"/>
  <c r="AF45" i="28"/>
  <c r="AF72" i="28"/>
  <c r="AF64" i="28"/>
  <c r="AB64" i="28"/>
  <c r="AF39" i="28"/>
  <c r="AF58" i="28"/>
  <c r="AB58" i="28"/>
  <c r="AF47" i="28"/>
  <c r="AB47" i="28"/>
  <c r="AB48" i="28"/>
  <c r="AF48" i="28"/>
  <c r="AF63" i="28"/>
  <c r="AF44" i="28"/>
  <c r="AB44" i="28"/>
  <c r="AF73" i="28"/>
  <c r="AB73" i="28"/>
  <c r="AQ33" i="43" l="1"/>
  <c r="AQ32" i="43"/>
  <c r="AQ30" i="43"/>
  <c r="AQ20" i="43"/>
  <c r="AQ26" i="43"/>
  <c r="AQ24" i="43"/>
  <c r="AQ21" i="43"/>
  <c r="AQ27" i="43"/>
  <c r="AQ25" i="43"/>
  <c r="AQ31" i="43"/>
  <c r="AQ22" i="43"/>
  <c r="AQ28" i="43"/>
  <c r="AQ23" i="43"/>
  <c r="AQ38" i="43"/>
  <c r="AQ34" i="43"/>
  <c r="AQ35" i="43"/>
  <c r="AQ29" i="43"/>
  <c r="O99" i="43"/>
  <c r="N62" i="43"/>
  <c r="N102" i="43"/>
  <c r="M111" i="43"/>
  <c r="N90" i="43"/>
  <c r="M15" i="43"/>
  <c r="M108" i="43"/>
  <c r="M27" i="43"/>
  <c r="M109" i="43"/>
  <c r="O115" i="43"/>
  <c r="O63" i="43"/>
  <c r="N116" i="43"/>
  <c r="M48" i="43"/>
  <c r="N107" i="43"/>
  <c r="O17" i="43"/>
  <c r="O21" i="43"/>
  <c r="N15" i="43"/>
  <c r="U30" i="43"/>
  <c r="U25" i="43"/>
  <c r="U28" i="43"/>
  <c r="U31" i="43"/>
  <c r="U35" i="43"/>
  <c r="U32" i="43"/>
  <c r="U22" i="43"/>
  <c r="U34" i="43"/>
  <c r="U33" i="43"/>
  <c r="U29" i="43"/>
  <c r="U27" i="43"/>
  <c r="U26" i="43"/>
  <c r="U23" i="43"/>
  <c r="U38" i="43"/>
  <c r="U24" i="43"/>
  <c r="U20" i="43"/>
  <c r="U21" i="43"/>
  <c r="AB33" i="43"/>
  <c r="AB20" i="43"/>
  <c r="AB34" i="43"/>
  <c r="AB38" i="43"/>
  <c r="AB30" i="43"/>
  <c r="AB29" i="43"/>
  <c r="AB25" i="43"/>
  <c r="AB31" i="43"/>
  <c r="AB21" i="43"/>
  <c r="AB27" i="43"/>
  <c r="AB32" i="43"/>
  <c r="AB28" i="43"/>
  <c r="AB22" i="43"/>
  <c r="AB26" i="43"/>
  <c r="AB23" i="43"/>
  <c r="AB35" i="43"/>
  <c r="AB24" i="43"/>
  <c r="M44" i="43"/>
  <c r="M91" i="43"/>
  <c r="N47" i="43"/>
  <c r="M11" i="43"/>
  <c r="O45" i="43"/>
  <c r="N87" i="43"/>
  <c r="M87" i="43"/>
  <c r="O93" i="43"/>
  <c r="M97" i="43"/>
  <c r="N91" i="43"/>
  <c r="N12" i="43"/>
  <c r="N88" i="43"/>
  <c r="M101" i="43"/>
  <c r="M103" i="43"/>
  <c r="N3" i="43"/>
  <c r="AA25" i="43"/>
  <c r="AA26" i="43"/>
  <c r="AA21" i="43"/>
  <c r="AA23" i="43"/>
  <c r="L28" i="43" s="1"/>
  <c r="AA30" i="43"/>
  <c r="AA24" i="43"/>
  <c r="AA31" i="43"/>
  <c r="AA33" i="43"/>
  <c r="AA38" i="43"/>
  <c r="AA32" i="43"/>
  <c r="AA29" i="43"/>
  <c r="AA35" i="43"/>
  <c r="AA28" i="43"/>
  <c r="AA27" i="43"/>
  <c r="AA20" i="43"/>
  <c r="AA22" i="43"/>
  <c r="AA34" i="43"/>
  <c r="AI21" i="43"/>
  <c r="AI32" i="43"/>
  <c r="AI38" i="43"/>
  <c r="AI23" i="43"/>
  <c r="AI35" i="43"/>
  <c r="AI30" i="43"/>
  <c r="AI27" i="43"/>
  <c r="AI26" i="43"/>
  <c r="AI34" i="43"/>
  <c r="AI31" i="43"/>
  <c r="AI22" i="43"/>
  <c r="L53" i="43" s="1"/>
  <c r="AI28" i="43"/>
  <c r="AI20" i="43"/>
  <c r="AI25" i="43"/>
  <c r="AI33" i="43"/>
  <c r="AI29" i="43"/>
  <c r="AI24" i="43"/>
  <c r="O47" i="43"/>
  <c r="N101" i="43"/>
  <c r="AG32" i="43"/>
  <c r="AG22" i="43"/>
  <c r="AG20" i="43"/>
  <c r="AG23" i="43"/>
  <c r="AG28" i="43"/>
  <c r="AG26" i="43"/>
  <c r="AG24" i="43"/>
  <c r="AG30" i="43"/>
  <c r="L47" i="43" s="1"/>
  <c r="AG35" i="43"/>
  <c r="AG31" i="43"/>
  <c r="AG34" i="43"/>
  <c r="AG29" i="43"/>
  <c r="AG38" i="43"/>
  <c r="AG25" i="43"/>
  <c r="AG21" i="43"/>
  <c r="AG33" i="43"/>
  <c r="AG27" i="43"/>
  <c r="N2" i="43"/>
  <c r="N16" i="43"/>
  <c r="M55" i="43"/>
  <c r="N13" i="43"/>
  <c r="O80" i="43"/>
  <c r="M19" i="43"/>
  <c r="N50" i="43"/>
  <c r="N8" i="43"/>
  <c r="O75" i="43"/>
  <c r="O101" i="43"/>
  <c r="M90" i="43"/>
  <c r="M104" i="43"/>
  <c r="M115" i="43"/>
  <c r="M117" i="43"/>
  <c r="O13" i="43"/>
  <c r="N18" i="43"/>
  <c r="M54" i="43"/>
  <c r="M23" i="43"/>
  <c r="O5" i="43"/>
  <c r="O11" i="43"/>
  <c r="M10" i="43"/>
  <c r="N44" i="43"/>
  <c r="M12" i="43"/>
  <c r="N110" i="43"/>
  <c r="O29" i="43"/>
  <c r="N56" i="43"/>
  <c r="M14" i="43"/>
  <c r="N68" i="43"/>
  <c r="M30" i="43"/>
  <c r="O10" i="43"/>
  <c r="N112" i="43"/>
  <c r="M66" i="43"/>
  <c r="N4" i="43"/>
  <c r="O90" i="43"/>
  <c r="N89" i="43"/>
  <c r="N27" i="43"/>
  <c r="N99" i="43"/>
  <c r="L8" i="43"/>
  <c r="L48" i="43"/>
  <c r="L99" i="43"/>
  <c r="L92" i="43"/>
  <c r="L94" i="43"/>
  <c r="L97" i="43"/>
  <c r="L7" i="43"/>
  <c r="L89" i="43"/>
  <c r="L100" i="43"/>
  <c r="L98" i="43"/>
  <c r="L95" i="43"/>
  <c r="L90" i="43"/>
  <c r="L93" i="43"/>
  <c r="L102" i="43"/>
  <c r="L91" i="43"/>
  <c r="L30" i="43"/>
  <c r="L31" i="43"/>
  <c r="L88" i="43"/>
  <c r="L46" i="43"/>
  <c r="L52" i="43"/>
  <c r="L96" i="43"/>
  <c r="L101" i="43"/>
  <c r="L87" i="43"/>
  <c r="AK29" i="43"/>
  <c r="AK38" i="43"/>
  <c r="AK35" i="43"/>
  <c r="AK28" i="43"/>
  <c r="AK30" i="43"/>
  <c r="AK34" i="43"/>
  <c r="AK23" i="43"/>
  <c r="AK25" i="43"/>
  <c r="AK20" i="43"/>
  <c r="L61" i="43" s="1"/>
  <c r="AK33" i="43"/>
  <c r="AK31" i="43"/>
  <c r="AK32" i="43"/>
  <c r="AK22" i="43"/>
  <c r="AK21" i="43"/>
  <c r="AK27" i="43"/>
  <c r="AK26" i="43"/>
  <c r="AK24" i="43"/>
  <c r="W33" i="43"/>
  <c r="W30" i="43"/>
  <c r="W26" i="43"/>
  <c r="W20" i="43"/>
  <c r="L18" i="43" s="1"/>
  <c r="W34" i="43"/>
  <c r="W24" i="43"/>
  <c r="W22" i="43"/>
  <c r="W27" i="43"/>
  <c r="W31" i="43"/>
  <c r="W38" i="43"/>
  <c r="W25" i="43"/>
  <c r="W32" i="43"/>
  <c r="W21" i="43"/>
  <c r="W28" i="43"/>
  <c r="W29" i="43"/>
  <c r="W23" i="43"/>
  <c r="W35" i="43"/>
  <c r="O102" i="43"/>
  <c r="M112" i="43"/>
  <c r="N118" i="43"/>
  <c r="O3" i="43"/>
  <c r="O91" i="43"/>
  <c r="M114" i="43"/>
  <c r="N113" i="43"/>
  <c r="O88" i="43"/>
  <c r="O100" i="43"/>
  <c r="M16" i="43"/>
  <c r="O117" i="43"/>
  <c r="M13" i="43"/>
  <c r="N83" i="43"/>
  <c r="M116" i="43"/>
  <c r="O44" i="43"/>
  <c r="N96" i="43"/>
  <c r="M2" i="43"/>
  <c r="O89" i="43"/>
  <c r="O110" i="43"/>
  <c r="M45" i="43"/>
  <c r="O48" i="43"/>
  <c r="N71" i="43"/>
  <c r="M3" i="43"/>
  <c r="M52" i="43"/>
  <c r="N93" i="43"/>
  <c r="M72" i="43"/>
  <c r="O105" i="43"/>
  <c r="N14" i="43"/>
  <c r="M96" i="43"/>
  <c r="M7" i="43"/>
  <c r="AO26" i="43"/>
  <c r="AO27" i="43"/>
  <c r="AO29" i="43"/>
  <c r="AO23" i="43"/>
  <c r="AO25" i="43"/>
  <c r="AO30" i="43"/>
  <c r="AO38" i="43"/>
  <c r="AO33" i="43"/>
  <c r="AO32" i="43"/>
  <c r="AO35" i="43"/>
  <c r="AO21" i="43"/>
  <c r="AO31" i="43"/>
  <c r="AO34" i="43"/>
  <c r="AO28" i="43"/>
  <c r="AO24" i="43"/>
  <c r="AO22" i="43"/>
  <c r="AO20" i="43"/>
  <c r="L80" i="43" s="1"/>
  <c r="Y34" i="43"/>
  <c r="Y21" i="43"/>
  <c r="Y33" i="43"/>
  <c r="Y20" i="43"/>
  <c r="L23" i="43" s="1"/>
  <c r="Y22" i="43"/>
  <c r="Y27" i="43"/>
  <c r="Y26" i="43"/>
  <c r="Y24" i="43"/>
  <c r="Y29" i="43"/>
  <c r="Y25" i="43"/>
  <c r="Y31" i="43"/>
  <c r="Y32" i="43"/>
  <c r="Y23" i="43"/>
  <c r="Y28" i="43"/>
  <c r="Y35" i="43"/>
  <c r="Y38" i="43"/>
  <c r="Y30" i="43"/>
  <c r="T28" i="43"/>
  <c r="T24" i="43"/>
  <c r="T27" i="43"/>
  <c r="T23" i="43"/>
  <c r="T32" i="43"/>
  <c r="T20" i="43"/>
  <c r="L6" i="43" s="1"/>
  <c r="T33" i="43"/>
  <c r="T34" i="43"/>
  <c r="T21" i="43"/>
  <c r="T29" i="43"/>
  <c r="T25" i="43"/>
  <c r="T38" i="43"/>
  <c r="T30" i="43"/>
  <c r="T26" i="43"/>
  <c r="T35" i="43"/>
  <c r="T31" i="43"/>
  <c r="T22" i="43"/>
  <c r="AN26" i="43"/>
  <c r="AN25" i="43"/>
  <c r="AN29" i="43"/>
  <c r="AN24" i="43"/>
  <c r="AN34" i="43"/>
  <c r="AN20" i="43"/>
  <c r="L78" i="43" s="1"/>
  <c r="AN33" i="43"/>
  <c r="AN32" i="43"/>
  <c r="AN30" i="43"/>
  <c r="AN23" i="43"/>
  <c r="AN38" i="43"/>
  <c r="AN27" i="43"/>
  <c r="AN35" i="43"/>
  <c r="AN31" i="43"/>
  <c r="AN21" i="43"/>
  <c r="AN28" i="43"/>
  <c r="AN22" i="43"/>
  <c r="AD34" i="43"/>
  <c r="AD20" i="43"/>
  <c r="L36" i="43" s="1"/>
  <c r="AD38" i="43"/>
  <c r="AD27" i="43"/>
  <c r="AD35" i="43"/>
  <c r="AD26" i="43"/>
  <c r="AD22" i="43"/>
  <c r="AD29" i="43"/>
  <c r="AD30" i="43"/>
  <c r="AD31" i="43"/>
  <c r="AD23" i="43"/>
  <c r="AD24" i="43"/>
  <c r="AD32" i="43"/>
  <c r="AD25" i="43"/>
  <c r="AD28" i="43"/>
  <c r="AD21" i="43"/>
  <c r="AD33" i="43"/>
  <c r="AE38" i="43"/>
  <c r="AE20" i="43"/>
  <c r="L41" i="43" s="1"/>
  <c r="AE26" i="43"/>
  <c r="AE30" i="43"/>
  <c r="AE24" i="43"/>
  <c r="AE32" i="43"/>
  <c r="AE22" i="43"/>
  <c r="AE29" i="43"/>
  <c r="AE23" i="43"/>
  <c r="AE34" i="43"/>
  <c r="AE25" i="43"/>
  <c r="AE28" i="43"/>
  <c r="AE21" i="43"/>
  <c r="L42" i="43" s="1"/>
  <c r="AE33" i="43"/>
  <c r="AE27" i="43"/>
  <c r="AE31" i="43"/>
  <c r="AE35" i="43"/>
  <c r="M100" i="43"/>
  <c r="N43" i="43"/>
  <c r="N117" i="43"/>
  <c r="M49" i="43"/>
  <c r="N45" i="43"/>
  <c r="M29" i="43"/>
  <c r="O111" i="43"/>
  <c r="O18" i="43"/>
  <c r="N42" i="43"/>
  <c r="M53" i="43"/>
  <c r="N114" i="43"/>
  <c r="O68" i="43"/>
  <c r="M110" i="43"/>
  <c r="M42" i="43"/>
  <c r="M9" i="43"/>
  <c r="O27" i="43"/>
  <c r="O69" i="43"/>
  <c r="M47" i="43"/>
  <c r="N21" i="43"/>
  <c r="O103" i="43"/>
  <c r="N95" i="43"/>
  <c r="N94" i="43"/>
  <c r="O61" i="43"/>
  <c r="M18" i="43"/>
  <c r="O92" i="43"/>
  <c r="AH26" i="43"/>
  <c r="AH25" i="43"/>
  <c r="AH31" i="43"/>
  <c r="AH24" i="43"/>
  <c r="AH27" i="43"/>
  <c r="AH20" i="43"/>
  <c r="L49" i="43" s="1"/>
  <c r="AH35" i="43"/>
  <c r="AH23" i="43"/>
  <c r="AH34" i="43"/>
  <c r="AH29" i="43"/>
  <c r="AH30" i="43"/>
  <c r="AH28" i="43"/>
  <c r="AH38" i="43"/>
  <c r="AH32" i="43"/>
  <c r="AH33" i="43"/>
  <c r="AH21" i="43"/>
  <c r="AH22" i="43"/>
  <c r="AJ32" i="43"/>
  <c r="AJ26" i="43"/>
  <c r="AJ29" i="43"/>
  <c r="AJ21" i="43"/>
  <c r="AJ34" i="43"/>
  <c r="AJ33" i="43"/>
  <c r="AJ25" i="43"/>
  <c r="AJ23" i="43"/>
  <c r="AJ38" i="43"/>
  <c r="AJ24" i="43"/>
  <c r="AJ35" i="43"/>
  <c r="AJ20" i="43"/>
  <c r="L55" i="43" s="1"/>
  <c r="AJ31" i="43"/>
  <c r="AJ27" i="43"/>
  <c r="AJ28" i="43"/>
  <c r="AJ30" i="43"/>
  <c r="AJ22" i="43"/>
  <c r="AC32" i="43"/>
  <c r="AC35" i="43"/>
  <c r="AC23" i="43"/>
  <c r="AC30" i="43"/>
  <c r="AC28" i="43"/>
  <c r="AC26" i="43"/>
  <c r="AC27" i="43"/>
  <c r="AC20" i="43"/>
  <c r="L32" i="43" s="1"/>
  <c r="AC33" i="43"/>
  <c r="AC31" i="43"/>
  <c r="AC22" i="43"/>
  <c r="AC21" i="43"/>
  <c r="AC38" i="43"/>
  <c r="AC25" i="43"/>
  <c r="AC29" i="43"/>
  <c r="AC34" i="43"/>
  <c r="AC24" i="43"/>
  <c r="Z30" i="43"/>
  <c r="Z33" i="43"/>
  <c r="Z34" i="43"/>
  <c r="Z28" i="43"/>
  <c r="Z24" i="43"/>
  <c r="Z31" i="43"/>
  <c r="Z20" i="43"/>
  <c r="L25" i="43" s="1"/>
  <c r="Z21" i="43"/>
  <c r="Z27" i="43"/>
  <c r="Z32" i="43"/>
  <c r="Z25" i="43"/>
  <c r="Z26" i="43"/>
  <c r="Z29" i="43"/>
  <c r="Z38" i="43"/>
  <c r="Z22" i="43"/>
  <c r="Z35" i="43"/>
  <c r="Z23" i="43"/>
  <c r="V32" i="43"/>
  <c r="V35" i="43"/>
  <c r="V22" i="43"/>
  <c r="V38" i="43"/>
  <c r="V21" i="43"/>
  <c r="V23" i="43"/>
  <c r="V24" i="43"/>
  <c r="V28" i="43"/>
  <c r="V27" i="43"/>
  <c r="V33" i="43"/>
  <c r="V25" i="43"/>
  <c r="V29" i="43"/>
  <c r="V20" i="43"/>
  <c r="L14" i="43" s="1"/>
  <c r="V30" i="43"/>
  <c r="V26" i="43"/>
  <c r="V34" i="43"/>
  <c r="V31" i="43"/>
  <c r="AR32" i="43"/>
  <c r="AR23" i="43"/>
  <c r="AR35" i="43"/>
  <c r="AR26" i="43"/>
  <c r="AR31" i="43"/>
  <c r="AR22" i="43"/>
  <c r="AR38" i="43"/>
  <c r="AR30" i="43"/>
  <c r="AR24" i="43"/>
  <c r="AR20" i="43"/>
  <c r="L104" i="43" s="1"/>
  <c r="AR21" i="43"/>
  <c r="AR27" i="43"/>
  <c r="AR25" i="43"/>
  <c r="AR33" i="43"/>
  <c r="AR28" i="43"/>
  <c r="AR29" i="43"/>
  <c r="AR34" i="43"/>
  <c r="AP32" i="43"/>
  <c r="AP20" i="43"/>
  <c r="L86" i="43" s="1"/>
  <c r="AP34" i="43"/>
  <c r="AP33" i="43"/>
  <c r="AP30" i="43"/>
  <c r="AP29" i="43"/>
  <c r="AP28" i="43"/>
  <c r="AP35" i="43"/>
  <c r="AP31" i="43"/>
  <c r="AP27" i="43"/>
  <c r="AP25" i="43"/>
  <c r="AP21" i="43"/>
  <c r="AP22" i="43"/>
  <c r="AP26" i="43"/>
  <c r="AP23" i="43"/>
  <c r="AP38" i="43"/>
  <c r="AP24" i="43"/>
  <c r="AF30" i="43"/>
  <c r="AF20" i="43"/>
  <c r="L43" i="43" s="1"/>
  <c r="AF34" i="43"/>
  <c r="AF28" i="43"/>
  <c r="AF38" i="43"/>
  <c r="AF25" i="43"/>
  <c r="AF29" i="43"/>
  <c r="AF24" i="43"/>
  <c r="AF22" i="43"/>
  <c r="AF33" i="43"/>
  <c r="AF23" i="43"/>
  <c r="AF35" i="43"/>
  <c r="AF27" i="43"/>
  <c r="AF31" i="43"/>
  <c r="AF32" i="43"/>
  <c r="AF26" i="43"/>
  <c r="AF21" i="43"/>
  <c r="M86" i="43"/>
  <c r="N111" i="43"/>
  <c r="O96" i="43"/>
  <c r="N61" i="43"/>
  <c r="O62" i="43"/>
  <c r="N66" i="43"/>
  <c r="N11" i="43"/>
  <c r="O41" i="43"/>
  <c r="M98" i="43"/>
  <c r="N97" i="43"/>
  <c r="M93" i="43"/>
  <c r="O12" i="43"/>
  <c r="M95" i="43"/>
  <c r="O95" i="43"/>
  <c r="O116" i="43"/>
  <c r="O79" i="43"/>
  <c r="N41" i="43"/>
  <c r="M67" i="43"/>
  <c r="O15" i="43"/>
  <c r="M94" i="43"/>
  <c r="N29" i="43"/>
  <c r="N79" i="43"/>
  <c r="M20" i="43"/>
  <c r="N106" i="43"/>
  <c r="N9" i="43"/>
  <c r="O66" i="43"/>
  <c r="O28" i="43"/>
  <c r="O72" i="43"/>
  <c r="M62" i="43"/>
  <c r="M28" i="43"/>
  <c r="N48" i="43"/>
  <c r="M50" i="43"/>
  <c r="M107" i="43"/>
  <c r="X34" i="43"/>
  <c r="X20" i="43"/>
  <c r="L21" i="43" s="1"/>
  <c r="X29" i="43"/>
  <c r="X24" i="43"/>
  <c r="X33" i="43"/>
  <c r="X21" i="43"/>
  <c r="X30" i="43"/>
  <c r="X22" i="43"/>
  <c r="X28" i="43"/>
  <c r="X31" i="43"/>
  <c r="X38" i="43"/>
  <c r="X35" i="43"/>
  <c r="X23" i="43"/>
  <c r="X27" i="43"/>
  <c r="X32" i="43"/>
  <c r="X25" i="43"/>
  <c r="X26" i="43"/>
  <c r="N52" i="43"/>
  <c r="O107" i="43"/>
  <c r="O42" i="43"/>
  <c r="O14" i="43"/>
  <c r="O73" i="43"/>
  <c r="M65" i="43"/>
  <c r="O70" i="43"/>
  <c r="O98" i="43"/>
  <c r="N20" i="43"/>
  <c r="N100" i="43"/>
  <c r="M88" i="43"/>
  <c r="O19" i="43"/>
  <c r="O16" i="43"/>
  <c r="O104" i="43"/>
  <c r="N115" i="43"/>
  <c r="M105" i="43"/>
  <c r="M46" i="43"/>
  <c r="M118" i="43"/>
  <c r="N17" i="43"/>
  <c r="N105" i="43"/>
  <c r="O9" i="43"/>
  <c r="O97" i="43"/>
  <c r="N109" i="43"/>
  <c r="O46" i="43"/>
  <c r="O87" i="43"/>
  <c r="AM23" i="43"/>
  <c r="AM25" i="43"/>
  <c r="AM24" i="43"/>
  <c r="AM32" i="43"/>
  <c r="AM20" i="43"/>
  <c r="L73" i="43" s="1"/>
  <c r="AM28" i="43"/>
  <c r="AM27" i="43"/>
  <c r="AM21" i="43"/>
  <c r="AM38" i="43"/>
  <c r="AM35" i="43"/>
  <c r="AM30" i="43"/>
  <c r="AM26" i="43"/>
  <c r="AM29" i="43"/>
  <c r="AM31" i="43"/>
  <c r="AM34" i="43"/>
  <c r="AM33" i="43"/>
  <c r="AM22" i="43"/>
  <c r="M89" i="43"/>
  <c r="M6" i="43"/>
  <c r="O114" i="43"/>
  <c r="N7" i="43"/>
  <c r="O109" i="43"/>
  <c r="N86" i="43"/>
  <c r="O82" i="43"/>
  <c r="N92" i="43"/>
  <c r="N103" i="43"/>
  <c r="N81" i="43"/>
  <c r="O85" i="43"/>
  <c r="N84" i="43"/>
  <c r="O59" i="43"/>
  <c r="O8" i="43"/>
  <c r="O53" i="43"/>
  <c r="O113" i="43"/>
  <c r="N98" i="43"/>
  <c r="O94" i="43"/>
  <c r="M102" i="43"/>
  <c r="M17" i="43"/>
  <c r="N108" i="43"/>
  <c r="N73" i="43"/>
  <c r="M106" i="43"/>
  <c r="M99" i="43"/>
  <c r="M31" i="43"/>
  <c r="O83" i="43"/>
  <c r="N24" i="43"/>
  <c r="O108" i="43"/>
  <c r="N63" i="43"/>
  <c r="M61" i="43"/>
  <c r="O112" i="43"/>
  <c r="M92" i="43"/>
  <c r="N53" i="43"/>
  <c r="S21" i="43"/>
  <c r="S20" i="43"/>
  <c r="L3" i="43" s="1"/>
  <c r="S23" i="43"/>
  <c r="S38" i="43"/>
  <c r="S30" i="43"/>
  <c r="S22" i="43"/>
  <c r="S29" i="43"/>
  <c r="S25" i="43"/>
  <c r="S24" i="43"/>
  <c r="S27" i="43"/>
  <c r="S33" i="43"/>
  <c r="S28" i="43"/>
  <c r="S26" i="43"/>
  <c r="S32" i="43"/>
  <c r="S31" i="43"/>
  <c r="S35" i="43"/>
  <c r="S34" i="43"/>
  <c r="AL30" i="43"/>
  <c r="AL20" i="43"/>
  <c r="L68" i="43" s="1"/>
  <c r="AL26" i="43"/>
  <c r="AL21" i="43"/>
  <c r="AL38" i="43"/>
  <c r="AL22" i="43"/>
  <c r="AL34" i="43"/>
  <c r="AL25" i="43"/>
  <c r="AL35" i="43"/>
  <c r="AL31" i="43"/>
  <c r="AL24" i="43"/>
  <c r="AL27" i="43"/>
  <c r="AL32" i="43"/>
  <c r="AL23" i="43"/>
  <c r="AL28" i="43"/>
  <c r="AL33" i="43"/>
  <c r="AL29" i="43"/>
  <c r="AB59" i="28"/>
  <c r="AB45" i="28"/>
  <c r="AF62" i="28"/>
  <c r="AG62" i="28" s="1"/>
  <c r="AF40" i="28"/>
  <c r="AB39" i="28"/>
  <c r="AF67" i="28"/>
  <c r="AB61" i="28"/>
  <c r="AB65" i="28"/>
  <c r="AB67" i="28"/>
  <c r="AF59" i="28"/>
  <c r="AF61" i="28"/>
  <c r="AG61" i="28" s="1"/>
  <c r="AF71" i="28"/>
  <c r="AB52" i="28"/>
  <c r="AB63" i="28"/>
  <c r="AB53" i="28"/>
  <c r="AB71" i="28"/>
  <c r="AB40" i="28"/>
  <c r="AF53" i="28"/>
  <c r="AB70" i="28"/>
  <c r="AE57" i="28"/>
  <c r="AF57" i="28"/>
  <c r="AE68" i="28"/>
  <c r="AF68" i="28"/>
  <c r="AB54" i="28"/>
  <c r="AA57" i="28"/>
  <c r="AB57" i="28"/>
  <c r="AA46" i="28"/>
  <c r="AB46" i="28"/>
  <c r="AA68" i="28"/>
  <c r="AB68" i="28"/>
  <c r="AF49" i="28"/>
  <c r="AF52" i="28"/>
  <c r="AA35" i="28"/>
  <c r="AB35" i="28"/>
  <c r="AC58" i="28" s="1"/>
  <c r="AE46" i="28"/>
  <c r="AF46" i="28"/>
  <c r="AE35" i="28"/>
  <c r="AF35" i="28"/>
  <c r="AA66" i="28"/>
  <c r="AB66" i="28"/>
  <c r="AE74" i="28"/>
  <c r="AF74" i="28"/>
  <c r="AB43" i="28"/>
  <c r="AC43" i="28" s="1"/>
  <c r="AB37" i="28"/>
  <c r="AA36" i="28"/>
  <c r="AB36" i="28"/>
  <c r="AE43" i="28"/>
  <c r="AF43" i="28"/>
  <c r="AA55" i="28"/>
  <c r="AB55" i="28"/>
  <c r="AE66" i="28"/>
  <c r="AF66" i="28"/>
  <c r="AA74" i="28"/>
  <c r="AB74" i="28"/>
  <c r="AF51" i="28"/>
  <c r="AB72" i="28"/>
  <c r="AF41" i="28"/>
  <c r="AF37" i="28"/>
  <c r="AE36" i="28"/>
  <c r="AF36" i="28"/>
  <c r="AE55" i="28"/>
  <c r="AF55" i="28"/>
  <c r="AA60" i="28"/>
  <c r="AB60" i="28"/>
  <c r="AA50" i="28"/>
  <c r="AB50" i="28"/>
  <c r="AB56" i="28"/>
  <c r="AC56" i="28" s="1"/>
  <c r="AB51" i="28"/>
  <c r="AE60" i="28"/>
  <c r="AF60" i="28"/>
  <c r="AF54" i="28"/>
  <c r="L107" i="43" l="1"/>
  <c r="L83" i="43"/>
  <c r="L105" i="43"/>
  <c r="L15" i="43"/>
  <c r="L16" i="43"/>
  <c r="L9" i="43"/>
  <c r="L45" i="43"/>
  <c r="L26" i="43"/>
  <c r="L38" i="43"/>
  <c r="L20" i="43"/>
  <c r="L29" i="43"/>
  <c r="L66" i="43"/>
  <c r="L111" i="43"/>
  <c r="L17" i="43"/>
  <c r="L37" i="43"/>
  <c r="L2" i="43"/>
  <c r="L11" i="43"/>
  <c r="L69" i="43"/>
  <c r="L65" i="43"/>
  <c r="L33" i="43"/>
  <c r="L116" i="43"/>
  <c r="L103" i="43"/>
  <c r="L110" i="43"/>
  <c r="L5" i="43"/>
  <c r="L71" i="43"/>
  <c r="L39" i="43"/>
  <c r="L24" i="43"/>
  <c r="L54" i="43"/>
  <c r="L27" i="43"/>
  <c r="L67" i="43"/>
  <c r="L63" i="43"/>
  <c r="L12" i="43"/>
  <c r="L22" i="43"/>
  <c r="L82" i="43"/>
  <c r="L77" i="43"/>
  <c r="L10" i="43"/>
  <c r="L50" i="43"/>
  <c r="L60" i="43"/>
  <c r="L75" i="43"/>
  <c r="L112" i="43"/>
  <c r="L85" i="43"/>
  <c r="L13" i="43"/>
  <c r="L70" i="43"/>
  <c r="L114" i="43"/>
  <c r="L118" i="43"/>
  <c r="L59" i="43"/>
  <c r="L51" i="43"/>
  <c r="L62" i="43"/>
  <c r="L117" i="43"/>
  <c r="L64" i="43"/>
  <c r="L44" i="43"/>
  <c r="L4" i="43"/>
  <c r="L19" i="43"/>
  <c r="L35" i="43"/>
  <c r="L113" i="43"/>
  <c r="L79" i="43"/>
  <c r="L76" i="43"/>
  <c r="L40" i="43"/>
  <c r="L84" i="43"/>
  <c r="L109" i="43"/>
  <c r="L115" i="43"/>
  <c r="L74" i="43"/>
  <c r="L34" i="43"/>
  <c r="L56" i="43"/>
  <c r="L58" i="43"/>
  <c r="L81" i="43"/>
  <c r="L72" i="43"/>
  <c r="L108" i="43"/>
  <c r="L57" i="43"/>
  <c r="L106" i="43"/>
  <c r="AC42" i="28"/>
  <c r="AG37" i="28"/>
  <c r="AC57" i="28"/>
  <c r="AG58" i="28"/>
  <c r="AC72" i="28"/>
  <c r="AC66" i="28"/>
  <c r="AC54" i="28"/>
  <c r="AC71" i="28"/>
  <c r="AC65" i="28"/>
  <c r="AC59" i="28"/>
  <c r="AG42" i="28"/>
  <c r="AG44" i="28"/>
  <c r="AG63" i="28"/>
  <c r="AC50" i="28"/>
  <c r="AC35" i="28"/>
  <c r="AG72" i="28"/>
  <c r="AC40" i="28"/>
  <c r="AG38" i="28"/>
  <c r="AG54" i="28"/>
  <c r="AG49" i="28"/>
  <c r="AC61" i="28"/>
  <c r="AC48" i="28"/>
  <c r="AG56" i="28"/>
  <c r="AC55" i="28"/>
  <c r="AG69" i="28"/>
  <c r="AC45" i="28"/>
  <c r="AG43" i="28"/>
  <c r="AG35" i="28"/>
  <c r="AG53" i="28"/>
  <c r="AG41" i="28"/>
  <c r="AC47" i="28"/>
  <c r="AC70" i="28"/>
  <c r="AG39" i="28"/>
  <c r="AG74" i="28"/>
  <c r="AH74" i="28" s="1"/>
  <c r="AG59" i="28"/>
  <c r="AG50" i="28"/>
  <c r="AC67" i="28"/>
  <c r="AC69" i="28"/>
  <c r="AC60" i="28"/>
  <c r="AG52" i="28"/>
  <c r="AG51" i="28"/>
  <c r="AG68" i="28"/>
  <c r="AC53" i="28"/>
  <c r="AG73" i="28"/>
  <c r="AC73" i="28"/>
  <c r="AG60" i="28"/>
  <c r="AG55" i="28"/>
  <c r="AC74" i="28"/>
  <c r="AC36" i="28"/>
  <c r="AC68" i="28"/>
  <c r="AC63" i="28"/>
  <c r="AG67" i="28"/>
  <c r="AG65" i="28"/>
  <c r="AC64" i="28"/>
  <c r="AG64" i="28"/>
  <c r="AC41" i="28"/>
  <c r="AG57" i="28"/>
  <c r="AC52" i="28"/>
  <c r="AC39" i="28"/>
  <c r="AG45" i="28"/>
  <c r="AG48" i="28"/>
  <c r="AC49" i="28"/>
  <c r="AC44" i="28"/>
  <c r="AC51" i="28"/>
  <c r="AG36" i="28"/>
  <c r="AG66" i="28"/>
  <c r="AC37" i="28"/>
  <c r="AG46" i="28"/>
  <c r="AC46" i="28"/>
  <c r="AG71" i="28"/>
  <c r="AG40" i="28"/>
  <c r="AG47" i="28"/>
  <c r="AC38" i="28"/>
  <c r="AG70" i="28"/>
  <c r="AC62" i="28"/>
  <c r="A3" i="32" l="1"/>
  <c r="A4" i="32"/>
  <c r="A5" i="32"/>
  <c r="A6" i="32"/>
  <c r="A2" i="32"/>
  <c r="A5" i="31"/>
  <c r="A6" i="31"/>
  <c r="A7" i="31"/>
  <c r="A8" i="31"/>
  <c r="A4" i="31"/>
  <c r="A5" i="30"/>
  <c r="A6" i="30"/>
  <c r="A7" i="30"/>
  <c r="A8" i="30"/>
  <c r="A4" i="30"/>
  <c r="C3" i="30"/>
  <c r="D3" i="30"/>
  <c r="E3" i="30"/>
  <c r="F3" i="30"/>
  <c r="B3" i="30"/>
  <c r="C1" i="29"/>
  <c r="D1" i="29"/>
  <c r="E1" i="29"/>
  <c r="F1" i="29"/>
  <c r="B1" i="29"/>
  <c r="A2" i="29" s="1" a="1"/>
  <c r="A3" i="29" s="1"/>
  <c r="E6" i="29" a="1"/>
  <c r="E6" i="29" s="1"/>
  <c r="D5" i="29" a="1"/>
  <c r="D5" i="29" s="1"/>
  <c r="C4" i="29" a="1"/>
  <c r="C6" i="29" s="1"/>
  <c r="B3" i="29" a="1"/>
  <c r="B6" i="29" s="1"/>
  <c r="G6" i="29" s="1"/>
  <c r="B30" i="24"/>
  <c r="B28" i="24"/>
  <c r="B20" i="24"/>
  <c r="B18" i="24"/>
  <c r="D10" i="24"/>
  <c r="E10" i="24"/>
  <c r="F10" i="24"/>
  <c r="G10" i="24"/>
  <c r="H10" i="24"/>
  <c r="I10" i="24"/>
  <c r="J10" i="24"/>
  <c r="K10" i="24"/>
  <c r="L10" i="24"/>
  <c r="M10" i="24"/>
  <c r="N10" i="24"/>
  <c r="O10" i="24"/>
  <c r="P10" i="24"/>
  <c r="Q10" i="24"/>
  <c r="R10" i="24"/>
  <c r="S10" i="24"/>
  <c r="T10" i="24"/>
  <c r="U10" i="24"/>
  <c r="V10" i="24"/>
  <c r="W10" i="24"/>
  <c r="X10" i="24"/>
  <c r="Y10" i="24"/>
  <c r="Z10" i="24"/>
  <c r="AA10" i="24"/>
  <c r="AB10" i="24"/>
  <c r="AC10" i="24"/>
  <c r="AD10" i="24"/>
  <c r="AE10" i="24"/>
  <c r="AF10" i="24"/>
  <c r="AG10" i="24"/>
  <c r="AH10" i="24"/>
  <c r="AI10" i="24"/>
  <c r="AJ10" i="24"/>
  <c r="AK10" i="24"/>
  <c r="AL10" i="24"/>
  <c r="AM10" i="24"/>
  <c r="AN10" i="24"/>
  <c r="AO10" i="24"/>
  <c r="AP10" i="24"/>
  <c r="AQ10" i="24"/>
  <c r="AR10" i="24"/>
  <c r="AS10" i="24"/>
  <c r="AT10" i="24"/>
  <c r="AU10" i="24"/>
  <c r="AV10" i="24"/>
  <c r="AW10" i="24"/>
  <c r="AX10" i="24"/>
  <c r="AY10" i="24"/>
  <c r="AZ10" i="24"/>
  <c r="BA10" i="24"/>
  <c r="BB10" i="24"/>
  <c r="BC10" i="24"/>
  <c r="BD10" i="24"/>
  <c r="BE10" i="24"/>
  <c r="BF10" i="24"/>
  <c r="BG10" i="24"/>
  <c r="BH10" i="24"/>
  <c r="BI10" i="24"/>
  <c r="BJ10" i="24"/>
  <c r="BK10" i="24"/>
  <c r="BL10" i="24"/>
  <c r="BM10" i="24"/>
  <c r="BN10" i="24"/>
  <c r="BO10" i="24"/>
  <c r="BP10" i="24"/>
  <c r="BQ10" i="24"/>
  <c r="BR10" i="24"/>
  <c r="BS10" i="24"/>
  <c r="BT10" i="24"/>
  <c r="BU10" i="24"/>
  <c r="BV10" i="24"/>
  <c r="BW10" i="24"/>
  <c r="BX10" i="24"/>
  <c r="BY10" i="24"/>
  <c r="BZ10" i="24"/>
  <c r="CA10" i="24"/>
  <c r="CB10" i="24"/>
  <c r="CC10" i="24"/>
  <c r="CD10" i="24"/>
  <c r="CE10" i="24"/>
  <c r="CF10" i="24"/>
  <c r="CG10" i="24"/>
  <c r="CH10" i="24"/>
  <c r="B10" i="24"/>
  <c r="C10" i="24"/>
  <c r="F9" i="24"/>
  <c r="G9" i="24"/>
  <c r="H9" i="24" s="1"/>
  <c r="I9" i="24" s="1"/>
  <c r="J9" i="24" s="1"/>
  <c r="K9" i="24" s="1"/>
  <c r="L9" i="24" s="1"/>
  <c r="M9" i="24" s="1"/>
  <c r="N9" i="24" s="1"/>
  <c r="O9" i="24" s="1"/>
  <c r="P9" i="24" s="1"/>
  <c r="Q9" i="24" s="1"/>
  <c r="R9" i="24" s="1"/>
  <c r="S9" i="24" s="1"/>
  <c r="T9" i="24" s="1"/>
  <c r="U9" i="24" s="1"/>
  <c r="V9" i="24" s="1"/>
  <c r="W9" i="24" s="1"/>
  <c r="X9" i="24" s="1"/>
  <c r="Y9" i="24" s="1"/>
  <c r="Z9" i="24" s="1"/>
  <c r="AA9" i="24" s="1"/>
  <c r="AB9" i="24" s="1"/>
  <c r="AC9" i="24" s="1"/>
  <c r="AD9" i="24" s="1"/>
  <c r="AE9" i="24" s="1"/>
  <c r="AF9" i="24" s="1"/>
  <c r="AG9" i="24" s="1"/>
  <c r="AH9" i="24" s="1"/>
  <c r="AI9" i="24" s="1"/>
  <c r="AJ9" i="24" s="1"/>
  <c r="AK9" i="24" s="1"/>
  <c r="AL9" i="24" s="1"/>
  <c r="AM9" i="24" s="1"/>
  <c r="AN9" i="24" s="1"/>
  <c r="AO9" i="24" s="1"/>
  <c r="AP9" i="24" s="1"/>
  <c r="AQ9" i="24" s="1"/>
  <c r="AR9" i="24" s="1"/>
  <c r="AS9" i="24" s="1"/>
  <c r="AT9" i="24" s="1"/>
  <c r="AU9" i="24" s="1"/>
  <c r="AV9" i="24" s="1"/>
  <c r="AW9" i="24" s="1"/>
  <c r="AX9" i="24" s="1"/>
  <c r="AY9" i="24" s="1"/>
  <c r="AZ9" i="24" s="1"/>
  <c r="BA9" i="24" s="1"/>
  <c r="BB9" i="24" s="1"/>
  <c r="BC9" i="24" s="1"/>
  <c r="BD9" i="24" s="1"/>
  <c r="BE9" i="24" s="1"/>
  <c r="BF9" i="24" s="1"/>
  <c r="BG9" i="24" s="1"/>
  <c r="BH9" i="24" s="1"/>
  <c r="BI9" i="24" s="1"/>
  <c r="BJ9" i="24" s="1"/>
  <c r="BK9" i="24" s="1"/>
  <c r="BL9" i="24" s="1"/>
  <c r="BM9" i="24" s="1"/>
  <c r="BN9" i="24" s="1"/>
  <c r="BO9" i="24" s="1"/>
  <c r="BP9" i="24" s="1"/>
  <c r="BQ9" i="24" s="1"/>
  <c r="BR9" i="24" s="1"/>
  <c r="BS9" i="24" s="1"/>
  <c r="BT9" i="24" s="1"/>
  <c r="BU9" i="24" s="1"/>
  <c r="BV9" i="24" s="1"/>
  <c r="BW9" i="24" s="1"/>
  <c r="BX9" i="24" s="1"/>
  <c r="BY9" i="24" s="1"/>
  <c r="BZ9" i="24" s="1"/>
  <c r="CA9" i="24" s="1"/>
  <c r="CB9" i="24" s="1"/>
  <c r="CC9" i="24" s="1"/>
  <c r="CD9" i="24" s="1"/>
  <c r="CE9" i="24" s="1"/>
  <c r="CF9" i="24" s="1"/>
  <c r="CG9" i="24" s="1"/>
  <c r="CH9" i="24" s="1"/>
  <c r="E9" i="24"/>
  <c r="D9" i="24"/>
  <c r="C9" i="24"/>
  <c r="B8" i="24"/>
  <c r="C8" i="24"/>
  <c r="D8" i="24"/>
  <c r="E8" i="24"/>
  <c r="F8" i="24"/>
  <c r="G8" i="24"/>
  <c r="H8" i="24"/>
  <c r="I8" i="24"/>
  <c r="J8" i="24"/>
  <c r="K8" i="24"/>
  <c r="L8" i="24"/>
  <c r="M8" i="24"/>
  <c r="N8" i="24"/>
  <c r="O8" i="24"/>
  <c r="P8" i="24"/>
  <c r="Q8" i="24"/>
  <c r="R8" i="24"/>
  <c r="S8" i="24"/>
  <c r="T8" i="24"/>
  <c r="U8" i="24"/>
  <c r="V8" i="24"/>
  <c r="W8" i="24"/>
  <c r="X8" i="24"/>
  <c r="Y8" i="24"/>
  <c r="Z8" i="24"/>
  <c r="AA8" i="24"/>
  <c r="AB8" i="24"/>
  <c r="AC8" i="24"/>
  <c r="AD8" i="24"/>
  <c r="AE8" i="24"/>
  <c r="AF8" i="24"/>
  <c r="AG8" i="24"/>
  <c r="AH8" i="24"/>
  <c r="AI8" i="24"/>
  <c r="AJ8" i="24"/>
  <c r="AK8" i="24"/>
  <c r="AL8" i="24"/>
  <c r="AM8" i="24"/>
  <c r="AN8" i="24"/>
  <c r="AO8" i="24"/>
  <c r="AP8" i="24"/>
  <c r="AQ8" i="24"/>
  <c r="AR8" i="24"/>
  <c r="AS8" i="24"/>
  <c r="AT8" i="24"/>
  <c r="AU8" i="24"/>
  <c r="AV8" i="24"/>
  <c r="AW8" i="24"/>
  <c r="AX8" i="24"/>
  <c r="AY8" i="24"/>
  <c r="AZ8" i="24"/>
  <c r="BA8" i="24"/>
  <c r="BB8" i="24"/>
  <c r="BC8" i="24"/>
  <c r="BD8" i="24"/>
  <c r="BE8" i="24"/>
  <c r="BF8" i="24"/>
  <c r="BG8" i="24"/>
  <c r="BH8" i="24"/>
  <c r="BI8" i="24"/>
  <c r="BJ8" i="24"/>
  <c r="BK8" i="24"/>
  <c r="BL8" i="24"/>
  <c r="BM8" i="24"/>
  <c r="BN8" i="24"/>
  <c r="BO8" i="24"/>
  <c r="BP8" i="24"/>
  <c r="BQ8" i="24"/>
  <c r="BR8" i="24"/>
  <c r="BS8" i="24"/>
  <c r="BT8" i="24"/>
  <c r="BU8" i="24"/>
  <c r="BV8" i="24"/>
  <c r="BW8" i="24"/>
  <c r="BX8" i="24"/>
  <c r="BY8" i="24"/>
  <c r="BZ8" i="24"/>
  <c r="CA8" i="24"/>
  <c r="CB8" i="24"/>
  <c r="CC8" i="24"/>
  <c r="CD8" i="24"/>
  <c r="CE8" i="24"/>
  <c r="CF8" i="24"/>
  <c r="CG8" i="24"/>
  <c r="CH8" i="24"/>
  <c r="F3" i="23"/>
  <c r="F4" i="23" s="1"/>
  <c r="F5" i="23" s="1"/>
  <c r="F6" i="23" s="1"/>
  <c r="F7" i="23" s="1"/>
  <c r="F8" i="23" s="1"/>
  <c r="F9" i="23" s="1"/>
  <c r="F10" i="23" s="1"/>
  <c r="F11" i="23" s="1"/>
  <c r="F12" i="23" s="1"/>
  <c r="F13" i="23" s="1"/>
  <c r="F14" i="23" s="1"/>
  <c r="F15" i="23" s="1"/>
  <c r="F16" i="23" s="1"/>
  <c r="F17" i="23" s="1"/>
  <c r="F18" i="23" s="1"/>
  <c r="F19" i="23" s="1"/>
  <c r="F20" i="23" s="1"/>
  <c r="F21" i="23" s="1"/>
  <c r="F22" i="23" s="1"/>
  <c r="U11" i="27"/>
  <c r="N11" i="27"/>
  <c r="E11" i="27"/>
  <c r="T10" i="27" a="1"/>
  <c r="T10" i="27" s="1"/>
  <c r="E10" i="27"/>
  <c r="N10" i="27" s="1"/>
  <c r="S9" i="27" a="1"/>
  <c r="S9" i="27" s="1"/>
  <c r="E9" i="27"/>
  <c r="N9" i="27" s="1"/>
  <c r="R8" i="27" a="1"/>
  <c r="R8" i="27" s="1"/>
  <c r="N8" i="27"/>
  <c r="E8" i="27"/>
  <c r="W7" i="27"/>
  <c r="Q7" i="27"/>
  <c r="Q7" i="27" a="1"/>
  <c r="E7" i="27"/>
  <c r="N7" i="27" s="1"/>
  <c r="P6" i="27" a="1"/>
  <c r="W10" i="27" s="1"/>
  <c r="N6" i="27"/>
  <c r="E6" i="27"/>
  <c r="O5" i="27"/>
  <c r="W5" i="27" s="1"/>
  <c r="O5" i="27" a="1"/>
  <c r="N5" i="27"/>
  <c r="E5" i="27"/>
  <c r="W4" i="27"/>
  <c r="N4" i="27"/>
  <c r="O3" i="27" s="1" a="1"/>
  <c r="O3" i="27" s="1"/>
  <c r="E4" i="27"/>
  <c r="A5" i="29" l="1"/>
  <c r="C4" i="29"/>
  <c r="A6" i="29"/>
  <c r="C5" i="29"/>
  <c r="B4" i="29"/>
  <c r="G4" i="29" s="1"/>
  <c r="A4" i="29"/>
  <c r="B3" i="29"/>
  <c r="G3" i="29" s="1"/>
  <c r="A2" i="29"/>
  <c r="B5" i="29"/>
  <c r="G5" i="29" s="1"/>
  <c r="W11" i="27"/>
  <c r="W9" i="27"/>
  <c r="W8" i="27"/>
  <c r="P6" i="27"/>
  <c r="W6" i="27" s="1"/>
  <c r="X10" i="27" s="1" a="1"/>
  <c r="X10" i="27" s="1"/>
  <c r="Y10" i="27" s="1"/>
  <c r="L56" i="26"/>
  <c r="P56" i="26"/>
  <c r="T56" i="26"/>
  <c r="X56" i="26"/>
  <c r="AB56" i="26"/>
  <c r="AF56" i="26"/>
  <c r="AJ56" i="26"/>
  <c r="AN56" i="26"/>
  <c r="AR56" i="26"/>
  <c r="AV56" i="26"/>
  <c r="AZ56" i="26"/>
  <c r="BD56" i="26"/>
  <c r="BH56" i="26"/>
  <c r="BL56" i="26"/>
  <c r="BP56" i="26"/>
  <c r="H56" i="26"/>
  <c r="C38" i="26"/>
  <c r="C41" i="26"/>
  <c r="C43" i="26"/>
  <c r="C40" i="26"/>
  <c r="C37" i="26"/>
  <c r="B29" i="24"/>
  <c r="C29" i="24" s="1"/>
  <c r="D29" i="24" s="1"/>
  <c r="E29" i="24" s="1"/>
  <c r="F29" i="24" s="1"/>
  <c r="G29" i="24" s="1"/>
  <c r="H29" i="24" s="1"/>
  <c r="I29" i="24" s="1"/>
  <c r="J29" i="24" s="1"/>
  <c r="K29" i="24" s="1"/>
  <c r="L29" i="24" s="1"/>
  <c r="M29" i="24" s="1"/>
  <c r="N29" i="24" s="1"/>
  <c r="O29" i="24" s="1"/>
  <c r="P29" i="24" s="1"/>
  <c r="Q29" i="24" s="1"/>
  <c r="R29" i="24" s="1"/>
  <c r="S29" i="24" s="1"/>
  <c r="T29" i="24" s="1"/>
  <c r="U29" i="24" s="1"/>
  <c r="V29" i="24" s="1"/>
  <c r="W29" i="24" s="1"/>
  <c r="X29" i="24" s="1"/>
  <c r="Y29" i="24" s="1"/>
  <c r="Z29" i="24" s="1"/>
  <c r="AA29" i="24" s="1"/>
  <c r="AB29" i="24" s="1"/>
  <c r="AC29" i="24" s="1"/>
  <c r="AD29" i="24" s="1"/>
  <c r="AE29" i="24" s="1"/>
  <c r="AF29" i="24" s="1"/>
  <c r="AG29" i="24" s="1"/>
  <c r="AH29" i="24" s="1"/>
  <c r="AI29" i="24" s="1"/>
  <c r="AJ29" i="24" s="1"/>
  <c r="AK29" i="24" s="1"/>
  <c r="AL29" i="24" s="1"/>
  <c r="AM29" i="24" s="1"/>
  <c r="AN29" i="24" s="1"/>
  <c r="AO29" i="24" s="1"/>
  <c r="AP29" i="24" s="1"/>
  <c r="AQ29" i="24" s="1"/>
  <c r="AR29" i="24" s="1"/>
  <c r="AS29" i="24" s="1"/>
  <c r="AT29" i="24" s="1"/>
  <c r="AU29" i="24" s="1"/>
  <c r="AV29" i="24" s="1"/>
  <c r="AW29" i="24" s="1"/>
  <c r="AX29" i="24" s="1"/>
  <c r="AY29" i="24" s="1"/>
  <c r="AZ29" i="24" s="1"/>
  <c r="BA29" i="24" s="1"/>
  <c r="BB29" i="24" s="1"/>
  <c r="BC29" i="24" s="1"/>
  <c r="BD29" i="24" s="1"/>
  <c r="BE29" i="24" s="1"/>
  <c r="BF29" i="24" s="1"/>
  <c r="BG29" i="24" s="1"/>
  <c r="BH29" i="24" s="1"/>
  <c r="BI29" i="24" s="1"/>
  <c r="BJ29" i="24" s="1"/>
  <c r="BK29" i="24" s="1"/>
  <c r="BL29" i="24" s="1"/>
  <c r="BM29" i="24" s="1"/>
  <c r="BN29" i="24" s="1"/>
  <c r="BO29" i="24" s="1"/>
  <c r="BP29" i="24" s="1"/>
  <c r="BQ29" i="24" s="1"/>
  <c r="BR29" i="24" s="1"/>
  <c r="BS29" i="24" s="1"/>
  <c r="BT29" i="24" s="1"/>
  <c r="BU29" i="24" s="1"/>
  <c r="BV29" i="24" s="1"/>
  <c r="BW29" i="24" s="1"/>
  <c r="BX29" i="24" s="1"/>
  <c r="BY29" i="24" s="1"/>
  <c r="BZ29" i="24" s="1"/>
  <c r="CA29" i="24" s="1"/>
  <c r="CB29" i="24" s="1"/>
  <c r="CC29" i="24" s="1"/>
  <c r="CD29" i="24" s="1"/>
  <c r="CE29" i="24" s="1"/>
  <c r="CF29" i="24" s="1"/>
  <c r="CG29" i="24" s="1"/>
  <c r="CH29" i="24" s="1"/>
  <c r="D28" i="24"/>
  <c r="E28" i="24"/>
  <c r="F28" i="24"/>
  <c r="G28" i="24"/>
  <c r="H28" i="24"/>
  <c r="I28" i="24"/>
  <c r="J28" i="24"/>
  <c r="K28" i="24"/>
  <c r="L28" i="24"/>
  <c r="M28" i="24"/>
  <c r="N28" i="24"/>
  <c r="O28" i="24"/>
  <c r="P28" i="24"/>
  <c r="Q28" i="24"/>
  <c r="R28" i="24"/>
  <c r="S28" i="24"/>
  <c r="T28" i="24"/>
  <c r="U28" i="24"/>
  <c r="V28" i="24"/>
  <c r="W28" i="24"/>
  <c r="X28" i="24"/>
  <c r="Y28" i="24"/>
  <c r="Z28" i="24"/>
  <c r="AA28" i="24"/>
  <c r="AB28" i="24"/>
  <c r="AC28" i="24"/>
  <c r="AD28" i="24"/>
  <c r="AE28" i="24"/>
  <c r="AF28" i="24"/>
  <c r="AG28" i="24"/>
  <c r="AH28" i="24"/>
  <c r="AI28" i="24"/>
  <c r="AJ28" i="24"/>
  <c r="AK28" i="24"/>
  <c r="AL28" i="24"/>
  <c r="AM28" i="24"/>
  <c r="AN28" i="24"/>
  <c r="AO28" i="24"/>
  <c r="AP28" i="24"/>
  <c r="AQ28" i="24"/>
  <c r="AR28" i="24"/>
  <c r="AS28" i="24"/>
  <c r="AT28" i="24"/>
  <c r="AU28" i="24"/>
  <c r="AV28" i="24"/>
  <c r="AW28" i="24"/>
  <c r="AX28" i="24"/>
  <c r="AY28" i="24"/>
  <c r="AZ28" i="24"/>
  <c r="BA28" i="24"/>
  <c r="BB28" i="24"/>
  <c r="BC28" i="24"/>
  <c r="BD28" i="24"/>
  <c r="BE28" i="24"/>
  <c r="BF28" i="24"/>
  <c r="BG28" i="24"/>
  <c r="BH28" i="24"/>
  <c r="BI28" i="24"/>
  <c r="BJ28" i="24"/>
  <c r="BK28" i="24"/>
  <c r="BL28" i="24"/>
  <c r="BM28" i="24"/>
  <c r="BN28" i="24"/>
  <c r="BO28" i="24"/>
  <c r="BP28" i="24"/>
  <c r="BQ28" i="24"/>
  <c r="BR28" i="24"/>
  <c r="BS28" i="24"/>
  <c r="BT28" i="24"/>
  <c r="BU28" i="24"/>
  <c r="BV28" i="24"/>
  <c r="BW28" i="24"/>
  <c r="BX28" i="24"/>
  <c r="BY28" i="24"/>
  <c r="BZ28" i="24"/>
  <c r="CA28" i="24"/>
  <c r="CB28" i="24"/>
  <c r="CC28" i="24"/>
  <c r="CD28" i="24"/>
  <c r="CE28" i="24"/>
  <c r="CF28" i="24"/>
  <c r="CG28" i="24"/>
  <c r="CH28" i="24"/>
  <c r="C28" i="24"/>
  <c r="B19" i="24"/>
  <c r="C19" i="24" s="1"/>
  <c r="D19" i="24" s="1"/>
  <c r="E19" i="24" s="1"/>
  <c r="F19" i="24" s="1"/>
  <c r="G19" i="24" s="1"/>
  <c r="H19" i="24" s="1"/>
  <c r="I19" i="24" s="1"/>
  <c r="J19" i="24" s="1"/>
  <c r="K19" i="24" s="1"/>
  <c r="L19" i="24" s="1"/>
  <c r="M19" i="24" s="1"/>
  <c r="N19" i="24" s="1"/>
  <c r="O19" i="24" s="1"/>
  <c r="P19" i="24" s="1"/>
  <c r="Q19" i="24" s="1"/>
  <c r="R19" i="24" s="1"/>
  <c r="S19" i="24" s="1"/>
  <c r="T19" i="24" s="1"/>
  <c r="U19" i="24" s="1"/>
  <c r="V19" i="24" s="1"/>
  <c r="W19" i="24" s="1"/>
  <c r="X19" i="24" s="1"/>
  <c r="Y19" i="24" s="1"/>
  <c r="Z19" i="24" s="1"/>
  <c r="AA19" i="24" s="1"/>
  <c r="AB19" i="24" s="1"/>
  <c r="AC19" i="24" s="1"/>
  <c r="AD19" i="24" s="1"/>
  <c r="AE19" i="24" s="1"/>
  <c r="AF19" i="24" s="1"/>
  <c r="AG19" i="24" s="1"/>
  <c r="AH19" i="24" s="1"/>
  <c r="AI19" i="24" s="1"/>
  <c r="AJ19" i="24" s="1"/>
  <c r="AK19" i="24" s="1"/>
  <c r="AL19" i="24" s="1"/>
  <c r="AM19" i="24" s="1"/>
  <c r="AN19" i="24" s="1"/>
  <c r="AO19" i="24" s="1"/>
  <c r="AP19" i="24" s="1"/>
  <c r="AQ19" i="24" s="1"/>
  <c r="AR19" i="24" s="1"/>
  <c r="AS19" i="24" s="1"/>
  <c r="AT19" i="24" s="1"/>
  <c r="AU19" i="24" s="1"/>
  <c r="AV19" i="24" s="1"/>
  <c r="AW19" i="24" s="1"/>
  <c r="AX19" i="24" s="1"/>
  <c r="AY19" i="24" s="1"/>
  <c r="AZ19" i="24" s="1"/>
  <c r="BA19" i="24" s="1"/>
  <c r="BB19" i="24" s="1"/>
  <c r="BC19" i="24" s="1"/>
  <c r="BD19" i="24" s="1"/>
  <c r="BE19" i="24" s="1"/>
  <c r="BF19" i="24" s="1"/>
  <c r="BG19" i="24" s="1"/>
  <c r="BH19" i="24" s="1"/>
  <c r="BI19" i="24" s="1"/>
  <c r="BJ19" i="24" s="1"/>
  <c r="BK19" i="24" s="1"/>
  <c r="BL19" i="24" s="1"/>
  <c r="BM19" i="24" s="1"/>
  <c r="BN19" i="24" s="1"/>
  <c r="BO19" i="24" s="1"/>
  <c r="BP19" i="24" s="1"/>
  <c r="BQ19" i="24" s="1"/>
  <c r="BR19" i="24" s="1"/>
  <c r="BS19" i="24" s="1"/>
  <c r="BT19" i="24" s="1"/>
  <c r="BU19" i="24" s="1"/>
  <c r="BV19" i="24" s="1"/>
  <c r="BW19" i="24" s="1"/>
  <c r="BX19" i="24" s="1"/>
  <c r="BY19" i="24" s="1"/>
  <c r="BZ19" i="24" s="1"/>
  <c r="CA19" i="24" s="1"/>
  <c r="CB19" i="24" s="1"/>
  <c r="CC19" i="24" s="1"/>
  <c r="CD19" i="24" s="1"/>
  <c r="CE19" i="24" s="1"/>
  <c r="CF19" i="24" s="1"/>
  <c r="CG19" i="24" s="1"/>
  <c r="CH19" i="24" s="1"/>
  <c r="D18" i="24"/>
  <c r="E18" i="24"/>
  <c r="F18" i="24"/>
  <c r="G18" i="24"/>
  <c r="H18" i="24"/>
  <c r="I18" i="24"/>
  <c r="J18" i="24"/>
  <c r="K18" i="24"/>
  <c r="L18" i="24"/>
  <c r="M18" i="24"/>
  <c r="N18" i="24"/>
  <c r="O18" i="24"/>
  <c r="P18" i="24"/>
  <c r="Q18" i="24"/>
  <c r="R18" i="24"/>
  <c r="S18" i="24"/>
  <c r="T18" i="24"/>
  <c r="U18" i="24"/>
  <c r="V18" i="24"/>
  <c r="W18" i="24"/>
  <c r="X18" i="24"/>
  <c r="Y18" i="24"/>
  <c r="Z18" i="24"/>
  <c r="AA18" i="24"/>
  <c r="AB18" i="24"/>
  <c r="AC18" i="24"/>
  <c r="AD18" i="24"/>
  <c r="AE18" i="24"/>
  <c r="AF18" i="24"/>
  <c r="AG18" i="24"/>
  <c r="AH18" i="24"/>
  <c r="AI18" i="24"/>
  <c r="AJ18" i="24"/>
  <c r="AK18" i="24"/>
  <c r="AL18" i="24"/>
  <c r="AM18" i="24"/>
  <c r="AN18" i="24"/>
  <c r="AO18" i="24"/>
  <c r="AP18" i="24"/>
  <c r="AQ18" i="24"/>
  <c r="AR18" i="24"/>
  <c r="AS18" i="24"/>
  <c r="AT18" i="24"/>
  <c r="AU18" i="24"/>
  <c r="AV18" i="24"/>
  <c r="AW18" i="24"/>
  <c r="AX18" i="24"/>
  <c r="AY18" i="24"/>
  <c r="AZ18" i="24"/>
  <c r="BA18" i="24"/>
  <c r="BB18" i="24"/>
  <c r="BC18" i="24"/>
  <c r="BD18" i="24"/>
  <c r="BE18" i="24"/>
  <c r="BF18" i="24"/>
  <c r="BG18" i="24"/>
  <c r="BH18" i="24"/>
  <c r="BI18" i="24"/>
  <c r="BJ18" i="24"/>
  <c r="BK18" i="24"/>
  <c r="BL18" i="24"/>
  <c r="BM18" i="24"/>
  <c r="BN18" i="24"/>
  <c r="BO18" i="24"/>
  <c r="BP18" i="24"/>
  <c r="BQ18" i="24"/>
  <c r="BR18" i="24"/>
  <c r="BS18" i="24"/>
  <c r="BT18" i="24"/>
  <c r="BU18" i="24"/>
  <c r="BV18" i="24"/>
  <c r="BW18" i="24"/>
  <c r="BX18" i="24"/>
  <c r="BY18" i="24"/>
  <c r="BZ18" i="24"/>
  <c r="CA18" i="24"/>
  <c r="CB18" i="24"/>
  <c r="CC18" i="24"/>
  <c r="CD18" i="24"/>
  <c r="CE18" i="24"/>
  <c r="CF18" i="24"/>
  <c r="CG18" i="24"/>
  <c r="CH18" i="24"/>
  <c r="C18" i="24"/>
  <c r="E37" i="26"/>
  <c r="D27" i="24"/>
  <c r="D30" i="24" s="1"/>
  <c r="E27" i="24"/>
  <c r="E30" i="24" s="1"/>
  <c r="F27" i="24"/>
  <c r="F30" i="24" s="1"/>
  <c r="G27" i="24"/>
  <c r="G30" i="24" s="1"/>
  <c r="H27" i="24"/>
  <c r="H30" i="24" s="1"/>
  <c r="I27" i="24"/>
  <c r="I30" i="24" s="1"/>
  <c r="J27" i="24"/>
  <c r="J30" i="24" s="1"/>
  <c r="K27" i="24"/>
  <c r="K30" i="24" s="1"/>
  <c r="L27" i="24"/>
  <c r="L30" i="24" s="1"/>
  <c r="M27" i="24"/>
  <c r="M30" i="24" s="1"/>
  <c r="N27" i="24"/>
  <c r="N30" i="24" s="1"/>
  <c r="O27" i="24"/>
  <c r="O30" i="24" s="1"/>
  <c r="P27" i="24"/>
  <c r="P30" i="24" s="1"/>
  <c r="Q27" i="24"/>
  <c r="Q30" i="24" s="1"/>
  <c r="R27" i="24"/>
  <c r="R30" i="24" s="1"/>
  <c r="S27" i="24"/>
  <c r="S30" i="24" s="1"/>
  <c r="T27" i="24"/>
  <c r="T30" i="24" s="1"/>
  <c r="U27" i="24"/>
  <c r="U30" i="24" s="1"/>
  <c r="V27" i="24"/>
  <c r="V30" i="24" s="1"/>
  <c r="W27" i="24"/>
  <c r="W30" i="24" s="1"/>
  <c r="X27" i="24"/>
  <c r="X30" i="24" s="1"/>
  <c r="Y27" i="24"/>
  <c r="Y30" i="24" s="1"/>
  <c r="Z27" i="24"/>
  <c r="Z30" i="24" s="1"/>
  <c r="AA27" i="24"/>
  <c r="AA30" i="24" s="1"/>
  <c r="AB27" i="24"/>
  <c r="AB30" i="24" s="1"/>
  <c r="AC27" i="24"/>
  <c r="AC30" i="24" s="1"/>
  <c r="AD27" i="24"/>
  <c r="AD30" i="24" s="1"/>
  <c r="AE27" i="24"/>
  <c r="AE30" i="24" s="1"/>
  <c r="AF27" i="24"/>
  <c r="AF30" i="24" s="1"/>
  <c r="AG27" i="24"/>
  <c r="AG30" i="24" s="1"/>
  <c r="AH27" i="24"/>
  <c r="AH30" i="24" s="1"/>
  <c r="AI27" i="24"/>
  <c r="AI30" i="24" s="1"/>
  <c r="AJ27" i="24"/>
  <c r="AJ30" i="24" s="1"/>
  <c r="AK27" i="24"/>
  <c r="AK30" i="24" s="1"/>
  <c r="AL27" i="24"/>
  <c r="AL30" i="24" s="1"/>
  <c r="AM27" i="24"/>
  <c r="AM30" i="24" s="1"/>
  <c r="AN27" i="24"/>
  <c r="AN30" i="24" s="1"/>
  <c r="AO27" i="24"/>
  <c r="AO30" i="24" s="1"/>
  <c r="AP27" i="24"/>
  <c r="AP30" i="24" s="1"/>
  <c r="AQ27" i="24"/>
  <c r="AQ30" i="24" s="1"/>
  <c r="AR27" i="24"/>
  <c r="AR30" i="24" s="1"/>
  <c r="AS27" i="24"/>
  <c r="AS30" i="24" s="1"/>
  <c r="AT27" i="24"/>
  <c r="AT30" i="24" s="1"/>
  <c r="AU27" i="24"/>
  <c r="AU30" i="24" s="1"/>
  <c r="AV27" i="24"/>
  <c r="AV30" i="24" s="1"/>
  <c r="AW27" i="24"/>
  <c r="AW30" i="24" s="1"/>
  <c r="AX27" i="24"/>
  <c r="AX30" i="24" s="1"/>
  <c r="AY27" i="24"/>
  <c r="AY30" i="24" s="1"/>
  <c r="AZ27" i="24"/>
  <c r="AZ30" i="24" s="1"/>
  <c r="BA27" i="24"/>
  <c r="BA30" i="24" s="1"/>
  <c r="BB27" i="24"/>
  <c r="BB30" i="24" s="1"/>
  <c r="BC27" i="24"/>
  <c r="BC30" i="24" s="1"/>
  <c r="BD27" i="24"/>
  <c r="BD30" i="24" s="1"/>
  <c r="BE27" i="24"/>
  <c r="BE30" i="24" s="1"/>
  <c r="BF27" i="24"/>
  <c r="BF30" i="24" s="1"/>
  <c r="BG27" i="24"/>
  <c r="BG30" i="24" s="1"/>
  <c r="BH27" i="24"/>
  <c r="BH30" i="24" s="1"/>
  <c r="BI27" i="24"/>
  <c r="BI30" i="24" s="1"/>
  <c r="BJ27" i="24"/>
  <c r="BJ30" i="24" s="1"/>
  <c r="BK27" i="24"/>
  <c r="BK30" i="24" s="1"/>
  <c r="BL27" i="24"/>
  <c r="BL30" i="24" s="1"/>
  <c r="BM27" i="24"/>
  <c r="BM30" i="24" s="1"/>
  <c r="BN27" i="24"/>
  <c r="BN30" i="24" s="1"/>
  <c r="BO27" i="24"/>
  <c r="BO30" i="24" s="1"/>
  <c r="BP27" i="24"/>
  <c r="BP30" i="24" s="1"/>
  <c r="BQ27" i="24"/>
  <c r="BQ30" i="24" s="1"/>
  <c r="BR27" i="24"/>
  <c r="BR30" i="24" s="1"/>
  <c r="BS27" i="24"/>
  <c r="BS30" i="24" s="1"/>
  <c r="BT27" i="24"/>
  <c r="BT30" i="24" s="1"/>
  <c r="BU27" i="24"/>
  <c r="BU30" i="24" s="1"/>
  <c r="BV27" i="24"/>
  <c r="BV30" i="24" s="1"/>
  <c r="BW27" i="24"/>
  <c r="BW30" i="24" s="1"/>
  <c r="BX27" i="24"/>
  <c r="BX30" i="24" s="1"/>
  <c r="BY27" i="24"/>
  <c r="BY30" i="24" s="1"/>
  <c r="BZ27" i="24"/>
  <c r="BZ30" i="24" s="1"/>
  <c r="CA27" i="24"/>
  <c r="CA30" i="24" s="1"/>
  <c r="CB27" i="24"/>
  <c r="CB30" i="24" s="1"/>
  <c r="CC27" i="24"/>
  <c r="CC30" i="24" s="1"/>
  <c r="CD27" i="24"/>
  <c r="CD30" i="24" s="1"/>
  <c r="CE27" i="24"/>
  <c r="CE30" i="24" s="1"/>
  <c r="CF27" i="24"/>
  <c r="CF30" i="24" s="1"/>
  <c r="CG27" i="24"/>
  <c r="CG30" i="24" s="1"/>
  <c r="CH27" i="24"/>
  <c r="CH30" i="24" s="1"/>
  <c r="C27" i="24"/>
  <c r="C30" i="24" s="1"/>
  <c r="D17" i="24"/>
  <c r="D20" i="24" s="1"/>
  <c r="E17" i="24"/>
  <c r="E20" i="24" s="1"/>
  <c r="F17" i="24"/>
  <c r="F20" i="24" s="1"/>
  <c r="G17" i="24"/>
  <c r="G20" i="24" s="1"/>
  <c r="H17" i="24"/>
  <c r="H20" i="24" s="1"/>
  <c r="I17" i="24"/>
  <c r="I20" i="24" s="1"/>
  <c r="J17" i="24"/>
  <c r="J20" i="24" s="1"/>
  <c r="K17" i="24"/>
  <c r="K20" i="24" s="1"/>
  <c r="L17" i="24"/>
  <c r="L20" i="24" s="1"/>
  <c r="M17" i="24"/>
  <c r="M20" i="24" s="1"/>
  <c r="N17" i="24"/>
  <c r="N20" i="24" s="1"/>
  <c r="O17" i="24"/>
  <c r="O20" i="24" s="1"/>
  <c r="P17" i="24"/>
  <c r="P20" i="24" s="1"/>
  <c r="Q17" i="24"/>
  <c r="Q20" i="24" s="1"/>
  <c r="R17" i="24"/>
  <c r="R20" i="24" s="1"/>
  <c r="S17" i="24"/>
  <c r="S20" i="24" s="1"/>
  <c r="T17" i="24"/>
  <c r="T20" i="24" s="1"/>
  <c r="U17" i="24"/>
  <c r="U20" i="24" s="1"/>
  <c r="V17" i="24"/>
  <c r="V20" i="24" s="1"/>
  <c r="W17" i="24"/>
  <c r="W20" i="24" s="1"/>
  <c r="X17" i="24"/>
  <c r="X20" i="24" s="1"/>
  <c r="Y17" i="24"/>
  <c r="Y20" i="24" s="1"/>
  <c r="Z17" i="24"/>
  <c r="Z20" i="24" s="1"/>
  <c r="AA17" i="24"/>
  <c r="AA20" i="24" s="1"/>
  <c r="AB17" i="24"/>
  <c r="AB20" i="24" s="1"/>
  <c r="AC17" i="24"/>
  <c r="AC20" i="24" s="1"/>
  <c r="AD17" i="24"/>
  <c r="AD20" i="24" s="1"/>
  <c r="AE17" i="24"/>
  <c r="AE20" i="24" s="1"/>
  <c r="AF17" i="24"/>
  <c r="AF20" i="24" s="1"/>
  <c r="AG17" i="24"/>
  <c r="AG20" i="24" s="1"/>
  <c r="AH17" i="24"/>
  <c r="AH20" i="24" s="1"/>
  <c r="AI17" i="24"/>
  <c r="AI20" i="24" s="1"/>
  <c r="AJ17" i="24"/>
  <c r="AJ20" i="24" s="1"/>
  <c r="AK17" i="24"/>
  <c r="AK20" i="24" s="1"/>
  <c r="AL17" i="24"/>
  <c r="AL20" i="24" s="1"/>
  <c r="AM17" i="24"/>
  <c r="AM20" i="24" s="1"/>
  <c r="AN17" i="24"/>
  <c r="AN20" i="24" s="1"/>
  <c r="AO17" i="24"/>
  <c r="AO20" i="24" s="1"/>
  <c r="AP17" i="24"/>
  <c r="AP20" i="24" s="1"/>
  <c r="AQ17" i="24"/>
  <c r="AQ20" i="24" s="1"/>
  <c r="AR17" i="24"/>
  <c r="AR20" i="24" s="1"/>
  <c r="AS17" i="24"/>
  <c r="AS20" i="24" s="1"/>
  <c r="AT17" i="24"/>
  <c r="AT20" i="24" s="1"/>
  <c r="AU17" i="24"/>
  <c r="AU20" i="24" s="1"/>
  <c r="AV17" i="24"/>
  <c r="AV20" i="24" s="1"/>
  <c r="AW17" i="24"/>
  <c r="AW20" i="24" s="1"/>
  <c r="AX17" i="24"/>
  <c r="AX20" i="24" s="1"/>
  <c r="AY17" i="24"/>
  <c r="AY20" i="24" s="1"/>
  <c r="AZ17" i="24"/>
  <c r="AZ20" i="24" s="1"/>
  <c r="BA17" i="24"/>
  <c r="BA20" i="24" s="1"/>
  <c r="BB17" i="24"/>
  <c r="BB20" i="24" s="1"/>
  <c r="BC17" i="24"/>
  <c r="BC20" i="24" s="1"/>
  <c r="BD17" i="24"/>
  <c r="BD20" i="24" s="1"/>
  <c r="BE17" i="24"/>
  <c r="BE20" i="24" s="1"/>
  <c r="BF17" i="24"/>
  <c r="BF20" i="24" s="1"/>
  <c r="BG17" i="24"/>
  <c r="BG20" i="24" s="1"/>
  <c r="BH17" i="24"/>
  <c r="BH20" i="24" s="1"/>
  <c r="BI17" i="24"/>
  <c r="BI20" i="24" s="1"/>
  <c r="BJ17" i="24"/>
  <c r="BJ20" i="24" s="1"/>
  <c r="BK17" i="24"/>
  <c r="BK20" i="24" s="1"/>
  <c r="BL17" i="24"/>
  <c r="BL20" i="24" s="1"/>
  <c r="BM17" i="24"/>
  <c r="BM20" i="24" s="1"/>
  <c r="BN17" i="24"/>
  <c r="BN20" i="24" s="1"/>
  <c r="BO17" i="24"/>
  <c r="BO20" i="24" s="1"/>
  <c r="BP17" i="24"/>
  <c r="BP20" i="24" s="1"/>
  <c r="BQ17" i="24"/>
  <c r="BQ20" i="24" s="1"/>
  <c r="BR17" i="24"/>
  <c r="BR20" i="24" s="1"/>
  <c r="BS17" i="24"/>
  <c r="BS20" i="24" s="1"/>
  <c r="BT17" i="24"/>
  <c r="BT20" i="24" s="1"/>
  <c r="BU17" i="24"/>
  <c r="BU20" i="24" s="1"/>
  <c r="BV17" i="24"/>
  <c r="BV20" i="24" s="1"/>
  <c r="BW17" i="24"/>
  <c r="BW20" i="24" s="1"/>
  <c r="BX17" i="24"/>
  <c r="BX20" i="24" s="1"/>
  <c r="BY17" i="24"/>
  <c r="BY20" i="24" s="1"/>
  <c r="BZ17" i="24"/>
  <c r="BZ20" i="24" s="1"/>
  <c r="CA17" i="24"/>
  <c r="CA20" i="24" s="1"/>
  <c r="CB17" i="24"/>
  <c r="CB20" i="24" s="1"/>
  <c r="CC17" i="24"/>
  <c r="CC20" i="24" s="1"/>
  <c r="CD17" i="24"/>
  <c r="CD20" i="24" s="1"/>
  <c r="CE17" i="24"/>
  <c r="CE20" i="24" s="1"/>
  <c r="CF17" i="24"/>
  <c r="CF20" i="24" s="1"/>
  <c r="CG17" i="24"/>
  <c r="CG20" i="24" s="1"/>
  <c r="CH17" i="24"/>
  <c r="CH20" i="24" s="1"/>
  <c r="C17" i="24"/>
  <c r="C20" i="24" s="1"/>
  <c r="D7" i="24"/>
  <c r="E7" i="24" s="1"/>
  <c r="BP54" i="26"/>
  <c r="BL54" i="26"/>
  <c r="BH54" i="26"/>
  <c r="BD54" i="26"/>
  <c r="AZ54" i="26"/>
  <c r="AV54" i="26"/>
  <c r="AR54" i="26"/>
  <c r="AN54" i="26"/>
  <c r="AJ54" i="26"/>
  <c r="AF54" i="26"/>
  <c r="AB54" i="26"/>
  <c r="X54" i="26"/>
  <c r="T54" i="26"/>
  <c r="P54" i="26"/>
  <c r="L54" i="26"/>
  <c r="H54" i="26"/>
  <c r="E52" i="26"/>
  <c r="E51" i="26"/>
  <c r="E50" i="26"/>
  <c r="E49" i="26"/>
  <c r="E48" i="26"/>
  <c r="E47" i="26"/>
  <c r="E46" i="26"/>
  <c r="E45" i="26"/>
  <c r="E44" i="26"/>
  <c r="E43" i="26"/>
  <c r="E42" i="26"/>
  <c r="E41" i="26"/>
  <c r="E40" i="26"/>
  <c r="E39" i="26"/>
  <c r="E38" i="26"/>
  <c r="G7" i="25" a="1"/>
  <c r="G7" i="25" s="1"/>
  <c r="F6" i="25" a="1"/>
  <c r="G6" i="25" s="1"/>
  <c r="E5" i="25" a="1"/>
  <c r="G5" i="25" s="1"/>
  <c r="D4" i="25" a="1"/>
  <c r="G4" i="25" s="1"/>
  <c r="C3" i="25" a="1"/>
  <c r="G3" i="25" s="1"/>
  <c r="G2" i="25"/>
  <c r="F2" i="25"/>
  <c r="E2" i="25"/>
  <c r="D2" i="25"/>
  <c r="C2" i="25"/>
  <c r="B2" i="25"/>
  <c r="X6" i="27" l="1" a="1"/>
  <c r="X6" i="27" s="1"/>
  <c r="X8" i="27" a="1"/>
  <c r="X8" i="27" s="1"/>
  <c r="Y8" i="27" s="1"/>
  <c r="Y6" i="27"/>
  <c r="X4" i="27" a="1"/>
  <c r="X4" i="27" s="1"/>
  <c r="Y4" i="27" s="1"/>
  <c r="X5" i="27" a="1"/>
  <c r="X5" i="27" s="1"/>
  <c r="Y5" i="27" s="1"/>
  <c r="X9" i="27" a="1"/>
  <c r="X9" i="27" s="1"/>
  <c r="Y9" i="27" s="1"/>
  <c r="X7" i="27" a="1"/>
  <c r="X7" i="27" s="1"/>
  <c r="Y7" i="27" s="1"/>
  <c r="X11" i="27" a="1"/>
  <c r="X11" i="27" s="1"/>
  <c r="Y11" i="27" s="1"/>
  <c r="C42" i="26"/>
  <c r="T57" i="26"/>
  <c r="C39" i="26"/>
  <c r="F7" i="24"/>
  <c r="C3" i="25"/>
  <c r="D4" i="25"/>
  <c r="E5" i="25"/>
  <c r="E3" i="25"/>
  <c r="E4" i="25"/>
  <c r="F5" i="25"/>
  <c r="F6" i="25"/>
  <c r="I6" i="25" s="1"/>
  <c r="F3" i="25"/>
  <c r="F4" i="25"/>
  <c r="D3" i="25"/>
  <c r="D22" i="23"/>
  <c r="D21" i="23"/>
  <c r="E21" i="23" s="1"/>
  <c r="D20" i="23"/>
  <c r="D19" i="23"/>
  <c r="D18" i="23"/>
  <c r="D17" i="23"/>
  <c r="D16" i="23"/>
  <c r="D15" i="23"/>
  <c r="D14" i="23"/>
  <c r="D13" i="23"/>
  <c r="E13" i="23" s="1"/>
  <c r="D12" i="23"/>
  <c r="D11" i="23"/>
  <c r="D10" i="23"/>
  <c r="D9" i="23"/>
  <c r="D8" i="23"/>
  <c r="D7" i="23"/>
  <c r="D6" i="23"/>
  <c r="D5" i="23"/>
  <c r="E5" i="23" s="1"/>
  <c r="D4" i="23"/>
  <c r="D3" i="23"/>
  <c r="I3" i="25" l="1"/>
  <c r="E7" i="23"/>
  <c r="E17" i="23"/>
  <c r="E6" i="23"/>
  <c r="E15" i="23"/>
  <c r="E16" i="23"/>
  <c r="E10" i="23"/>
  <c r="E18" i="23"/>
  <c r="E14" i="23"/>
  <c r="E19" i="23"/>
  <c r="E22" i="23"/>
  <c r="E8" i="23"/>
  <c r="E9" i="23"/>
  <c r="E3" i="23"/>
  <c r="E11" i="23"/>
  <c r="E4" i="23"/>
  <c r="E12" i="23"/>
  <c r="E20" i="23"/>
  <c r="Z9" i="27"/>
  <c r="F9" i="27" s="1"/>
  <c r="L9" i="27" s="1"/>
  <c r="J9" i="27"/>
  <c r="H9" i="27"/>
  <c r="Z11" i="27"/>
  <c r="F11" i="27" s="1"/>
  <c r="Z8" i="27"/>
  <c r="F8" i="27" s="1"/>
  <c r="Z5" i="27"/>
  <c r="F5" i="27" s="1"/>
  <c r="Z4" i="27"/>
  <c r="F4" i="27" s="1"/>
  <c r="Z6" i="27"/>
  <c r="F6" i="27" s="1"/>
  <c r="Z7" i="27"/>
  <c r="F7" i="27" s="1"/>
  <c r="Z10" i="27"/>
  <c r="F10" i="27" s="1"/>
  <c r="AZ57" i="26"/>
  <c r="BP57" i="26"/>
  <c r="L57" i="26"/>
  <c r="AF57" i="26"/>
  <c r="AJ57" i="26"/>
  <c r="X57" i="26"/>
  <c r="AN57" i="26"/>
  <c r="BD57" i="26"/>
  <c r="AR57" i="26"/>
  <c r="BL57" i="26"/>
  <c r="H57" i="26"/>
  <c r="P57" i="26"/>
  <c r="AB57" i="26"/>
  <c r="AV57" i="26"/>
  <c r="BH57" i="26"/>
  <c r="G7" i="24"/>
  <c r="J6" i="25" l="1" a="1"/>
  <c r="J6" i="25" s="1"/>
  <c r="J7" i="25" a="1"/>
  <c r="J7" i="25" s="1"/>
  <c r="J8" i="25" a="1"/>
  <c r="J8" i="25" s="1"/>
  <c r="J5" i="25" a="1"/>
  <c r="J5" i="25" s="1"/>
  <c r="J3" i="25" a="1"/>
  <c r="J3" i="25" s="1"/>
  <c r="K3" i="25" s="1"/>
  <c r="J4" i="25" a="1"/>
  <c r="J4" i="25" s="1"/>
  <c r="L6" i="27"/>
  <c r="J6" i="27"/>
  <c r="H6" i="27"/>
  <c r="J4" i="27"/>
  <c r="L4" i="27"/>
  <c r="H4" i="27"/>
  <c r="L5" i="27"/>
  <c r="H5" i="27"/>
  <c r="J5" i="27"/>
  <c r="H8" i="27"/>
  <c r="L8" i="27"/>
  <c r="J8" i="27"/>
  <c r="J11" i="27"/>
  <c r="H11" i="27"/>
  <c r="L11" i="27"/>
  <c r="H10" i="27"/>
  <c r="L10" i="27"/>
  <c r="J10" i="27"/>
  <c r="H7" i="27"/>
  <c r="L7" i="27"/>
  <c r="J7" i="27"/>
  <c r="H7" i="24"/>
  <c r="K5" i="25" l="1"/>
  <c r="K8" i="25"/>
  <c r="K7" i="25"/>
  <c r="K4" i="25"/>
  <c r="K6" i="25"/>
  <c r="H30" i="27"/>
  <c r="L30" i="27"/>
  <c r="J30" i="27"/>
  <c r="I7" i="24"/>
  <c r="I31" i="27" l="1"/>
  <c r="J31" i="27"/>
  <c r="K31" i="27"/>
  <c r="L31" i="27"/>
  <c r="H31" i="27"/>
  <c r="J7" i="24"/>
  <c r="K7" i="24" l="1"/>
  <c r="L7" i="24" l="1"/>
  <c r="M7" i="24" l="1"/>
  <c r="N7" i="24" l="1"/>
  <c r="O7" i="24" l="1"/>
  <c r="P7" i="24" l="1"/>
  <c r="Q7" i="24" l="1"/>
  <c r="R7" i="24" l="1"/>
  <c r="S7" i="24" l="1"/>
  <c r="T7" i="24" l="1"/>
  <c r="U7" i="24" l="1"/>
  <c r="V7" i="24" l="1"/>
  <c r="W7" i="24" l="1"/>
  <c r="X7" i="24" l="1"/>
  <c r="Y7" i="24" l="1"/>
  <c r="Z7" i="24" l="1"/>
  <c r="AA7" i="24" l="1"/>
  <c r="AB7" i="24" l="1"/>
  <c r="AC7" i="24" l="1"/>
  <c r="AD7" i="24" l="1"/>
  <c r="AE7" i="24" l="1"/>
  <c r="AF7" i="24" l="1"/>
  <c r="AG7" i="24" l="1"/>
  <c r="AH7" i="24" l="1"/>
  <c r="AI7" i="24" l="1"/>
  <c r="AJ7" i="24" l="1"/>
  <c r="AK7" i="24" l="1"/>
  <c r="AL7" i="24" l="1"/>
  <c r="AM7" i="24" l="1"/>
  <c r="AN7" i="24" l="1"/>
  <c r="AO7" i="24" l="1"/>
  <c r="AP7" i="24" l="1"/>
  <c r="AQ7" i="24" l="1"/>
  <c r="AR7" i="24" l="1"/>
  <c r="AS7" i="24" l="1"/>
  <c r="AT7" i="24" l="1"/>
  <c r="AU7" i="24" l="1"/>
  <c r="AV7" i="24" l="1"/>
  <c r="AW7" i="24" l="1"/>
  <c r="AX7" i="24" l="1"/>
  <c r="AY7" i="24" l="1"/>
  <c r="AZ7" i="24" l="1"/>
  <c r="BA7" i="24" l="1"/>
  <c r="BB7" i="24" l="1"/>
  <c r="BC7" i="24" l="1"/>
  <c r="BD7" i="24" l="1"/>
  <c r="BE7" i="24" l="1"/>
  <c r="BF7" i="24" l="1"/>
  <c r="BG7" i="24" l="1"/>
  <c r="BH7" i="24" l="1"/>
  <c r="BI7" i="24" l="1"/>
  <c r="BJ7" i="24" l="1"/>
  <c r="BK7" i="24" l="1"/>
  <c r="BL7" i="24" l="1"/>
  <c r="BM7" i="24" l="1"/>
  <c r="BN7" i="24" l="1"/>
  <c r="BO7" i="24" l="1"/>
  <c r="BP7" i="24" l="1"/>
  <c r="BQ7" i="24" l="1"/>
  <c r="BR7" i="24" l="1"/>
  <c r="BS7" i="24" l="1"/>
  <c r="BT7" i="24" l="1"/>
  <c r="BU7" i="24" l="1"/>
  <c r="BV7" i="24" l="1"/>
  <c r="BW7" i="24" l="1"/>
  <c r="BX7" i="24" l="1"/>
  <c r="BY7" i="24" l="1"/>
  <c r="BZ7" i="24" l="1"/>
  <c r="CA7" i="24" l="1"/>
  <c r="CB7" i="24" l="1"/>
  <c r="CC7" i="24" l="1"/>
  <c r="CD7" i="24" l="1"/>
  <c r="CE7" i="24" l="1"/>
  <c r="CF7" i="24" l="1"/>
  <c r="CG7" i="24" l="1"/>
  <c r="CH7" i="24" l="1"/>
  <c r="AH35" i="28" l="1"/>
  <c r="AH36" i="28"/>
  <c r="AH51" i="28"/>
  <c r="AH47" i="28"/>
  <c r="AH50" i="28"/>
  <c r="AH44" i="28"/>
  <c r="AH61" i="28"/>
  <c r="AH64" i="28"/>
  <c r="AH71" i="28"/>
  <c r="AH68" i="28"/>
  <c r="AH40" i="28"/>
  <c r="AH66" i="28"/>
  <c r="AH56" i="28"/>
  <c r="AH54" i="28"/>
  <c r="AH59" i="28"/>
  <c r="AH72" i="28"/>
  <c r="AH65" i="28"/>
  <c r="AH38" i="28"/>
  <c r="AH49" i="28"/>
  <c r="AH55" i="28"/>
  <c r="AH43" i="28"/>
  <c r="AH41" i="28"/>
  <c r="AH73" i="28"/>
  <c r="AH52" i="28"/>
  <c r="AH57" i="28"/>
  <c r="AH46" i="28"/>
  <c r="AH63" i="28"/>
  <c r="AH58" i="28"/>
  <c r="AH70" i="28"/>
  <c r="AH62" i="28"/>
  <c r="AH39" i="28"/>
  <c r="AH48" i="28"/>
  <c r="AH67" i="28"/>
  <c r="AH53" i="28"/>
  <c r="AI53" i="28" s="1"/>
  <c r="AH37" i="28"/>
  <c r="AH69" i="28"/>
  <c r="AI69" i="28" s="1"/>
  <c r="AH60" i="28"/>
  <c r="AI60" i="28" s="1"/>
  <c r="AH42" i="28"/>
  <c r="AI42" i="28" s="1"/>
  <c r="AH45" i="28"/>
  <c r="AI45" i="28" s="1"/>
  <c r="AI67" i="28" l="1"/>
  <c r="AI57" i="28"/>
  <c r="AI65" i="28"/>
  <c r="AI71" i="28"/>
  <c r="AI35" i="28"/>
  <c r="AI74" i="28"/>
  <c r="AI48" i="28"/>
  <c r="AI52" i="28"/>
  <c r="AI72" i="28"/>
  <c r="AI64" i="28"/>
  <c r="AI39" i="28"/>
  <c r="AI73" i="28"/>
  <c r="AI59" i="28"/>
  <c r="AI61" i="28"/>
  <c r="AI62" i="28"/>
  <c r="AI41" i="28"/>
  <c r="AI54" i="28"/>
  <c r="AI44" i="28"/>
  <c r="AI70" i="28"/>
  <c r="AI43" i="28"/>
  <c r="AI56" i="28"/>
  <c r="AI50" i="28"/>
  <c r="AI58" i="28"/>
  <c r="AI55" i="28"/>
  <c r="AI66" i="28"/>
  <c r="AI47" i="28"/>
  <c r="AI37" i="28"/>
  <c r="AI63" i="28"/>
  <c r="AI49" i="28"/>
  <c r="AI40" i="28"/>
  <c r="AI51" i="28"/>
  <c r="AI46" i="28"/>
  <c r="AI38" i="28"/>
  <c r="AI68" i="28"/>
  <c r="AI36" i="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  <author>tc={8768BEA6-CF9F-B44F-BA6D-E47C2F81D520}</author>
    <author>tc={608AD8E5-7B3D-2442-A706-ED5B8F49F0EC}</author>
    <author>tc={6ED27B7D-46A3-9744-A627-BFB15F951AFF}</author>
    <author>tc={3F59673B-A775-964E-8892-0DA4E351587C}</author>
    <author>tc={C55F47B8-ACA6-C241-A9C2-0B58974FB589}</author>
    <author>tc={CB2B1EE9-DE3D-1141-8562-7814CDE873DB}</author>
    <author>tc={19C45B71-A546-0946-A677-E7D687E87944}</author>
    <author>tc={D7A1EEE3-7802-4A4B-BCEC-8902805FA544}</author>
    <author>tc={C9E6A832-736B-1543-8E17-B0BF8D1867E6}</author>
    <author>tc={9FB3F64B-DA5A-934B-B2E8-1D189D123B88}</author>
    <author>tc={86024E54-F2AB-D94D-A345-343010874D24}</author>
    <author>tc={B87C1FA3-8A6B-204F-B1BA-2B092C85C2A2}</author>
    <author>tc={EBF7269B-0406-F948-9BC4-73864536716F}</author>
    <author>tc={93886244-0860-CD41-AEFD-7675E65A7F99}</author>
    <author>tc={E6684933-6DB2-3545-9EF1-6B7454428101}</author>
    <author>tc={2501A161-918A-C34C-8C41-4E84E0CF4859}</author>
    <author>tc={86A94D82-D713-FD44-8F21-5EF351836F90}</author>
    <author>tc={AF766577-C414-D945-93FC-2A0426756FC6}</author>
    <author>tc={309E09BE-B403-3142-B986-B0DB841EC6AF}</author>
    <author>tc={5A34A52C-B641-6C42-AD40-3307A20BCBAF}</author>
    <author>tc={8C3F00E8-EA7B-D04B-BDCC-82DB7E47F0AF}</author>
    <author>tc={9E620AD4-E487-8947-9464-A8E6C247C6CC}</author>
    <author>tc={D2C00C00-2B70-1240-9A9B-551530787D16}</author>
    <author>tc={99739960-55AE-654C-845F-FE0132F4CDEF}</author>
    <author>tc={44D61C83-ADCF-C84F-BFE8-EF006B65668C}</author>
    <author>tc={65050545-47EC-2A48-8AD8-99BF337FD855}</author>
    <author>tc={BA587D7A-ECA4-AA4C-8802-41F37E5F9ABE}</author>
    <author>tc={0E9268D5-0FE8-4A42-B9C0-57F6E3868FB8}</author>
    <author>tc={74D80B84-118D-7F44-A08D-B935FB1B8D2A}</author>
    <author>tc={EB2A23AF-7F2D-D54E-96A7-573B452A1A64}</author>
    <author>tc={B9C668D3-A738-9344-86E7-9A2CBC69E66B}</author>
    <author>tc={A980A392-30DC-D743-B1E3-0C2877AC9DEF}</author>
    <author>tc={F564A453-5368-6540-860D-521531082F60}</author>
    <author>tc={930813D1-22F4-B041-985A-2BFAB3B48B33}</author>
    <author>tc={1A03515B-44FE-1F47-9A85-DD7D39C8F6BA}</author>
    <author>tc={8F102FA5-13A8-8642-B97D-05B29DA1F646}</author>
    <author>tc={42B49AEF-A0B7-0B4D-BA70-7B8929871C49}</author>
    <author>tc={A6DDCFB0-E339-FF4A-A0E4-3509650D1BC0}</author>
    <author>tc={7FC61D4F-12C1-4740-B436-680ED3CB310A}</author>
    <author>tc={1BA4406F-88B4-2A42-87AB-99B50271CDEB}</author>
    <author>tc={A3D0A87F-5F7F-C345-B7DA-0A85289FEFAB}</author>
    <author>tc={19E26632-23C6-2242-A814-5A9063FC8947}</author>
    <author>tc={3EEA9A9E-37E5-8141-A334-1A42D50B30A0}</author>
    <author>tc={ED8081E2-1A7B-1847-B93A-D601CCBB48DC}</author>
    <author>tc={661F065A-3981-F542-B93F-B546F2BB7DAC}</author>
    <author>tc={73F0A99D-A514-0C4B-B046-D53EDC3C9607}</author>
    <author>tc={C9161D78-4E9F-4145-9DD4-AD5A2E6CEB87}</author>
    <author>tc={3CC6B94B-A657-664A-BA7A-A9ED53C81601}</author>
    <author>tc={56BFD61A-A0E8-B24C-970B-852FEBB0E621}</author>
    <author>tc={9052CF27-4B87-6F42-9D59-EFE9D1091009}</author>
    <author>tc={7C3A2EFB-A1DE-0148-A8DC-4CB5BAD5E5DB}</author>
    <author>tc={97949CD1-3E08-2D45-83A6-3AA5EA13A600}</author>
    <author>tc={4855116A-4114-4944-A509-A51B6B31E081}</author>
    <author>tc={EC26F92E-9021-4545-8F87-385208959FF2}</author>
    <author>tc={46D85044-2F5B-B14A-8A73-A6C1A9A0D461}</author>
    <author>tc={A920CECB-6B85-714C-A106-D4F133E4EAD8}</author>
    <author>tc={02A27A21-70DE-A249-8C04-2EFD7C75EA15}</author>
    <author>tc={77690F29-F1B9-C444-9B88-944F3C01C5B6}</author>
    <author>tc={82963019-8472-2E4E-A0DB-D77702939F38}</author>
    <author>tc={4BBFF5F7-0225-2C41-8266-BBB8F06FA125}</author>
    <author>tc={80DA46DE-D064-D74D-A244-9880E495D2E6}</author>
    <author>tc={F84CC4D4-5D43-2D4D-9A39-EDB9922DF885}</author>
    <author>tc={5013707F-23E0-AF4A-B020-E856AAD214B3}</author>
    <author>tc={5563265B-AAD9-A84D-B360-7FFD70CC1952}</author>
    <author>tc={6B820826-8FD3-024B-AA03-FF7DD1412D63}</author>
    <author>tc={C7B89471-1F31-1648-9EB3-A638D58844E9}</author>
    <author>tc={400E8042-AF51-9A4B-9318-7F17E7077691}</author>
    <author>tc={3B2D76BA-D9D0-2D4F-B515-5AE0462C1A5F}</author>
    <author>tc={13AB3C06-6232-C74E-BCD7-7DC9C89503AB}</author>
    <author>tc={53E52FF1-658A-7A4F-8DAA-0D1AD3353921}</author>
    <author>tc={B78056A7-CBEB-8E47-9855-B7CD54EDE488}</author>
    <author>tc={287C866D-A092-5846-8A36-CA752C108D21}</author>
    <author>tc={78353378-EB09-0B4D-B8E3-CBE6109F0AA7}</author>
    <author>tc={0EAB9204-C38A-F943-AD8C-079C27606273}</author>
    <author>tc={31F244D8-9705-614C-AC14-08E9E5577FC7}</author>
    <author>tc={4416BD49-4538-3342-974A-6ADCC28832AD}</author>
    <author>tc={ACC0AC7E-735F-3B47-ADD4-C9FABFFFA6AE}</author>
    <author>tc={9C9B8A86-FA66-654A-A0B0-58DC9260BA1E}</author>
    <author>tc={A5D6832B-95B3-3E4C-B367-8CB0CD6698B6}</author>
    <author>tc={7791AAB4-045C-B141-9043-C0019593AD93}</author>
    <author>tc={19EEA4B1-1A77-5A4C-9BDA-9DA5CCC1F4E9}</author>
    <author>tc={FF9728F9-5222-7448-9582-B4C0B71AD6DA}</author>
    <author>tc={41222921-5494-4B49-AC07-0D8DFCE710E5}</author>
    <author>tc={B3138FE2-3055-6441-B606-22374D3BD00E}</author>
    <author>tc={850E2494-26D4-5E40-B8A6-BCEA9B3E3516}</author>
    <author>tc={5591FC83-9161-8E49-B07B-93BD7BC9B86F}</author>
    <author>tc={14277873-A132-4242-9A3F-60360AFF5795}</author>
    <author>tc={5A2DC85F-26E3-4341-B2D0-BCCCDACD947C}</author>
    <author>tc={ACA43706-001A-F94C-A0E2-7D987F2200BE}</author>
    <author>tc={D1B46EBC-26E2-924D-A67E-40C4D4B159C3}</author>
    <author>tc={AEF71A36-9D2F-7C44-91AE-667D1C1C7B96}</author>
    <author>tc={9B4EC9FF-D0D4-1E48-AACF-363250BD8051}</author>
    <author>tc={BC6BA2A5-D563-F949-B408-B54D2C0951FD}</author>
    <author>tc={C45BBEFE-3871-4741-ADD2-4BDBBE04D2FA}</author>
    <author>tc={791C6A78-BF6F-344D-BB79-E8CA6ECECF60}</author>
    <author>tc={EC6A5747-C223-AD41-B8CA-CE956EA9239A}</author>
    <author>tc={E23826B1-CF55-A840-BE12-8EEFC2B4D623}</author>
    <author>tc={728CE05E-E430-FE4A-A217-E4438B1ABFAE}</author>
    <author>tc={E97921B3-10BB-954E-B750-12CD89EC59D9}</author>
    <author>tc={BE04DE9B-8687-CF40-B809-36CB3DB63917}</author>
    <author>tc={B538C4E1-A068-5044-BB18-0FE7CC7A41E2}</author>
    <author>tc={D37C1F89-3BD3-754C-B778-356C8BBC5867}</author>
    <author>tc={41EABF73-78F5-8448-B1C7-8B16B5470DE8}</author>
    <author>tc={48097BF3-11AE-9F44-AE23-AB010DE434E3}</author>
    <author>tc={5BA928F3-E344-DB42-8C16-EE5B096FEEC9}</author>
    <author>tc={C699C87A-6132-7040-8293-36E53F4DD461}</author>
    <author>tc={F285EC97-0E5E-CD4F-9456-8966D529493A}</author>
    <author>tc={D0FEF29F-8A72-3547-813C-DA35711EC8DB}</author>
    <author>tc={B775C387-50B7-A74D-A76B-6DAE63230A26}</author>
    <author>tc={F222CCDE-B1B5-444E-86E4-235EB8B4E1D6}</author>
    <author>tc={CC7A11FE-6759-C04A-BC8F-C9AB0CD0E857}</author>
    <author>tc={44AB9876-DFEF-3645-BFE3-7CAADFEC160C}</author>
    <author>tc={D418862A-E224-CE49-8075-7BB848F9B923}</author>
    <author>tc={311A0A9F-CA37-3244-80B4-7A8361AA54D4}</author>
    <author>tc={90E61A19-A4C5-284E-83AF-653F780330FA}</author>
    <author>tc={38DDB467-2322-3B49-9CF3-D742BB3104E2}</author>
    <author>tc={8F3AEFFC-66FA-7843-A8BB-994BF7EE1660}</author>
    <author>tc={2801C279-4707-DD40-BFD8-460EBD193160}</author>
    <author>tc={E9FACFA8-5EC1-BF4B-A72F-53C45C15F350}</author>
    <author>tc={943E5117-0CEC-D74A-B002-5ACC28B236A9}</author>
    <author>tc={CFFB59AE-9E34-9845-9206-D48C86A745AA}</author>
    <author>tc={41976062-9232-DD4B-8F87-30BF58EAE59C}</author>
    <author>tc={709FD44C-30CC-B749-8391-49D24D42A7FF}</author>
    <author>tc={BB833D01-C7CC-844A-A3C4-F3D3956FF708}</author>
    <author>tc={456BDEC4-F31B-7E43-8DBE-CF8F867E329C}</author>
    <author>tc={6EF749DC-00CD-3649-A485-518B83E783DB}</author>
    <author>tc={89A52166-F83E-C640-A637-70A8FC5103B8}</author>
    <author>tc={4AB690AA-DBF4-C940-BC81-371E58CC84BF}</author>
    <author>tc={BA5DAB61-340E-BC44-B495-B831EEB41A03}</author>
    <author>tc={8E285116-3D7A-1245-840B-AA0C5353C328}</author>
    <author>tc={1B504D37-BFA7-014F-A466-E11698FD9A12}</author>
    <author>tc={7B271C98-D0B4-804B-9EBB-1D137612ABE2}</author>
    <author>tc={FAAF5EC1-CA67-C14F-9253-9CF63CD1D582}</author>
    <author>tc={37860271-8168-2746-B6EA-5A6C32AA7035}</author>
    <author>tc={E860D1BB-1FA3-864C-ACA3-BD978159B580}</author>
    <author>tc={430B53AA-5179-BF46-96A4-07532955F363}</author>
    <author>tc={B01A2251-2454-C645-88A7-F1E36A6651F1}</author>
    <author>tc={347D7E93-215E-1B4A-B8C3-F76BFD6EC6A2}</author>
    <author>tc={B50B9E8E-2BAE-7544-8B0E-B358D0F42F37}</author>
    <author>tc={5CE15FCC-98E0-E24D-AC88-79249EF62D7A}</author>
    <author>tc={03E4B3F0-0928-ED4D-B6BE-3057D29A3476}</author>
    <author>tc={4600C8C8-6BB3-3F45-B274-BAAEB19474F5}</author>
    <author>tc={FB8E9B1F-A247-2C48-BF95-73D4CD31A9BA}</author>
    <author>tc={3496F8D0-438F-2340-B42D-69EC710A5365}</author>
    <author>tc={645217FF-74F0-1943-A1F7-512EEAC3688C}</author>
    <author>tc={B0E06FCB-4B0E-084E-9770-7DA8000E8583}</author>
    <author>tc={98CBE954-F25B-D14D-9A97-48AAA73BCDB7}</author>
    <author>tc={CEF7D262-3DD1-A542-A696-92F8B14A3AD1}</author>
    <author>tc={769E0454-52AA-CD44-BA25-CE45AB403649}</author>
    <author>tc={628A567E-7415-B54A-98C5-FE5A1F96CCD5}</author>
    <author>tc={A3950AF3-5F1A-DE41-A3AB-3F09F4D055C9}</author>
    <author>tc={FBFF2BF8-EBBF-3F4E-84EF-AEB476D2F356}</author>
    <author>tc={661E88C0-0C62-0745-880F-27626C3AC052}</author>
    <author>tc={57AACD67-49E4-7348-AC54-091D052D4A25}</author>
    <author>tc={DB260810-953D-3845-A8DE-DF278C365FE4}</author>
    <author>tc={3DB02F97-886B-3947-869A-953E93F759F8}</author>
  </authors>
  <commentList>
    <comment ref="G1" authorId="0" shapeId="0" xr:uid="{081484C0-E3C1-824B-8706-DC6DBBD6B164}">
      <text>
        <r>
          <rPr>
            <i/>
            <sz val="10"/>
            <color rgb="FF000000"/>
            <rFont val="Calibri"/>
            <family val="2"/>
          </rPr>
          <t>ratio of the density of a substance to the density of water (normally dimensionless, but for fluids in kg/m3 possible</t>
        </r>
      </text>
    </comment>
    <comment ref="K33" authorId="1" shapeId="0" xr:uid="{8768BEA6-CF9F-B44F-BA6D-E47C2F81D520}">
      <text>
        <t>[Threaded comment]
Your version of Excel allows you to read this threaded comment; however, any edits to it will get removed if the file is opened in a newer version of Excel. Learn more: https://go.microsoft.com/fwlink/?linkid=870924
Comment:
    a ductile material is a material that can easily be stretched into a wire when pulled.
Yield Strength/ Tensile Strength
Reply:
    A higher percentage usually indicates a better quality material when combined with a good Tensile Strength.
https://omnexus.specialchem.com/polymer-properties/properties/elongation-at-break?src=prop-cnx</t>
      </text>
    </comment>
    <comment ref="F34" authorId="2" shapeId="0" xr:uid="{608AD8E5-7B3D-2442-A706-ED5B8F49F0EC}">
      <text>
        <t>[Threaded comment]
Your version of Excel allows you to read this threaded comment; however, any edits to it will get removed if the file is opened in a newer version of Excel. Learn more: https://go.microsoft.com/fwlink/?linkid=870924
Comment:
    1 t/m3 = 1 g/cm3</t>
      </text>
    </comment>
    <comment ref="C35" authorId="3" shapeId="0" xr:uid="{6ED27B7D-46A3-9744-A627-BFB15F951AFF}">
      <text>
        <t>[Threaded comment]
Your version of Excel allows you to read this threaded comment; however, any edits to it will get removed if the file is opened in a newer version of Excel. Learn more: https://go.microsoft.com/fwlink/?linkid=870924
Comment:
    430 to 460 MPa</t>
      </text>
    </comment>
    <comment ref="E35" authorId="4" shapeId="0" xr:uid="{3F59673B-A775-964E-8892-0DA4E351587C}">
      <text>
        <t>[Threaded comment]
Your version of Excel allows you to read this threaded comment; however, any edits to it will get removed if the file is opened in a newer version of Excel. Learn more: https://go.microsoft.com/fwlink/?linkid=870924
Comment:
    190 GPa</t>
      </text>
    </comment>
    <comment ref="H35" authorId="5" shapeId="0" xr:uid="{C55F47B8-ACA6-C241-A9C2-0B58974FB58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Rockwell hardness C
</t>
      </text>
    </comment>
    <comment ref="C36" authorId="6" shapeId="0" xr:uid="{CB2B1EE9-DE3D-1141-8562-7814CDE873DB}">
      <text>
        <t>[Threaded comment]
Your version of Excel allows you to read this threaded comment; however, any edits to it will get removed if the file is opened in a newer version of Excel. Learn more: https://go.microsoft.com/fwlink/?linkid=870924
Comment:
    90</t>
      </text>
    </comment>
    <comment ref="H36" authorId="7" shapeId="0" xr:uid="{19C45B71-A546-0946-A677-E7D687E8794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Rockwell hardness B
</t>
      </text>
    </comment>
    <comment ref="K36" authorId="8" shapeId="0" xr:uid="{D7A1EEE3-7802-4A4B-BCEC-8902805FA544}">
      <text>
        <t>[Threaded comment]
Your version of Excel allows you to read this threaded comment; however, any edits to it will get removed if the file is opened in a newer version of Excel. Learn more: https://go.microsoft.com/fwlink/?linkid=870924
Comment:
    can vary depending on thickness
Rockwell B</t>
      </text>
    </comment>
    <comment ref="C37" authorId="9" shapeId="0" xr:uid="{C9E6A832-736B-1543-8E17-B0BF8D1867E6}">
      <text>
        <t>[Threaded comment]
Your version of Excel allows you to read this threaded comment; however, any edits to it will get removed if the file is opened in a newer version of Excel. Learn more: https://go.microsoft.com/fwlink/?linkid=870924
Comment:
    1720-3690</t>
      </text>
    </comment>
    <comment ref="E37" authorId="10" shapeId="0" xr:uid="{9FB3F64B-DA5A-934B-B2E8-1D189D123B88}">
      <text>
        <t>[Threaded comment]
Your version of Excel allows you to read this threaded comment; however, any edits to it will get removed if the file is opened in a newer version of Excel. Learn more: https://go.microsoft.com/fwlink/?linkid=870924
Comment:
    120-580</t>
      </text>
    </comment>
    <comment ref="H37" authorId="11" shapeId="0" xr:uid="{86024E54-F2AB-D94D-A345-343010874D24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https://www.academia.edu/4240905/Mechanical_Properties_of_Carbon_Fibre_Composite_Materials</t>
      </text>
    </comment>
    <comment ref="K37" authorId="12" shapeId="0" xr:uid="{B87C1FA3-8A6B-204F-B1BA-2B092C85C2A2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https://www.sciencedirect.com/science/article/pii/S2214785320357618</t>
      </text>
    </comment>
    <comment ref="C38" authorId="13" shapeId="0" xr:uid="{EBF7269B-0406-F948-9BC4-73864536716F}">
      <text>
        <t>[Threaded comment]
Your version of Excel allows you to read this threaded comment; however, any edits to it will get removed if the file is opened in a newer version of Excel. Learn more: https://go.microsoft.com/fwlink/?linkid=870924
Comment:
    480-1,600</t>
      </text>
    </comment>
    <comment ref="E38" authorId="14" shapeId="0" xr:uid="{93886244-0860-CD41-AEFD-7675E65A7F9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35-51
</t>
      </text>
    </comment>
    <comment ref="H38" authorId="15" shapeId="0" xr:uid="{E6684933-6DB2-3545-9EF1-6B7454428101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https://www.researchgate.net/publication/348925726_THE_INVESTIGATION_OF_HARDNESS_PROPERTIES_OF_GFRP_COMPOSITE_PIPES_UNDER_SEAWATER_CONDITIONS</t>
      </text>
    </comment>
    <comment ref="K38" authorId="16" shapeId="0" xr:uid="{2501A161-918A-C34C-8C41-4E84E0CF4859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https://www.sciencedirect.com/science/article/pii/S2214785320357618</t>
      </text>
    </comment>
    <comment ref="C39" authorId="17" shapeId="0" xr:uid="{86A94D82-D713-FD44-8F21-5EF351836F90}">
      <text>
        <t>[Threaded comment]
Your version of Excel allows you to read this threaded comment; however, any edits to it will get removed if the file is opened in a newer version of Excel. Learn more: https://go.microsoft.com/fwlink/?linkid=870924
Comment:
    2800-4800</t>
      </text>
    </comment>
    <comment ref="E39" authorId="18" shapeId="0" xr:uid="{AF766577-C414-D945-93FC-2A0426756FC6}">
      <text>
        <t>[Threaded comment]
Your version of Excel allows you to read this threaded comment; however, any edits to it will get removed if the file is opened in a newer version of Excel. Learn more: https://go.microsoft.com/fwlink/?linkid=870924
Comment:
    86-90</t>
      </text>
    </comment>
    <comment ref="H39" authorId="19" shapeId="0" xr:uid="{309E09BE-B403-3142-B986-B0DB841EC6AF}">
      <text>
        <t>[Threaded comment]
Your version of Excel allows you to read this threaded comment; however, any edits to it will get removed if the file is opened in a newer version of Excel. Learn more: https://go.microsoft.com/fwlink/?linkid=870924
Comment:
    shore D</t>
      </text>
    </comment>
    <comment ref="K39" authorId="20" shapeId="0" xr:uid="{5A34A52C-B641-6C42-AD40-3307A20BCBAF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https://www.sciencedirect.com/science/article/pii/S2214785320357618</t>
      </text>
    </comment>
    <comment ref="C40" authorId="21" shapeId="0" xr:uid="{8C3F00E8-EA7B-D04B-BDCC-82DB7E47F0AF}">
      <text>
        <t>[Threaded comment]
Your version of Excel allows you to read this threaded comment; however, any edits to it will get removed if the file is opened in a newer version of Excel. Learn more: https://go.microsoft.com/fwlink/?linkid=870924
Comment:
    at 23 Celcius
Reply:
    50-60 mpa</t>
      </text>
    </comment>
    <comment ref="E40" authorId="22" shapeId="0" xr:uid="{9E620AD4-E487-8947-9464-A8E6C247C6C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pdf.sciencedirectassets.com/278653/1-s2.0-S1877705815X0021X/1-s2.0-S1877705815016434/main.pdf?X-Amz-Security-Token=IQoJb3JpZ2luX2VjEH4aCXVzLWVhc3QtMSJHMEUCIQCV%2F6ULXwUkzQFTwA9D0YaQr5lTIbAs50DS1M0E6XQjsAIgY2Od8Ef%2FClWsYn5e3miccH7RZQrenilNsL%2F5zVS7wVMqzAQINxAFGgwwNTkwMDM1NDY4NjUiDHV70Q4OFAZa1eQrRyqpBJMZt1Uli06EbamMioU2%2FdIIs3qQ1uTtbeVmLEpBvu9RJg51uMPSmAms%2F%2BkPWm07hBIcxj0VP%2Fy06VmwKlKfYt%2F9096dARVb%2B%2B8ZEWrbMufpl3eeIytGbMIu9eRUo1zUAbRLxqFVaypJ%2BDf7ByjIn%2FGNW36mfAGdGpZmpp99QjtamUd3Rmxe%2FcRGOPIiSg%2BVBB%2Fj9qGKXls1BejqNmYY0lqdB42nVVDjNx1BYRl3LPnACtmC1TVLUgW7rYTB%2Bs1oJvvZaOLq4TzhSkoOHHL0YzXFzWVSErWsiv7kfaUzOkMLon%2FDJx%2FE6SesYwxDA1q3lZkOAT%2FP4%2BYZVYbNVqNaFleNfGQev0tXWL2AHEesKwBgRdF0miW8hckUFtKsQTbW5VzVfbTWaC72EfJweklTGXzWW8HcTb79Rjb1UJub3J77a7mKtmu2adospFT3F2miw9LbL9n2Z9y3koqo8axw%2BEwOF6NkJHfpnej1u6k5PQveTo9IYkv%2BtkdeOnbwfDsmEjkXlThVJFPHL5Ouw6Whdwf8ZhYaxi5xdHOkYTWm%2BYWc7KEvfMHC5TFgDwSbrM%2B6xFzv9YDdGEDsv3pt5xYRuAKAnlOJndamgRrR5046nPQisW0k%2FsIRuPyKXCEsp49IupEAoRVKUO%2FeY99lL0dK5I7MFi8szJgR7KGcqPVpMtQGUG6Tn6PNyU25qCPn7DMzVZdEsjcYgP%2BLPDtb2WZgCzkgtj51ykO4bdow%2BPbSmQY6qQHdDxBTa2YUQB3DAhzaItWPhvOiMYLecERvXHXUyKTc%2Fx1HcHdqVIdT11r2VXnivEummfU9YdK5GBOAGwKS78DaLQfZV8mpOxcX%2FSNbHBrg5jaXxGzllByYjOfpgPJx%2FJxJc%2B3aMESltrwSo2pyvWW%2FaxNBwWD1huEE3vBaEZSm42a54vO%2Bog7YGZ7MStUPbW2nT%2FB5oVpvB42JDMdTgDEpIBE%2Bhu%2BKGXPp&amp;X-Amz-Algorithm=AWS4-HMAC-SHA256&amp;X-Amz-Date=20220928T230300Z&amp;X-Amz-SignedHeaders=host&amp;X-Amz-Expires=300&amp;X-Amz-Credential=ASIAQ3PHCVTY6GRB5ZGK%2F20220928%2Fus-east-1%2Fs3%2Faws4_request&amp;X-Amz-Signature=6a2613ffb309f81920d7288bc78d8aeb67df9639386004208d9d5ca9e32b70c5&amp;hash=bcb22c5ac73f81108e258dc6165298a3e2ac39614271ef1f521d56a5d270456d&amp;host=68042c943591013ac2b2430a89b270f6af2c76d8dfd086a07176afe7c76c2c61&amp;pii=S1877705815016434&amp;tid=spdf-30542c60-a167-4507-b689-e1001981a562&amp;sid=e6e861d033c6b6416e-9239-cf7512116c18gxrqb&amp;type=client&amp;ua=5850525e50055254&amp;rr=75201c22cde658f6
Reply:
    3.5-4.1</t>
      </text>
    </comment>
    <comment ref="H40" authorId="23" shapeId="0" xr:uid="{D2C00C00-2B70-1240-9A9B-551530787D16}">
      <text>
        <t>[Threaded comment]
Your version of Excel allows you to read this threaded comment; however, any edits to it will get removed if the file is opened in a newer version of Excel. Learn more: https://go.microsoft.com/fwlink/?linkid=870924
Comment:
    Rockwell M</t>
      </text>
    </comment>
    <comment ref="L40" authorId="24" shapeId="0" xr:uid="{99739960-55AE-654C-845F-FE0132F4CDE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https://www.matweb.com/search/DataSheet.aspx?MatGUID=ab96a4c0655c4018a8785ac4031b9278&amp;ckck=1
</t>
      </text>
    </comment>
    <comment ref="C41" authorId="25" shapeId="0" xr:uid="{44D61C83-ADCF-C84F-BFE8-EF006B65668C}">
      <text>
        <t>[Threaded comment]
Your version of Excel allows you to read this threaded comment; however, any edits to it will get removed if the file is opened in a newer version of Excel. Learn more: https://go.microsoft.com/fwlink/?linkid=870924
Comment:
    71-75</t>
      </text>
    </comment>
    <comment ref="H41" authorId="26" shapeId="0" xr:uid="{65050545-47EC-2A48-8AD8-99BF337FD855}">
      <text>
        <t>[Threaded comment]
Your version of Excel allows you to read this threaded comment; however, any edits to it will get removed if the file is opened in a newer version of Excel. Learn more: https://go.microsoft.com/fwlink/?linkid=870924
Comment:
    General shore D
The Shore D Hardness test (also called Durometer Hardness Test) is used when the material is too soft to be measured by a Rockwell test.</t>
      </text>
    </comment>
    <comment ref="M41" authorId="27" shapeId="0" xr:uid="{BA587D7A-ECA4-AA4C-8802-41F37E5F9ABE}">
      <text>
        <t>[Threaded comment]
Your version of Excel allows you to read this threaded comment; however, any edits to it will get removed if the file is opened in a newer version of Excel. Learn more: https://go.microsoft.com/fwlink/?linkid=870924
Comment:
    1630- 1857/ ton</t>
      </text>
    </comment>
    <comment ref="H42" authorId="28" shapeId="0" xr:uid="{0E9268D5-0FE8-4A42-B9C0-57F6E3868FB8}">
      <text>
        <t>[Threaded comment]
Your version of Excel allows you to read this threaded comment; however, any edits to it will get removed if the file is opened in a newer version of Excel. Learn more: https://go.microsoft.com/fwlink/?linkid=870924
Comment:
    General shore D</t>
      </text>
    </comment>
    <comment ref="I42" authorId="29" shapeId="0" xr:uid="{74D80B84-118D-7F44-A08D-B935FB1B8D2A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https://undercoverinfo.com/education-center/3/post/29/why-should-i-choose-abs-over-fiberglass</t>
      </text>
    </comment>
    <comment ref="M42" authorId="30" shapeId="0" xr:uid="{EB2A23AF-7F2D-D54E-96A7-573B452A1A64}">
      <text>
        <t>[Threaded comment]
Your version of Excel allows you to read this threaded comment; however, any edits to it will get removed if the file is opened in a newer version of Excel. Learn more: https://go.microsoft.com/fwlink/?linkid=870924
Comment:
    698-874</t>
      </text>
    </comment>
    <comment ref="H43" authorId="31" shapeId="0" xr:uid="{B9C668D3-A738-9344-86E7-9A2CBC69E66B}">
      <text>
        <t>[Threaded comment]
Your version of Excel allows you to read this threaded comment; however, any edits to it will get removed if the file is opened in a newer version of Excel. Learn more: https://go.microsoft.com/fwlink/?linkid=870924
Comment:
    Shore D</t>
      </text>
    </comment>
    <comment ref="I43" authorId="32" shapeId="0" xr:uid="{A980A392-30DC-D743-B1E3-0C2877AC9DEF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https://www.theengineblock.com/polyurethane-and-abs-whats-the-difference-and-whats-better/</t>
      </text>
    </comment>
    <comment ref="K43" authorId="33" shapeId="0" xr:uid="{F564A453-5368-6540-860D-521531082F60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https://www.makeitfrom.com/material-properties/Rigid-Thermoplastic-Polyurethane-RTPU-PUR-RT</t>
      </text>
    </comment>
    <comment ref="M43" authorId="34" shapeId="0" xr:uid="{930813D1-22F4-B041-985A-2BFAB3B48B33}">
      <text>
        <t>[Threaded comment]
Your version of Excel allows you to read this threaded comment; however, any edits to it will get removed if the file is opened in a newer version of Excel. Learn more: https://go.microsoft.com/fwlink/?linkid=870924
Comment:
    3612-4210</t>
      </text>
    </comment>
    <comment ref="C44" authorId="35" shapeId="0" xr:uid="{1A03515B-44FE-1F47-9A85-DD7D39C8F6B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value can not be found on internet more than 14 mpa, but here it has been changed to 60mpa please check this one again</t>
      </text>
    </comment>
    <comment ref="E44" authorId="36" shapeId="0" xr:uid="{8F102FA5-13A8-8642-B97D-05B29DA1F646}">
      <text>
        <t>[Threaded comment]
Your version of Excel allows you to read this threaded comment; however, any edits to it will get removed if the file is opened in a newer version of Excel. Learn more: https://go.microsoft.com/fwlink/?linkid=870924
Comment:
    0.03 - 1.88 GPa</t>
      </text>
    </comment>
    <comment ref="F44" authorId="37" shapeId="0" xr:uid="{42B49AEF-A0B7-0B4D-BA70-7B8929871C49}">
      <text>
        <t>[Threaded comment]
Your version of Excel allows you to read this threaded comment; however, any edits to it will get removed if the file is opened in a newer version of Excel. Learn more: https://go.microsoft.com/fwlink/?linkid=870924
Comment:
    0.05-1.7</t>
      </text>
    </comment>
    <comment ref="H44" authorId="38" shapeId="0" xr:uid="{A6DDCFB0-E339-FF4A-A0E4-3509650D1BC0}">
      <text>
        <t>[Threaded comment]
Your version of Excel allows you to read this threaded comment; however, any edits to it will get removed if the file is opened in a newer version of Excel. Learn more: https://go.microsoft.com/fwlink/?linkid=870924
Comment:
    Rockwell A</t>
      </text>
    </comment>
    <comment ref="I44" authorId="39" shapeId="0" xr:uid="{7FC61D4F-12C1-4740-B436-680ED3CB310A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https://www.theengineblock.com/polyurethane-and-abs-whats-the-difference-and-whats-better/</t>
      </text>
    </comment>
    <comment ref="K44" authorId="40" shapeId="0" xr:uid="{1BA4406F-88B4-2A42-87AB-99B50271CDEB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https://matweb.com/search/datasheet.aspx?matguid=2fe782a31c4b4bed984b49651762b086&amp;ckck=1</t>
      </text>
    </comment>
    <comment ref="L44" authorId="41" shapeId="0" xr:uid="{A3D0A87F-5F7F-C345-B7DA-0A85289FEFAB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https://matweb.com/search/datasheet.aspx?matguid=2fe782a31c4b4bed984b49651762b086&amp;ckck=1</t>
      </text>
    </comment>
    <comment ref="M44" authorId="42" shapeId="0" xr:uid="{19E26632-23C6-2242-A814-5A9063FC8947}">
      <text>
        <t>[Threaded comment]
Your version of Excel allows you to read this threaded comment; however, any edits to it will get removed if the file is opened in a newer version of Excel. Learn more: https://go.microsoft.com/fwlink/?linkid=870924
Comment:
    7017-7327</t>
      </text>
    </comment>
    <comment ref="C45" authorId="43" shapeId="0" xr:uid="{3EEA9A9E-37E5-8141-A334-1A42D50B30A0}">
      <text>
        <t>[Threaded comment]
Your version of Excel allows you to read this threaded comment; however, any edits to it will get removed if the file is opened in a newer version of Excel. Learn more: https://go.microsoft.com/fwlink/?linkid=870924
Comment:
    16-67</t>
      </text>
    </comment>
    <comment ref="E45" authorId="44" shapeId="0" xr:uid="{ED8081E2-1A7B-1847-B93A-D601CCBB48D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0.0827 - 0.745 GPa	</t>
      </text>
    </comment>
    <comment ref="F45" authorId="45" shapeId="0" xr:uid="{661F065A-3981-F542-B93F-B546F2BB7DA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0.970 - 1.20 g/cc	</t>
      </text>
    </comment>
    <comment ref="H45" authorId="46" shapeId="0" xr:uid="{73F0A99D-A514-0C4B-B046-D53EDC3C9607}">
      <text>
        <t>[Threaded comment]
Your version of Excel allows you to read this threaded comment; however, any edits to it will get removed if the file is opened in a newer version of Excel. Learn more: https://go.microsoft.com/fwlink/?linkid=870924
Comment:
    Shore D</t>
      </text>
    </comment>
    <comment ref="I45" authorId="47" shapeId="0" xr:uid="{C9161D78-4E9F-4145-9DD4-AD5A2E6CEB87}">
      <text>
        <t>[Threaded comment]
Your version of Excel allows you to read this threaded comment; however, any edits to it will get removed if the file is opened in a newer version of Excel. Learn more: https://go.microsoft.com/fwlink/?linkid=870924
Comment:
    Depends on the formulation</t>
      </text>
    </comment>
    <comment ref="M45" authorId="48" shapeId="0" xr:uid="{3CC6B94B-A657-664A-BA7A-A9ED53C81601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Seller in Hong Kong price: $1857 per MT
Seller in Sydney price: $2538 per MT
Seller in Tehran price: $1457 per MT
Seller in Chicago price: $1901 per MT</t>
      </text>
    </comment>
    <comment ref="C46" authorId="49" shapeId="0" xr:uid="{56BFD61A-A0E8-B24C-970B-852FEBB0E621}">
      <text>
        <t>[Threaded comment]
Your version of Excel allows you to read this threaded comment; however, any edits to it will get removed if the file is opened in a newer version of Excel. Learn more: https://go.microsoft.com/fwlink/?linkid=870924
Comment:
    13.71-42.51</t>
      </text>
    </comment>
    <comment ref="H46" authorId="50" shapeId="0" xr:uid="{9052CF27-4B87-6F42-9D59-EFE9D109100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Rockwell R
</t>
      </text>
    </comment>
    <comment ref="L46" authorId="51" shapeId="0" xr:uid="{7C3A2EFB-A1DE-0148-A8DC-4CB5BAD5E5DB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https://www.researchgate.net/publication/365146117_Characterization_and_Evaluation_of_Employment_in_Rigid_Packaging_of_Polypropylene_Composites_with_Bamboo_Fiber</t>
      </text>
    </comment>
    <comment ref="C47" authorId="52" shapeId="0" xr:uid="{97949CD1-3E08-2D45-83A6-3AA5EA13A600}">
      <text>
        <t>[Threaded comment]
Your version of Excel allows you to read this threaded comment; however, any edits to it will get removed if the file is opened in a newer version of Excel. Learn more: https://go.microsoft.com/fwlink/?linkid=870924
Comment:
    34-38</t>
      </text>
    </comment>
    <comment ref="E47" authorId="53" shapeId="0" xr:uid="{4855116A-4114-4944-A509-A51B6B31E08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3.2-5.1
</t>
      </text>
    </comment>
    <comment ref="F47" authorId="54" shapeId="0" xr:uid="{EC26F92E-9021-4545-8F87-385208959FF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1.05-1.15
</t>
      </text>
    </comment>
    <comment ref="H47" authorId="55" shapeId="0" xr:uid="{46D85044-2F5B-B14A-8A73-A6C1A9A0D461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same as PP</t>
      </text>
    </comment>
    <comment ref="L47" authorId="56" shapeId="0" xr:uid="{A920CECB-6B85-714C-A106-D4F133E4EAD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https://matmatch.com/materials/mbas160-polypropylene-reinforced-with-50-wood-pp-w50-
</t>
      </text>
    </comment>
    <comment ref="M47" authorId="57" shapeId="0" xr:uid="{02A27A21-70DE-A249-8C04-2EFD7C75EA15}">
      <text>
        <t>[Threaded comment]
Your version of Excel allows you to read this threaded comment; however, any edits to it will get removed if the file is opened in a newer version of Excel. Learn more: https://go.microsoft.com/fwlink/?linkid=870924
Comment:
    2000-5000</t>
      </text>
    </comment>
    <comment ref="B48" authorId="58" shapeId="0" xr:uid="{77690F29-F1B9-C444-9B88-944F3C01C5B6}">
      <text>
        <t>[Threaded comment]
Your version of Excel allows you to read this threaded comment; however, any edits to it will get removed if the file is opened in a newer version of Excel. Learn more: https://go.microsoft.com/fwlink/?linkid=870924
Comment:
    Aluminium 98.5% (Aluminium 6101 alloy)  and Pure aluminium 99.5%</t>
      </text>
    </comment>
    <comment ref="E48" authorId="59" shapeId="0" xr:uid="{82963019-8472-2E4E-A0DB-D77702939F3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100-101
</t>
      </text>
    </comment>
    <comment ref="F48" authorId="60" shapeId="0" xr:uid="{4BBFF5F7-0225-2C41-8266-BBB8F06FA125}">
      <text>
        <t>[Threaded comment]
Your version of Excel allows you to read this threaded comment; however, any edits to it will get removed if the file is opened in a newer version of Excel. Learn more: https://go.microsoft.com/fwlink/?linkid=870924
Comment:
    0.11 to 0.41 t/m3</t>
      </text>
    </comment>
    <comment ref="H48" authorId="61" shapeId="0" xr:uid="{80DA46DE-D064-D74D-A244-9880E495D2E6}">
      <text>
        <t>[Threaded comment]
Your version of Excel allows you to read this threaded comment; however, any edits to it will get removed if the file is opened in a newer version of Excel. Learn more: https://go.microsoft.com/fwlink/?linkid=870924
Comment:
     HRB
https://www.researchgate.net/publication/326678478_Effects_of_Calcium_Carbonate_Magnesium_Carbonate_and_Dolomite_in_Aluminium_Alloy</t>
      </text>
    </comment>
    <comment ref="K48" authorId="62" shapeId="0" xr:uid="{F84CC4D4-5D43-2D4D-9A39-EDB9922DF885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http://www.metalfoam.net/metfoam1999-articles/einzelartikel/metfoam1999-379-386-schultz.pdf</t>
      </text>
    </comment>
    <comment ref="M49" authorId="63" shapeId="0" xr:uid="{5013707F-23E0-AF4A-B020-E856AAD214B3}">
      <text>
        <t>[Threaded comment]
Your version of Excel allows you to read this threaded comment; however, any edits to it will get removed if the file is opened in a newer version of Excel. Learn more: https://go.microsoft.com/fwlink/?linkid=870924
Comment:
    €1.06 - €2.12/ acre</t>
      </text>
    </comment>
    <comment ref="C50" authorId="64" shapeId="0" xr:uid="{5563265B-AAD9-A84D-B360-7FFD70CC1952}">
      <text>
        <t>[Threaded comment]
Your version of Excel allows you to read this threaded comment; however, any edits to it will get removed if the file is opened in a newer version of Excel. Learn more: https://go.microsoft.com/fwlink/?linkid=870924
Comment:
    421-474</t>
      </text>
    </comment>
    <comment ref="E50" authorId="65" shapeId="0" xr:uid="{6B820826-8FD3-024B-AA03-FF7DD1412D6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71-72
</t>
      </text>
    </comment>
    <comment ref="F50" authorId="66" shapeId="0" xr:uid="{C7B89471-1F31-1648-9EB3-A638D58844E9}">
      <text>
        <t>[Threaded comment]
Your version of Excel allows you to read this threaded comment; however, any edits to it will get removed if the file is opened in a newer version of Excel. Learn more: https://go.microsoft.com/fwlink/?linkid=870924
Comment:
    Mass density ,  Material density varies by ± 0,01 g/cm³ within the range of possible chemical composition variations</t>
      </text>
    </comment>
    <comment ref="M50" authorId="67" shapeId="0" xr:uid="{400E8042-AF51-9A4B-9318-7F17E7077691}">
      <text>
        <t>[Threaded comment]
Your version of Excel allows you to read this threaded comment; however, any edits to it will get removed if the file is opened in a newer version of Excel. Learn more: https://go.microsoft.com/fwlink/?linkid=870924
Comment:
    €48.61 - €158.49/ square meter</t>
      </text>
    </comment>
    <comment ref="H51" authorId="68" shapeId="0" xr:uid="{3B2D76BA-D9D0-2D4F-B515-5AE0462C1A5F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https://www.sciencedirect.com/science/article/pii/S0264127521008315
shore D</t>
      </text>
    </comment>
    <comment ref="K51" authorId="69" shapeId="0" xr:uid="{13AB3C06-6232-C74E-BCD7-7DC9C89503AB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https://www.researchgate.net/publication/326359192_Evaluation_of_mechanical_properties_of_hybrid_composite_laminates_reinforced_with_glasscarbon_woven_fabrics
carbon-1.5
glass-4.5
epoxy-4.6</t>
      </text>
    </comment>
    <comment ref="M51" authorId="70" shapeId="0" xr:uid="{53E52FF1-658A-7A4F-8DAA-0D1AD3353921}">
      <text>
        <t>[Threaded comment]
Your version of Excel allows you to read this threaded comment; however, any edits to it will get removed if the file is opened in a newer version of Excel. Learn more: https://go.microsoft.com/fwlink/?linkid=870924
Comment:
    1400-2200</t>
      </text>
    </comment>
    <comment ref="H52" authorId="71" shapeId="0" xr:uid="{B78056A7-CBEB-8E47-9855-B7CD54EDE488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values are highlighted in yellow</t>
      </text>
    </comment>
    <comment ref="H53" authorId="72" shapeId="0" xr:uid="{287C866D-A092-5846-8A36-CA752C108D21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https://www.sciencedirect.com/science/article/pii/S0264127521008315
shore D</t>
      </text>
    </comment>
    <comment ref="M53" authorId="73" shapeId="0" xr:uid="{78353378-EB09-0B4D-B8E3-CBE6109F0AA7}">
      <text>
        <t>[Threaded comment]
Your version of Excel allows you to read this threaded comment; however, any edits to it will get removed if the file is opened in a newer version of Excel. Learn more: https://go.microsoft.com/fwlink/?linkid=870924
Comment:
    5676-10320</t>
      </text>
    </comment>
    <comment ref="H54" authorId="74" shapeId="0" xr:uid="{0EAB9204-C38A-F943-AD8C-079C27606273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https://www.matweb.com/search/datasheet.aspx?matguid=39e40851fc164b6c9bda29d798bf3726
shore D</t>
      </text>
    </comment>
    <comment ref="M54" authorId="75" shapeId="0" xr:uid="{31F244D8-9705-614C-AC14-08E9E5577FC7}">
      <text>
        <t>[Threaded comment]
Your version of Excel allows you to read this threaded comment; however, any edits to it will get removed if the file is opened in a newer version of Excel. Learn more: https://go.microsoft.com/fwlink/?linkid=870924
Comment:
    6780-8772</t>
      </text>
    </comment>
    <comment ref="C55" authorId="76" shapeId="0" xr:uid="{4416BD49-4538-3342-974A-6ADCC28832AD}">
      <text>
        <t>[Threaded comment]
Your version of Excel allows you to read this threaded comment; however, any edits to it will get removed if the file is opened in a newer version of Excel. Learn more: https://go.microsoft.com/fwlink/?linkid=870924
Comment:
    20-30</t>
      </text>
    </comment>
    <comment ref="E55" authorId="77" shapeId="0" xr:uid="{ACC0AC7E-735F-3B47-ADD4-C9FABFFFA6A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0.8-1.3
</t>
      </text>
    </comment>
    <comment ref="F55" authorId="78" shapeId="0" xr:uid="{9C9B8A86-FA66-654A-A0B0-58DC9260BA1E}">
      <text>
        <t>[Threaded comment]
Your version of Excel allows you to read this threaded comment; however, any edits to it will get removed if the file is opened in a newer version of Excel. Learn more: https://go.microsoft.com/fwlink/?linkid=870924
Comment:
    0.895 - 0.905</t>
      </text>
    </comment>
    <comment ref="H55" authorId="79" shapeId="0" xr:uid="{A5D6832B-95B3-3E4C-B367-8CB0CD6698B6}">
      <text>
        <t>[Threaded comment]
Your version of Excel allows you to read this threaded comment; however, any edits to it will get removed if the file is opened in a newer version of Excel. Learn more: https://go.microsoft.com/fwlink/?linkid=870924
Comment:
    Shore D</t>
      </text>
    </comment>
    <comment ref="K55" authorId="80" shapeId="0" xr:uid="{7791AAB4-045C-B141-9043-C0019593AD93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 PP copolymers
https://omnexus.specialchem.com/polymer-properties/properties/elongation-at-break?src=prop-cnx</t>
      </text>
    </comment>
    <comment ref="L55" authorId="81" shapeId="0" xr:uid="{19EEA4B1-1A77-5A4C-9BDA-9DA5CCC1F4E9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PP copolymers</t>
      </text>
    </comment>
    <comment ref="M55" authorId="82" shapeId="0" xr:uid="{FF9728F9-5222-7448-9582-B4C0B71AD6DA}">
      <text>
        <t>[Threaded comment]
Your version of Excel allows you to read this threaded comment; however, any edits to it will get removed if the file is opened in a newer version of Excel. Learn more: https://go.microsoft.com/fwlink/?linkid=870924
Comment:
    825-1651</t>
      </text>
    </comment>
    <comment ref="H56" authorId="83" shapeId="0" xr:uid="{41222921-5494-4B49-AC07-0D8DFCE710E5}">
      <text>
        <t>[Threaded comment]
Your version of Excel allows you to read this threaded comment; however, any edits to it will get removed if the file is opened in a newer version of Excel. Learn more: https://go.microsoft.com/fwlink/?linkid=870924
Comment:
    Shore D</t>
      </text>
    </comment>
    <comment ref="C57" authorId="84" shapeId="0" xr:uid="{B3138FE2-3055-6441-B606-22374D3BD00E}">
      <text>
        <t>[Threaded comment]
Your version of Excel allows you to read this threaded comment; however, any edits to it will get removed if the file is opened in a newer version of Excel. Learn more: https://go.microsoft.com/fwlink/?linkid=870924
Comment:
    18-30</t>
      </text>
    </comment>
    <comment ref="E57" authorId="85" shapeId="0" xr:uid="{850E2494-26D4-5E40-B8A6-BCEA9B3E3516}">
      <text>
        <t>[Threaded comment]
Your version of Excel allows you to read this threaded comment; however, any edits to it will get removed if the file is opened in a newer version of Excel. Learn more: https://go.microsoft.com/fwlink/?linkid=870924
Comment:
    0.6-1.5</t>
      </text>
    </comment>
    <comment ref="F57" authorId="86" shapeId="0" xr:uid="{5591FC83-9161-8E49-B07B-93BD7BC9B86F}">
      <text>
        <t>[Threaded comment]
Your version of Excel allows you to read this threaded comment; however, any edits to it will get removed if the file is opened in a newer version of Excel. Learn more: https://go.microsoft.com/fwlink/?linkid=870924
Comment:
    56 lb/ft3</t>
      </text>
    </comment>
    <comment ref="H57" authorId="87" shapeId="0" xr:uid="{14277873-A132-4242-9A3F-60360AFF5795}">
      <text>
        <t>[Threaded comment]
Your version of Excel allows you to read this threaded comment; however, any edits to it will get removed if the file is opened in a newer version of Excel. Learn more: https://go.microsoft.com/fwlink/?linkid=870924
Comment:
    Shore D</t>
      </text>
    </comment>
    <comment ref="M57" authorId="88" shapeId="0" xr:uid="{5A2DC85F-26E3-4341-B2D0-BCCCDACD947C}">
      <text>
        <t>[Threaded comment]
Your version of Excel allows you to read this threaded comment; however, any edits to it will get removed if the file is opened in a newer version of Excel. Learn more: https://go.microsoft.com/fwlink/?linkid=870924
Comment:
    1135-1340</t>
      </text>
    </comment>
    <comment ref="C58" authorId="89" shapeId="0" xr:uid="{ACA43706-001A-F94C-A0E2-7D987F2200BE}">
      <text>
        <t>[Threaded comment]
Your version of Excel allows you to read this threaded comment; however, any edits to it will get removed if the file is opened in a newer version of Excel. Learn more: https://go.microsoft.com/fwlink/?linkid=870924
Comment:
    35 to 210 MPa</t>
      </text>
    </comment>
    <comment ref="E58" authorId="90" shapeId="0" xr:uid="{D1B46EBC-26E2-924D-A67E-40C4D4B159C3}">
      <text>
        <t>[Threaded comment]
Your version of Excel allows you to read this threaded comment; however, any edits to it will get removed if the file is opened in a newer version of Excel. Learn more: https://go.microsoft.com/fwlink/?linkid=870924
Comment:
    1.1 to 1.8 GPa</t>
      </text>
    </comment>
    <comment ref="H58" authorId="91" shapeId="0" xr:uid="{AEF71A36-9D2F-7C44-91AE-667D1C1C7B96}">
      <text>
        <t>[Threaded comment]
Your version of Excel allows you to read this threaded comment; however, any edits to it will get removed if the file is opened in a newer version of Excel. Learn more: https://go.microsoft.com/fwlink/?linkid=870924
Comment:
    Shore D</t>
      </text>
    </comment>
    <comment ref="K58" authorId="92" shapeId="0" xr:uid="{9B4EC9FF-D0D4-1E48-AACF-363250BD8051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https://omnexus.specialchem.com/polymer-properties/properties/elongation-at-break?src=prop-cnx</t>
      </text>
    </comment>
    <comment ref="M58" authorId="93" shapeId="0" xr:uid="{BC6BA2A5-D563-F949-B408-B54D2C0951FD}">
      <text>
        <t>[Threaded comment]
Your version of Excel allows you to read this threaded comment; however, any edits to it will get removed if the file is opened in a newer version of Excel. Learn more: https://go.microsoft.com/fwlink/?linkid=870924
Comment:
    2000-5000</t>
      </text>
    </comment>
    <comment ref="C59" authorId="94" shapeId="0" xr:uid="{C45BBEFE-3871-4741-ADD2-4BDBBE04D2FA}">
      <text>
        <t>[Threaded comment]
Your version of Excel allows you to read this threaded comment; however, any edits to it will get removed if the file is opened in a newer version of Excel. Learn more: https://go.microsoft.com/fwlink/?linkid=870924
Comment:
    60 to 240 MPa</t>
      </text>
    </comment>
    <comment ref="E59" authorId="95" shapeId="0" xr:uid="{791C6A78-BF6F-344D-BB79-E8CA6ECECF60}">
      <text>
        <t>[Threaded comment]
Your version of Excel allows you to read this threaded comment; however, any edits to it will get removed if the file is opened in a newer version of Excel. Learn more: https://go.microsoft.com/fwlink/?linkid=870924
Comment:
    1.6 to 23 GPa</t>
      </text>
    </comment>
    <comment ref="H59" authorId="96" shapeId="0" xr:uid="{EC6A5747-C223-AD41-B8CA-CE956EA9239A}">
      <text>
        <t>[Threaded comment]
Your version of Excel allows you to read this threaded comment; however, any edits to it will get removed if the file is opened in a newer version of Excel. Learn more: https://go.microsoft.com/fwlink/?linkid=870924
Comment:
    Shore D</t>
      </text>
    </comment>
    <comment ref="K59" authorId="97" shapeId="0" xr:uid="{E23826B1-CF55-A840-BE12-8EEFC2B4D623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https://omnexus.specialchem.com/polymer-properties/properties/elongation-at-break?src=prop-cnx</t>
      </text>
    </comment>
    <comment ref="C60" authorId="98" shapeId="0" xr:uid="{728CE05E-E430-FE4A-A217-E4438B1ABFA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120 to 250 MPa
Reply:
    https://www.makeitfrom.com/material-properties/Polyamide-PA-Nylon-4-6-46
</t>
      </text>
    </comment>
    <comment ref="E60" authorId="99" shapeId="0" xr:uid="{E97921B3-10BB-954E-B750-12CD89EC59D9}">
      <text>
        <t>[Threaded comment]
Your version of Excel allows you to read this threaded comment; however, any edits to it will get removed if the file is opened in a newer version of Excel. Learn more: https://go.microsoft.com/fwlink/?linkid=870924
Comment:
    1.0 to 16 GPa</t>
      </text>
    </comment>
    <comment ref="H60" authorId="100" shapeId="0" xr:uid="{BE04DE9B-8687-CF40-B809-36CB3DB63917}">
      <text>
        <t>[Threaded comment]
Your version of Excel allows you to read this threaded comment; however, any edits to it will get removed if the file is opened in a newer version of Excel. Learn more: https://go.microsoft.com/fwlink/?linkid=870924
Comment:
    Shore D</t>
      </text>
    </comment>
    <comment ref="K60" authorId="101" shapeId="0" xr:uid="{B538C4E1-A068-5044-BB18-0FE7CC7A41E2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https://omnexus.specialchem.com/polymer-properties/properties/elongation-at-break?src=prop-cnx</t>
      </text>
    </comment>
    <comment ref="M60" authorId="102" shapeId="0" xr:uid="{D37C1F89-3BD3-754C-B778-356C8BBC5867}">
      <text>
        <t>[Threaded comment]
Your version of Excel allows you to read this threaded comment; however, any edits to it will get removed if the file is opened in a newer version of Excel. Learn more: https://go.microsoft.com/fwlink/?linkid=870924
Comment:
    1238-6500</t>
      </text>
    </comment>
    <comment ref="C61" authorId="103" shapeId="0" xr:uid="{41EABF73-78F5-8448-B1C7-8B16B5470DE8}">
      <text>
        <t>[Threaded comment]
Your version of Excel allows you to read this threaded comment; however, any edits to it will get removed if the file is opened in a newer version of Excel. Learn more: https://go.microsoft.com/fwlink/?linkid=870924
Comment:
    45 to 60 MPa</t>
      </text>
    </comment>
    <comment ref="E61" authorId="104" shapeId="0" xr:uid="{48097BF3-11AE-9F44-AE23-AB010DE434E3}">
      <text>
        <t>[Threaded comment]
Your version of Excel allows you to read this threaded comment; however, any edits to it will get removed if the file is opened in a newer version of Excel. Learn more: https://go.microsoft.com/fwlink/?linkid=870924
Comment:
    1.6 to 2.3 GPa</t>
      </text>
    </comment>
    <comment ref="H61" authorId="105" shapeId="0" xr:uid="{5BA928F3-E344-DB42-8C16-EE5B096FEEC9}">
      <text>
        <t>[Threaded comment]
Your version of Excel allows you to read this threaded comment; however, any edits to it will get removed if the file is opened in a newer version of Excel. Learn more: https://go.microsoft.com/fwlink/?linkid=870924
Comment:
    Shore D</t>
      </text>
    </comment>
    <comment ref="K61" authorId="106" shapeId="0" xr:uid="{C699C87A-6132-7040-8293-36E53F4DD461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https://omnexus.specialchem.com/polymer-properties/properties/elongation-at-break?src=prop-cnx</t>
      </text>
    </comment>
    <comment ref="M61" authorId="107" shapeId="0" xr:uid="{F285EC97-0E5E-CD4F-9456-8966D529493A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 taken from Nylon prices
PA6,66,46</t>
      </text>
    </comment>
    <comment ref="C62" authorId="108" shapeId="0" xr:uid="{D0FEF29F-8A72-3547-813C-DA35711EC8DB}">
      <text>
        <t>[Threaded comment]
Your version of Excel allows you to read this threaded comment; however, any edits to it will get removed if the file is opened in a newer version of Excel. Learn more: https://go.microsoft.com/fwlink/?linkid=870924
Comment:
    57-69</t>
      </text>
    </comment>
    <comment ref="E62" authorId="109" shapeId="0" xr:uid="{B775C387-50B7-A74D-A76B-6DAE63230A26}">
      <text>
        <t>[Threaded comment]
Your version of Excel allows you to read this threaded comment; however, any edits to it will get removed if the file is opened in a newer version of Excel. Learn more: https://go.microsoft.com/fwlink/?linkid=870924
Comment:
    2.1 to 2.2</t>
      </text>
    </comment>
    <comment ref="H62" authorId="110" shapeId="0" xr:uid="{F222CCDE-B1B5-444E-86E4-235EB8B4E1D6}">
      <text>
        <t>[Threaded comment]
Your version of Excel allows you to read this threaded comment; however, any edits to it will get removed if the file is opened in a newer version of Excel. Learn more: https://go.microsoft.com/fwlink/?linkid=870924
Comment:
    Rockwell R</t>
      </text>
    </comment>
    <comment ref="K62" authorId="111" shapeId="0" xr:uid="{CC7A11FE-6759-C04A-BC8F-C9AB0CD0E857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https://omnexus.specialchem.com/polymer-properties/properties/elongation-at-break?src=prop-cnx</t>
      </text>
    </comment>
    <comment ref="M62" authorId="112" shapeId="0" xr:uid="{44AB9876-DFEF-3645-BFE3-7CAADFEC160C}">
      <text>
        <t>[Threaded comment]
Your version of Excel allows you to read this threaded comment; however, any edits to it will get removed if the file is opened in a newer version of Excel. Learn more: https://go.microsoft.com/fwlink/?linkid=870924
Comment:
    2000-4000</t>
      </text>
    </comment>
    <comment ref="C63" authorId="113" shapeId="0" xr:uid="{D418862A-E224-CE49-8075-7BB848F9B923}">
      <text>
        <t>[Threaded comment]
Your version of Excel allows you to read this threaded comment; however, any edits to it will get removed if the file is opened in a newer version of Excel. Learn more: https://go.microsoft.com/fwlink/?linkid=870924
Comment:
    30-60</t>
      </text>
    </comment>
    <comment ref="F63" authorId="114" shapeId="0" xr:uid="{311A0A9F-CA37-3244-80B4-7A8361AA54D4}">
      <text>
        <t>[Threaded comment]
Your version of Excel allows you to read this threaded comment; however, any edits to it will get removed if the file is opened in a newer version of Excel. Learn more: https://go.microsoft.com/fwlink/?linkid=870924
Comment:
    1.1-1.4</t>
      </text>
    </comment>
    <comment ref="H63" authorId="115" shapeId="0" xr:uid="{90E61A19-A4C5-284E-83AF-653F780330FA}">
      <text>
        <t>[Threaded comment]
Your version of Excel allows you to read this threaded comment; however, any edits to it will get removed if the file is opened in a newer version of Excel. Learn more: https://go.microsoft.com/fwlink/?linkid=870924
Comment:
    Shore D</t>
      </text>
    </comment>
    <comment ref="M63" authorId="116" shapeId="0" xr:uid="{38DDB467-2322-3B49-9CF3-D742BB3104E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1200-1350
</t>
      </text>
    </comment>
    <comment ref="E64" authorId="117" shapeId="0" xr:uid="{8F3AEFFC-66FA-7843-A8BB-994BF7EE1660}">
      <text>
        <t>[Threaded comment]
Your version of Excel allows you to read this threaded comment; however, any edits to it will get removed if the file is opened in a newer version of Excel. Learn more: https://go.microsoft.com/fwlink/?linkid=870924
Comment:
    1.5-3 mpa</t>
      </text>
    </comment>
    <comment ref="F64" authorId="118" shapeId="0" xr:uid="{2801C279-4707-DD40-BFD8-460EBD193160}">
      <text>
        <t>[Threaded comment]
Your version of Excel allows you to read this threaded comment; however, any edits to it will get removed if the file is opened in a newer version of Excel. Learn more: https://go.microsoft.com/fwlink/?linkid=870924
Comment:
    1.1-1.3</t>
      </text>
    </comment>
    <comment ref="H64" authorId="119" shapeId="0" xr:uid="{E9FACFA8-5EC1-BF4B-A72F-53C45C15F350}">
      <text>
        <t>[Threaded comment]
Your version of Excel allows you to read this threaded comment; however, any edits to it will get removed if the file is opened in a newer version of Excel. Learn more: https://go.microsoft.com/fwlink/?linkid=870924
Comment:
    Shore D</t>
      </text>
    </comment>
    <comment ref="M64" authorId="120" shapeId="0" xr:uid="{943E5117-0CEC-D74A-B002-5ACC28B236A9}">
      <text>
        <t>[Threaded comment]
Your version of Excel allows you to read this threaded comment; however, any edits to it will get removed if the file is opened in a newer version of Excel. Learn more: https://go.microsoft.com/fwlink/?linkid=870924
Comment:
    €836.05-€1,045.32/ metric ton</t>
      </text>
    </comment>
    <comment ref="C65" authorId="121" shapeId="0" xr:uid="{CFFB59AE-9E34-9845-9206-D48C86A745AA}">
      <text>
        <t>[Threaded comment]
Your version of Excel allows you to read this threaded comment; however, any edits to it will get removed if the file is opened in a newer version of Excel. Learn more: https://go.microsoft.com/fwlink/?linkid=870924
Comment:
    14.6-59.4</t>
      </text>
    </comment>
    <comment ref="E65" authorId="122" shapeId="0" xr:uid="{41976062-9232-DD4B-8F87-30BF58EAE59C}">
      <text>
        <t>[Threaded comment]
Your version of Excel allows you to read this threaded comment; however, any edits to it will get removed if the file is opened in a newer version of Excel. Learn more: https://go.microsoft.com/fwlink/?linkid=870924
Comment:
    4.1-7.1</t>
      </text>
    </comment>
    <comment ref="H65" authorId="123" shapeId="0" xr:uid="{709FD44C-30CC-B749-8391-49D24D42A7FF}">
      <text>
        <t>[Threaded comment]
Your version of Excel allows you to read this threaded comment; however, any edits to it will get removed if the file is opened in a newer version of Excel. Learn more: https://go.microsoft.com/fwlink/?linkid=870924
Comment:
    Considered around PVC value</t>
      </text>
    </comment>
    <comment ref="K65" authorId="124" shapeId="0" xr:uid="{BB833D01-C7CC-844A-A3C4-F3D3956FF708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https://www.semanticscholar.org/paper/OVERVIEW-OF-FLAX-FIBER-REINFORCED-THERMOPLASTIC-Panigrahy-Rana/1e2b0daf2e9fbf23349716774bf09b7a45018a40</t>
      </text>
    </comment>
    <comment ref="M65" authorId="125" shapeId="0" xr:uid="{456BDEC4-F31B-7E43-8DBE-CF8F867E329C}">
      <text>
        <t>[Threaded comment]
Your version of Excel allows you to read this threaded comment; however, any edits to it will get removed if the file is opened in a newer version of Excel. Learn more: https://go.microsoft.com/fwlink/?linkid=870924
Comment:
    1500-1600</t>
      </text>
    </comment>
    <comment ref="C66" authorId="126" shapeId="0" xr:uid="{6EF749DC-00CD-3649-A485-518B83E783DB}">
      <text>
        <t>[Threaded comment]
Your version of Excel allows you to read this threaded comment; however, any edits to it will get removed if the file is opened in a newer version of Excel. Learn more: https://go.microsoft.com/fwlink/?linkid=870924
Comment:
    10.4-13.2
Reply:
    https://www.researchgate.net/publication/354052196_Mechanical_properties_and_corrosion_behavior_of_sugarcane_Bagasse_fiber_reinforced_Low_Density_Polyethylene_composites</t>
      </text>
    </comment>
    <comment ref="E66" authorId="127" shapeId="0" xr:uid="{89A52166-F83E-C640-A637-70A8FC5103B8}">
      <text>
        <t>[Threaded comment]
Your version of Excel allows you to read this threaded comment; however, any edits to it will get removed if the file is opened in a newer version of Excel. Learn more: https://go.microsoft.com/fwlink/?linkid=870924
Comment:
    249-462mpa</t>
      </text>
    </comment>
    <comment ref="H66" authorId="128" shapeId="0" xr:uid="{4AB690AA-DBF4-C940-BC81-371E58CC84BF}">
      <text>
        <t>[Threaded comment]
Your version of Excel allows you to read this threaded comment; however, any edits to it will get removed if the file is opened in a newer version of Excel. Learn more: https://go.microsoft.com/fwlink/?linkid=870924
Comment:
    Rockwell M
Reply:
    Considered same as PLA</t>
      </text>
    </comment>
    <comment ref="K66" authorId="129" shapeId="0" xr:uid="{BA5DAB61-340E-BC44-B495-B831EEB41A03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https://iopscience.iop.org/article/10.1088/1755-1315/912/1/012062/pdf</t>
      </text>
    </comment>
    <comment ref="C67" authorId="130" shapeId="0" xr:uid="{8E285116-3D7A-1245-840B-AA0C5353C32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1.27-2.8
</t>
      </text>
    </comment>
    <comment ref="F67" authorId="131" shapeId="0" xr:uid="{1B504D37-BFA7-014F-A466-E11698FD9A12}">
      <text>
        <t>[Threaded comment]
Your version of Excel allows you to read this threaded comment; however, any edits to it will get removed if the file is opened in a newer version of Excel. Learn more: https://go.microsoft.com/fwlink/?linkid=870924
Comment:
    0.45mm thickness</t>
      </text>
    </comment>
    <comment ref="H67" authorId="132" shapeId="0" xr:uid="{7B271C98-D0B4-804B-9EBB-1D137612ABE2}">
      <text>
        <t>[Threaded comment]
Your version of Excel allows you to read this threaded comment; however, any edits to it will get removed if the file is opened in a newer version of Excel. Learn more: https://go.microsoft.com/fwlink/?linkid=870924
Comment:
    Shore D</t>
      </text>
    </comment>
    <comment ref="K67" authorId="133" shapeId="0" xr:uid="{FAAF5EC1-CA67-C14F-9253-9CF63CD1D582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https://www.ncbi.nlm.nih.gov/pmc/articles/PMC8348970/</t>
      </text>
    </comment>
    <comment ref="M67" authorId="134" shapeId="0" xr:uid="{37860271-8168-2746-B6EA-5A6C32AA703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2000-8000
</t>
      </text>
    </comment>
    <comment ref="H68" authorId="135" shapeId="0" xr:uid="{E860D1BB-1FA3-864C-ACA3-BD978159B580}">
      <text>
        <t>[Threaded comment]
Your version of Excel allows you to read this threaded comment; however, any edits to it will get removed if the file is opened in a newer version of Excel. Learn more: https://go.microsoft.com/fwlink/?linkid=870924
Comment:
    Rockwell M</t>
      </text>
    </comment>
    <comment ref="L68" authorId="136" shapeId="0" xr:uid="{430B53AA-5179-BF46-96A4-07532955F363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http://www.lookpolymers.com/polymer_Overview-of-materials-for-Acetal-Copolymer-30-Glass-Fiber-Reinforced.php</t>
      </text>
    </comment>
    <comment ref="M68" authorId="137" shapeId="0" xr:uid="{B01A2251-2454-C645-88A7-F1E36A6651F1}">
      <text>
        <t>[Threaded comment]
Your version of Excel allows you to read this threaded comment; however, any edits to it will get removed if the file is opened in a newer version of Excel. Learn more: https://go.microsoft.com/fwlink/?linkid=870924
Comment:
    1564- 1877</t>
      </text>
    </comment>
    <comment ref="B69" authorId="138" shapeId="0" xr:uid="{347D7E93-215E-1B4A-B8C3-F76BFD6EC6A2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https://matmatch.com/materials/mama0000000001-moso-bamboo</t>
      </text>
    </comment>
    <comment ref="C69" authorId="139" shapeId="0" xr:uid="{B50B9E8E-2BAE-7544-8B0E-B358D0F42F37}">
      <text>
        <t>[Threaded comment]
Your version of Excel allows you to read this threaded comment; however, any edits to it will get removed if the file is opened in a newer version of Excel. Learn more: https://go.microsoft.com/fwlink/?linkid=870924
Comment:
    100-400</t>
      </text>
    </comment>
    <comment ref="E69" authorId="140" shapeId="0" xr:uid="{5CE15FCC-98E0-E24D-AC88-79249EF62D7A}">
      <text>
        <t>[Threaded comment]
Your version of Excel allows you to read this threaded comment; however, any edits to it will get removed if the file is opened in a newer version of Excel. Learn more: https://go.microsoft.com/fwlink/?linkid=870924
Comment:
    5-20</t>
      </text>
    </comment>
    <comment ref="F69" authorId="141" shapeId="0" xr:uid="{03E4B3F0-0928-ED4D-B6BE-3057D29A3476}">
      <text>
        <t>[Threaded comment]
Your version of Excel allows you to read this threaded comment; however, any edits to it will get removed if the file is opened in a newer version of Excel. Learn more: https://go.microsoft.com/fwlink/?linkid=870924
Comment:
    0.5-0.65</t>
      </text>
    </comment>
    <comment ref="H69" authorId="142" shapeId="0" xr:uid="{4600C8C8-6BB3-3F45-B274-BAAEB19474F5}">
      <text>
        <t>[Threaded comment]
Your version of Excel allows you to read this threaded comment; however, any edits to it will get removed if the file is opened in a newer version of Excel. Learn more: https://go.microsoft.com/fwlink/?linkid=870924
Comment:
    Rockwell N</t>
      </text>
    </comment>
    <comment ref="K69" authorId="143" shapeId="0" xr:uid="{FB8E9B1F-A247-2C48-BF95-73D4CD31A9BA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google.com/url?sa=t&amp;rct=j&amp;q=&amp;esrc=s&amp;source=web&amp;cd=&amp;ved=2ahUKEwiT45eH9_b7AhXQsKQKHafHDGgQFnoECDUQAQ&amp;url=https%3A%2F%2Fmdpi-res.com%2Fd_attachment%2Fmaterials%2Fmaterials-15-05016%2Farticle_deploy%2Fmaterials-15-05016.pdf%3Fversion%3D1658228626&amp;usg=AOvVaw0Ui5nEdaQZ52-7VuLxxt_t</t>
      </text>
    </comment>
    <comment ref="M69" authorId="144" shapeId="0" xr:uid="{3496F8D0-438F-2340-B42D-69EC710A536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€229- 333.71 cubic meters
</t>
      </text>
    </comment>
    <comment ref="B70" authorId="145" shapeId="0" xr:uid="{645217FF-74F0-1943-A1F7-512EEAC3688C}">
      <text>
        <t>[Threaded comment]
Your version of Excel allows you to read this threaded comment; however, any edits to it will get removed if the file is opened in a newer version of Excel. Learn more: https://go.microsoft.com/fwlink/?linkid=870924
Comment:
    20%-80% by mass rice husk</t>
      </text>
    </comment>
    <comment ref="F70" authorId="146" shapeId="0" xr:uid="{B0E06FCB-4B0E-084E-9770-7DA8000E858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0.466-1.091
</t>
      </text>
    </comment>
    <comment ref="H70" authorId="147" shapeId="0" xr:uid="{98CBE954-F25B-D14D-9A97-48AAA73BCDB7}">
      <text>
        <t>[Threaded comment]
Your version of Excel allows you to read this threaded comment; however, any edits to it will get removed if the file is opened in a newer version of Excel. Learn more: https://go.microsoft.com/fwlink/?linkid=870924
Comment:
    Shore D</t>
      </text>
    </comment>
    <comment ref="F71" authorId="148" shapeId="0" xr:uid="{CEF7D262-3DD1-A542-A696-92F8B14A3AD1}">
      <text>
        <t>[Threaded comment]
Your version of Excel allows you to read this threaded comment; however, any edits to it will get removed if the file is opened in a newer version of Excel. Learn more: https://go.microsoft.com/fwlink/?linkid=870924
Comment:
    moisture 8%-12%</t>
      </text>
    </comment>
    <comment ref="H71" authorId="149" shapeId="0" xr:uid="{769E0454-52AA-CD44-BA25-CE45AB403649}">
      <text>
        <t>[Threaded comment]
Your version of Excel allows you to read this threaded comment; however, any edits to it will get removed if the file is opened in a newer version of Excel. Learn more: https://go.microsoft.com/fwlink/?linkid=870924
Comment:
    Rockwell N</t>
      </text>
    </comment>
    <comment ref="M71" authorId="150" shapeId="0" xr:uid="{628A567E-7415-B54A-98C5-FE5A1F96CCD5}">
      <text>
        <t>[Threaded comment]
Your version of Excel allows you to read this threaded comment; however, any edits to it will get removed if the file is opened in a newer version of Excel. Learn more: https://go.microsoft.com/fwlink/?linkid=870924
Comment:
    €207-624 cubic meters</t>
      </text>
    </comment>
    <comment ref="H72" authorId="151" shapeId="0" xr:uid="{A3950AF3-5F1A-DE41-A3AB-3F09F4D055C9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https://www.google.com/url?sa=t&amp;rct=j&amp;q=&amp;esrc=s&amp;source=web&amp;cd=&amp;cad=rja&amp;uact=8&amp;ved=2ahUKEwiDhdmJpf77AhUm7rsIHR0VB6wQFnoECDIQAQ&amp;url=http%3A%2F%2Farticle.sapub.org%2F10.5923.j.materials.20170705.02.html&amp;usg=AOvVaw2_7Hu8QfqbmrkOXKYUHL4r
rockwell N</t>
      </text>
    </comment>
    <comment ref="L72" authorId="152" shapeId="0" xr:uid="{FBFF2BF8-EBBF-3F4E-84EF-AEB476D2F356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https://www.ncbi.nlm.nih.gov/pmc/articles/PMC8433995/</t>
      </text>
    </comment>
    <comment ref="M72" authorId="153" shapeId="0" xr:uid="{661E88C0-0C62-0745-880F-27626C3AC052}">
      <text>
        <t>[Threaded comment]
Your version of Excel allows you to read this threaded comment; however, any edits to it will get removed if the file is opened in a newer version of Excel. Learn more: https://go.microsoft.com/fwlink/?linkid=870924
Comment:
    3000-3500</t>
      </text>
    </comment>
    <comment ref="G73" authorId="154" shapeId="0" xr:uid="{57AACD67-49E4-7348-AC54-091D052D4A25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http://www.csgnetwork.com/specificgravmattable.html</t>
      </text>
    </comment>
    <comment ref="C74" authorId="155" shapeId="0" xr:uid="{DB260810-953D-3845-A8DE-DF278C365FE4}">
      <text>
        <t>[Threaded comment]
Your version of Excel allows you to read this threaded comment; however, any edits to it will get removed if the file is opened in a newer version of Excel. Learn more: https://go.microsoft.com/fwlink/?linkid=870924
Comment:
    In general, recycled fiber cardboard tends to have lower tensile strength compared to virgin fiber cardboard due to the shorter and weaker fibers used in the recycled material.</t>
      </text>
    </comment>
    <comment ref="F74" authorId="156" shapeId="0" xr:uid="{3DB02F97-886B-3947-869A-953E93F759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http://sitesmedia.s3.amazonaws.com/chem/files/2016/06/F2016DensityProcedure1.pdf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I1" authorId="0" shapeId="0" xr:uid="{54A919F3-2288-644E-A4BF-D5371D8B538C}">
      <text>
        <r>
          <rPr>
            <b/>
            <sz val="12"/>
            <color rgb="FF000000"/>
            <rFont val="Tahoma"/>
            <family val="2"/>
          </rPr>
          <t xml:space="preserve">The number of setups is dependent on several conditions (see lecture notes):
</t>
        </r>
        <r>
          <rPr>
            <sz val="12"/>
            <color rgb="FF000000"/>
            <rFont val="Tahoma"/>
            <family val="2"/>
          </rPr>
          <t xml:space="preserve">
</t>
        </r>
        <r>
          <rPr>
            <sz val="12"/>
            <color rgb="FF000000"/>
            <rFont val="Tahoma"/>
            <family val="2"/>
          </rPr>
          <t xml:space="preserve">I: one lot of an item on a work station requires one setup
</t>
        </r>
        <r>
          <rPr>
            <sz val="12"/>
            <color rgb="FF000000"/>
            <rFont val="Tahoma"/>
            <family val="2"/>
          </rPr>
          <t xml:space="preserve">II: </t>
        </r>
        <r>
          <rPr>
            <sz val="12"/>
            <color rgb="FF000000"/>
            <rFont val="Calibri"/>
            <family val="2"/>
          </rPr>
          <t xml:space="preserve">if there is only one lot of an item on a work station, then no setup of the work station is required
</t>
        </r>
        <r>
          <rPr>
            <sz val="12"/>
            <color rgb="FF000000"/>
            <rFont val="Tahoma"/>
            <family val="2"/>
          </rPr>
          <t xml:space="preserve">III: </t>
        </r>
        <r>
          <rPr>
            <sz val="12"/>
            <color rgb="FF000000"/>
            <rFont val="Calibri"/>
            <family val="2"/>
          </rPr>
          <t xml:space="preserve">the item with the largest number of lots requires the number of setups of the item with the second largest number of lots 
</t>
        </r>
      </text>
    </comment>
    <comment ref="L1" authorId="0" shapeId="0" xr:uid="{B51E737E-64FC-084C-A824-0282FA1B2A3B}">
      <text>
        <r>
          <rPr>
            <b/>
            <sz val="12"/>
            <color rgb="FF000000"/>
            <rFont val="Tahoma"/>
            <family val="2"/>
          </rPr>
          <t xml:space="preserve">These columns use the lists in the middle section of the helper table to 
</t>
        </r>
        <r>
          <rPr>
            <b/>
            <sz val="12"/>
            <color rgb="FF000000"/>
            <rFont val="Tahoma"/>
            <family val="2"/>
          </rPr>
          <t xml:space="preserve">
</t>
        </r>
        <r>
          <rPr>
            <b/>
            <sz val="12"/>
            <color rgb="FF000000"/>
            <rFont val="Tahoma"/>
            <family val="2"/>
          </rPr>
          <t xml:space="preserve">rank those values (=number of lots of an item on a work station)
</t>
        </r>
        <r>
          <rPr>
            <b/>
            <sz val="12"/>
            <color rgb="FF000000"/>
            <rFont val="Tahoma"/>
            <family val="2"/>
          </rPr>
          <t xml:space="preserve">
</t>
        </r>
        <r>
          <rPr>
            <b/>
            <sz val="12"/>
            <color rgb="FF000000"/>
            <rFont val="Tahoma"/>
            <family val="2"/>
          </rPr>
          <t xml:space="preserve">find the largest number of lots on a work station (for Condition III)
</t>
        </r>
        <r>
          <rPr>
            <b/>
            <sz val="12"/>
            <color rgb="FF000000"/>
            <rFont val="Tahoma"/>
            <family val="2"/>
          </rPr>
          <t xml:space="preserve">
</t>
        </r>
        <r>
          <rPr>
            <b/>
            <sz val="12"/>
            <color rgb="FF000000"/>
            <rFont val="Tahoma"/>
            <family val="2"/>
          </rPr>
          <t>find the number of different lots on a work station (for Condition II)</t>
        </r>
        <r>
          <rPr>
            <sz val="12"/>
            <color rgb="FF000000"/>
            <rFont val="Tahoma"/>
            <family val="2"/>
          </rPr>
          <t xml:space="preserve">
</t>
        </r>
      </text>
    </comment>
    <comment ref="Q1" authorId="0" shapeId="0" xr:uid="{FE8C7659-E972-B340-98A4-06287A845E39}">
      <text>
        <r>
          <rPr>
            <b/>
            <sz val="12"/>
            <color rgb="FF000000"/>
            <rFont val="Tahoma"/>
            <family val="2"/>
          </rPr>
          <t>This table lists the work stationsjust once that are required for the production of the A-items</t>
        </r>
        <r>
          <rPr>
            <sz val="12"/>
            <color rgb="FF000000"/>
            <rFont val="Tahoma"/>
            <family val="2"/>
          </rPr>
          <t xml:space="preserve">
</t>
        </r>
      </text>
    </comment>
    <comment ref="S1" authorId="0" shapeId="0" xr:uid="{24417D21-7967-CE4C-9E39-C42DBB071CDD}">
      <text>
        <r>
          <rPr>
            <b/>
            <sz val="12"/>
            <color rgb="FF000000"/>
            <rFont val="Tahoma"/>
            <family val="2"/>
          </rPr>
          <t xml:space="preserve">The upper section of the helper table puts together all different lots of an item on the given work station
</t>
        </r>
        <r>
          <rPr>
            <b/>
            <sz val="12"/>
            <color rgb="FF000000"/>
            <rFont val="Tahoma"/>
            <family val="2"/>
          </rPr>
          <t xml:space="preserve">
</t>
        </r>
        <r>
          <rPr>
            <b/>
            <sz val="12"/>
            <color rgb="FF000000"/>
            <rFont val="Tahoma"/>
            <family val="2"/>
          </rPr>
          <t xml:space="preserve">The middle section of the helper table sorts the values from the upper section descendingly.
</t>
        </r>
        <r>
          <rPr>
            <b/>
            <sz val="12"/>
            <color rgb="FF000000"/>
            <rFont val="Tahoma"/>
            <family val="2"/>
          </rPr>
          <t xml:space="preserve">
</t>
        </r>
        <r>
          <rPr>
            <b/>
            <sz val="12"/>
            <color rgb="FF000000"/>
            <rFont val="Tahoma"/>
            <family val="2"/>
          </rPr>
          <t>The lower section contains helper values to be used in other formulas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<sst xmlns="http://schemas.openxmlformats.org/spreadsheetml/2006/main" count="3990" uniqueCount="1314">
  <si>
    <t>#</t>
  </si>
  <si>
    <t>Option 1 Bremen</t>
  </si>
  <si>
    <t>Option 2 Munich</t>
  </si>
  <si>
    <t>Option 3 Berlin</t>
  </si>
  <si>
    <t>Criteria</t>
  </si>
  <si>
    <t>Score</t>
  </si>
  <si>
    <t>Benefit Value</t>
  </si>
  <si>
    <t>Traffic conditions</t>
  </si>
  <si>
    <t>Distance to suppliers, customers, distribution centers, customer services, etc.</t>
  </si>
  <si>
    <t>Communication possibilities (post offices, banks, associations, research institutes, etc.)</t>
  </si>
  <si>
    <t>Workforce</t>
  </si>
  <si>
    <t>Cost of living</t>
  </si>
  <si>
    <t>Position in the road network (highways, etc.)</t>
  </si>
  <si>
    <t>Taxes &amp; Subventions</t>
  </si>
  <si>
    <t>Position in railroad network (Container terminals, etc.)</t>
  </si>
  <si>
    <t>Property</t>
  </si>
  <si>
    <t>Energy supply</t>
  </si>
  <si>
    <t>Proximity to airports</t>
  </si>
  <si>
    <t>Number of the available workforce (population and growth rate of the community, etc.)</t>
  </si>
  <si>
    <t>Composition of the workforce: gender, managers, blue-collar workers, etc.</t>
  </si>
  <si>
    <t>Quality of the workforce: capabilities, work ethics in the community, etc.</t>
  </si>
  <si>
    <t>Level of Wages:  regular wages, extra payments, voluntary payments</t>
  </si>
  <si>
    <t>Working time: regular working hours, vacation, public holidays, shifts, etc.</t>
  </si>
  <si>
    <t>Housing (new apartments available? New construction necessary? Public support for housing?)</t>
  </si>
  <si>
    <t>Schools &amp; executive education: universities, technical schools, Education Centers, schools, etc.)</t>
  </si>
  <si>
    <t>Culture and recreation (theaters, concerts, parks and public gardens, etc.)</t>
  </si>
  <si>
    <t>Topology (flat, mountainous, etc.)</t>
  </si>
  <si>
    <t>Health system (physicians, hospitals, helath centers, etc.)</t>
  </si>
  <si>
    <t>Political and religious attitude of people in the community</t>
  </si>
  <si>
    <t>Climate</t>
  </si>
  <si>
    <t>Temperature</t>
  </si>
  <si>
    <t>Humidity</t>
  </si>
  <si>
    <t>Rain</t>
  </si>
  <si>
    <t>Pressure</t>
  </si>
  <si>
    <t>Business tax figures</t>
  </si>
  <si>
    <t>Property tax</t>
  </si>
  <si>
    <t>Financial power of the community</t>
  </si>
  <si>
    <t>Relevant subventions</t>
  </si>
  <si>
    <t>Restrictions</t>
  </si>
  <si>
    <t>Production bans over night</t>
  </si>
  <si>
    <t>Traffic restrictions</t>
  </si>
  <si>
    <t>Road network</t>
  </si>
  <si>
    <t>Road connections (type, condition, costs of building new roads, etc.)</t>
  </si>
  <si>
    <t>Train connections (position, distance from train stations, costs of establishment of new stations, etc.)</t>
  </si>
  <si>
    <t>Canal connection</t>
  </si>
  <si>
    <t>Own airfield</t>
  </si>
  <si>
    <t>Property size</t>
  </si>
  <si>
    <t xml:space="preserve">Property price </t>
  </si>
  <si>
    <t>Shape of the property</t>
  </si>
  <si>
    <t>Land structure and strength</t>
  </si>
  <si>
    <t>Orientation (cardinal points)</t>
  </si>
  <si>
    <t>Easements</t>
  </si>
  <si>
    <t>Construction regulations</t>
  </si>
  <si>
    <t>Previous use (disturbing or suitable buildings)</t>
  </si>
  <si>
    <t>Expansion possibilities</t>
  </si>
  <si>
    <t>Ground water level</t>
  </si>
  <si>
    <t>Flood risk</t>
  </si>
  <si>
    <t>Electricity connection (type, voltage and power, distance to utilities, etc.)</t>
  </si>
  <si>
    <t>Electricity price</t>
  </si>
  <si>
    <t>Gas connection (type: bio, regular; distance to utilities, etc.)</t>
  </si>
  <si>
    <t>Gas service price (per m3)</t>
  </si>
  <si>
    <t>Hot water, steam (connection to pipeline)</t>
  </si>
  <si>
    <t>Oil and coal</t>
  </si>
  <si>
    <t>Sewage</t>
  </si>
  <si>
    <t xml:space="preserve">Own sewage and waste water treatment necessary? </t>
  </si>
  <si>
    <t>Public sewage system, connection to sewage treatment, etc.</t>
  </si>
  <si>
    <t>Trash Disposal</t>
  </si>
  <si>
    <t xml:space="preserve">Own or public trash disposal, </t>
  </si>
  <si>
    <t>Cost of trash disposal</t>
  </si>
  <si>
    <t>Neighbor facilities</t>
  </si>
  <si>
    <t>Number and type of facilities</t>
  </si>
  <si>
    <t>Potential cooperation, disturbance, etc.</t>
  </si>
  <si>
    <t>Water supply</t>
  </si>
  <si>
    <t>Public network connection (type of connection, distance to utilities, etc.)</t>
  </si>
  <si>
    <t>Performance of the connection</t>
  </si>
  <si>
    <t>Water quality (hardness, average temperature, etc.)</t>
  </si>
  <si>
    <t>Service price</t>
  </si>
  <si>
    <t>Own water supply (well water)</t>
  </si>
  <si>
    <t>Possibility of well drillings</t>
  </si>
  <si>
    <t>Maximum amount of welll water</t>
  </si>
  <si>
    <t>Well water quality (hardness, average temperature, etc.)</t>
  </si>
  <si>
    <t>Category</t>
  </si>
  <si>
    <t>Order Placement</t>
  </si>
  <si>
    <t>Anonymous pre-manufacturing w/  customized finishing</t>
  </si>
  <si>
    <t>Make to stock</t>
  </si>
  <si>
    <t>Product spectrum</t>
  </si>
  <si>
    <t>Products according to customer specification</t>
  </si>
  <si>
    <t>Standardized products w/ customer specific versions</t>
  </si>
  <si>
    <t>Standard products w/ versions</t>
  </si>
  <si>
    <t>Standard products w/o versions</t>
  </si>
  <si>
    <t>Product structure</t>
  </si>
  <si>
    <t>Multi-part products w/ complex structure</t>
  </si>
  <si>
    <t>Multi-part products w/ simple structure</t>
  </si>
  <si>
    <t>Products w/ less parts</t>
  </si>
  <si>
    <t>Determination of Material Requirements</t>
  </si>
  <si>
    <t>Demand-based</t>
  </si>
  <si>
    <t>Order-based</t>
  </si>
  <si>
    <t>Anticipatory</t>
  </si>
  <si>
    <t>Consumption-based</t>
  </si>
  <si>
    <t>Determination of Dependent Requirements</t>
  </si>
  <si>
    <t>Order-based &amp; periodic</t>
  </si>
  <si>
    <t>periodic</t>
  </si>
  <si>
    <t>Procurement Type</t>
  </si>
  <si>
    <t>Extensive external procurement</t>
  </si>
  <si>
    <t>External procurment to a greater extent</t>
  </si>
  <si>
    <t>Insignificant external procurement</t>
  </si>
  <si>
    <t>Inventory</t>
  </si>
  <si>
    <t>none</t>
  </si>
  <si>
    <t>Inventory of items at lower structural levels</t>
  </si>
  <si>
    <t>Inventory of items at higher structural levels</t>
  </si>
  <si>
    <t>Inventory of products</t>
  </si>
  <si>
    <t>Production Type</t>
  </si>
  <si>
    <t>One-off production</t>
  </si>
  <si>
    <t>Small-batch production</t>
  </si>
  <si>
    <t>Series production</t>
  </si>
  <si>
    <t>Mass production</t>
  </si>
  <si>
    <t>Way of Manufacturing</t>
  </si>
  <si>
    <t>Job shop manufacturing</t>
  </si>
  <si>
    <t>Manufacturing cell</t>
  </si>
  <si>
    <t>Line manufacturing</t>
  </si>
  <si>
    <t>Flow manufacturing</t>
  </si>
  <si>
    <t>Way of Assembly</t>
  </si>
  <si>
    <t>On-site assembly</t>
  </si>
  <si>
    <t>Assembly cell</t>
  </si>
  <si>
    <t>Line assembly</t>
  </si>
  <si>
    <t>Flow assembly</t>
  </si>
  <si>
    <t>Structure of Manufacturing</t>
  </si>
  <si>
    <t>Manufacturing w/ a high degree of structuring</t>
  </si>
  <si>
    <t>Manufacturing w/ a medium degree of structuring</t>
  </si>
  <si>
    <t>Manufacturing w/ a low degree of structuring</t>
  </si>
  <si>
    <t>Change Requests</t>
  </si>
  <si>
    <t>Extensive</t>
  </si>
  <si>
    <t>Occasional</t>
  </si>
  <si>
    <t>insignificant</t>
  </si>
  <si>
    <t>Characteristics</t>
  </si>
  <si>
    <t>Attributes</t>
  </si>
  <si>
    <t>Manufacturing based on individual orders</t>
  </si>
  <si>
    <t>Manufacturing based on blanket orders</t>
  </si>
  <si>
    <t xml:space="preserve">Criteria </t>
  </si>
  <si>
    <t>Calculation the Individual Weights Wi</t>
  </si>
  <si>
    <t>Facility #</t>
  </si>
  <si>
    <t>Profit Margin [€/item]</t>
  </si>
  <si>
    <t xml:space="preserve">Annual Quantity [item/a] </t>
  </si>
  <si>
    <t>Annual Profit Margin [€/a]</t>
  </si>
  <si>
    <t>Share 
[%]</t>
  </si>
  <si>
    <t>Cum. Share
[%]</t>
  </si>
  <si>
    <t>F03</t>
  </si>
  <si>
    <t>F04</t>
  </si>
  <si>
    <t>F06</t>
  </si>
  <si>
    <t>F09</t>
  </si>
  <si>
    <t>F01</t>
  </si>
  <si>
    <t>F02</t>
  </si>
  <si>
    <t>F05</t>
  </si>
  <si>
    <t>F08</t>
  </si>
  <si>
    <t>F10</t>
  </si>
  <si>
    <t>F19</t>
  </si>
  <si>
    <t>F18</t>
  </si>
  <si>
    <t>F17</t>
  </si>
  <si>
    <t>F16</t>
  </si>
  <si>
    <t>F15</t>
  </si>
  <si>
    <t>F14</t>
  </si>
  <si>
    <t>F13</t>
  </si>
  <si>
    <t>F12</t>
  </si>
  <si>
    <t>F11</t>
  </si>
  <si>
    <t>F07</t>
  </si>
  <si>
    <t>F20</t>
  </si>
  <si>
    <t>Total weight</t>
  </si>
  <si>
    <t>Product A</t>
  </si>
  <si>
    <t>Product B</t>
  </si>
  <si>
    <t>Product C</t>
  </si>
  <si>
    <t>…</t>
  </si>
  <si>
    <t>Total</t>
  </si>
  <si>
    <t>Normalized</t>
  </si>
  <si>
    <t>Weighting factor</t>
  </si>
  <si>
    <t>Style</t>
  </si>
  <si>
    <t>Lightweight</t>
  </si>
  <si>
    <t>Durable</t>
  </si>
  <si>
    <t>Simple locking system</t>
  </si>
  <si>
    <t>Short charging time</t>
  </si>
  <si>
    <t>Easy-to-replace parts</t>
  </si>
  <si>
    <t>Different sizes</t>
  </si>
  <si>
    <t>Long-lasting battery</t>
  </si>
  <si>
    <t>Display</t>
  </si>
  <si>
    <t>Smartphone connectivity</t>
  </si>
  <si>
    <t>GPS tracking</t>
  </si>
  <si>
    <t>Basket</t>
  </si>
  <si>
    <t>Gear system</t>
  </si>
  <si>
    <t>Break system</t>
  </si>
  <si>
    <t>Different colors</t>
  </si>
  <si>
    <t>Custom design</t>
  </si>
  <si>
    <t>Correlations</t>
  </si>
  <si>
    <t>Positive</t>
  </si>
  <si>
    <t>+</t>
  </si>
  <si>
    <t>Negative</t>
  </si>
  <si>
    <t>−</t>
  </si>
  <si>
    <t>No Correlation</t>
  </si>
  <si>
    <t>Relationships</t>
  </si>
  <si>
    <t>Strong</t>
  </si>
  <si>
    <t>●</t>
  </si>
  <si>
    <t>Moderate</t>
  </si>
  <si>
    <t>○</t>
  </si>
  <si>
    <t>Weak</t>
  </si>
  <si>
    <t>▽</t>
  </si>
  <si>
    <t>Direction of Improvement</t>
  </si>
  <si>
    <t>Maximize</t>
  </si>
  <si>
    <t>▲</t>
  </si>
  <si>
    <t>Target</t>
  </si>
  <si>
    <t>◇</t>
  </si>
  <si>
    <t>Minimize</t>
  </si>
  <si>
    <t>▼</t>
  </si>
  <si>
    <t xml:space="preserve">Column #   </t>
  </si>
  <si>
    <t xml:space="preserve">Direction of Improvement   </t>
  </si>
  <si>
    <t>Customer Competitive Assesment</t>
  </si>
  <si>
    <t xml:space="preserve">   Row #</t>
  </si>
  <si>
    <t xml:space="preserve">   Weight Chart
 </t>
  </si>
  <si>
    <t xml:space="preserve">   Customer Importance</t>
  </si>
  <si>
    <t xml:space="preserve">   Maximum Relationship</t>
  </si>
  <si>
    <t>Functional Requirements 
HOW?</t>
  </si>
  <si>
    <t xml:space="preserve">   Our Product</t>
  </si>
  <si>
    <r>
      <t xml:space="preserve">   Competitor #1: </t>
    </r>
    <r>
      <rPr>
        <i/>
        <sz val="10"/>
        <color theme="1"/>
        <rFont val="Century Schoolbook"/>
        <family val="1"/>
      </rPr>
      <t>Gocycle GX</t>
    </r>
  </si>
  <si>
    <r>
      <t xml:space="preserve">   Competitor #2: </t>
    </r>
    <r>
      <rPr>
        <i/>
        <sz val="10"/>
        <color theme="1"/>
        <rFont val="Century Schoolbook"/>
        <family val="1"/>
      </rPr>
      <t>Volt Pulse</t>
    </r>
  </si>
  <si>
    <t xml:space="preserve">   Competitor #3: Vanmoof S2</t>
  </si>
  <si>
    <r>
      <t xml:space="preserve">   Competitor #4: </t>
    </r>
    <r>
      <rPr>
        <i/>
        <sz val="10"/>
        <color theme="1"/>
        <rFont val="Century Schoolbook"/>
        <family val="1"/>
      </rPr>
      <t>Emu Crossbar</t>
    </r>
  </si>
  <si>
    <t xml:space="preserve">0
</t>
  </si>
  <si>
    <t xml:space="preserve">1
</t>
  </si>
  <si>
    <t xml:space="preserve">2
</t>
  </si>
  <si>
    <t xml:space="preserve">3
</t>
  </si>
  <si>
    <t xml:space="preserve">4
</t>
  </si>
  <si>
    <t xml:space="preserve">5
</t>
  </si>
  <si>
    <t>Customer Requirements (Explicit and Implicit) 
WHAT?</t>
  </si>
  <si>
    <t xml:space="preserve">Target    </t>
  </si>
  <si>
    <t xml:space="preserve">Max Relationship   </t>
  </si>
  <si>
    <t xml:space="preserve">Technical Importance Rating   </t>
  </si>
  <si>
    <t xml:space="preserve">Relative Weight   </t>
  </si>
  <si>
    <t xml:space="preserve">Weight Chart   </t>
  </si>
  <si>
    <t>Initial</t>
  </si>
  <si>
    <t>Overhead costs A</t>
  </si>
  <si>
    <t>Revenue (A)</t>
  </si>
  <si>
    <t>Sales Price (A)</t>
  </si>
  <si>
    <t>Cost per unit (A)</t>
  </si>
  <si>
    <t xml:space="preserve">Sales (A) </t>
  </si>
  <si>
    <t>Cumulative Revenue (A)</t>
  </si>
  <si>
    <t>Profit (A)</t>
  </si>
  <si>
    <t>Sales Price (B)</t>
  </si>
  <si>
    <t>Cost per unit (B)</t>
  </si>
  <si>
    <t>Sales (B)</t>
  </si>
  <si>
    <t>Overhead costs (B)</t>
  </si>
  <si>
    <t>Revenue (B)</t>
  </si>
  <si>
    <t>Cumulative Revenue (B)</t>
  </si>
  <si>
    <t>Profit (B)</t>
  </si>
  <si>
    <t>Sales Price (C)</t>
  </si>
  <si>
    <t xml:space="preserve">Profit  (C) </t>
  </si>
  <si>
    <t>Cumulative Revenue (C)</t>
  </si>
  <si>
    <t xml:space="preserve">Revenue (C) </t>
  </si>
  <si>
    <t xml:space="preserve">Overhead costs (C) </t>
  </si>
  <si>
    <t xml:space="preserve">Sales (C) </t>
  </si>
  <si>
    <t xml:space="preserve">Cost per unit (C) </t>
  </si>
  <si>
    <t>Initial costs (A)</t>
  </si>
  <si>
    <t>Initial costs (B)</t>
  </si>
  <si>
    <t>Initial costs (C)</t>
  </si>
  <si>
    <t>Unique Frame Shape</t>
  </si>
  <si>
    <t>Diamond shape</t>
  </si>
  <si>
    <t>Lightweight Material</t>
  </si>
  <si>
    <t>Material strength</t>
  </si>
  <si>
    <t>Smart lock</t>
  </si>
  <si>
    <t>Charge voltage</t>
  </si>
  <si>
    <t>Standard parts</t>
  </si>
  <si>
    <t>80% Carbon fibre</t>
  </si>
  <si>
    <t>3.6 Gpa</t>
  </si>
  <si>
    <t>One lock</t>
  </si>
  <si>
    <t>48 V</t>
  </si>
  <si>
    <t>Choice</t>
  </si>
  <si>
    <t>Value</t>
  </si>
  <si>
    <t>Definition</t>
  </si>
  <si>
    <t>equally important</t>
  </si>
  <si>
    <t>Weighting Factor</t>
  </si>
  <si>
    <t>Norm. Value</t>
  </si>
  <si>
    <t xml:space="preserve">Norm. weight </t>
  </si>
  <si>
    <t>more important</t>
  </si>
  <si>
    <t>Proximity to seaports and canals</t>
  </si>
  <si>
    <t>much more important</t>
  </si>
  <si>
    <t>significantly more important</t>
  </si>
  <si>
    <t>less important</t>
  </si>
  <si>
    <t>much less important</t>
  </si>
  <si>
    <t>significantly less important</t>
  </si>
  <si>
    <t>Sum</t>
  </si>
  <si>
    <t>Rank</t>
  </si>
  <si>
    <t>Material</t>
  </si>
  <si>
    <t>Tensile Strength</t>
  </si>
  <si>
    <t>Yield Strength</t>
  </si>
  <si>
    <t xml:space="preserve">Young’s Modulus </t>
  </si>
  <si>
    <t xml:space="preserve">Toughness  </t>
  </si>
  <si>
    <t xml:space="preserve">Density </t>
  </si>
  <si>
    <t>Specific Gravity</t>
  </si>
  <si>
    <t>Cost per ton</t>
  </si>
  <si>
    <t>Density of water at 4℃ (kg/m3)</t>
  </si>
  <si>
    <t>Unit</t>
  </si>
  <si>
    <t>MPa</t>
  </si>
  <si>
    <t>GPa</t>
  </si>
  <si>
    <t>MN m-3/2</t>
  </si>
  <si>
    <t>t/m3</t>
  </si>
  <si>
    <t>kg/m3</t>
  </si>
  <si>
    <t xml:space="preserve"> €/t</t>
  </si>
  <si>
    <t>Acetylene</t>
  </si>
  <si>
    <t>Air, dry</t>
  </si>
  <si>
    <t>Alcohol</t>
  </si>
  <si>
    <t>Aluminum</t>
  </si>
  <si>
    <t>Brass</t>
  </si>
  <si>
    <t>Cadmium</t>
  </si>
  <si>
    <t>Carbon dioxide</t>
  </si>
  <si>
    <t>Carbon monoxide</t>
  </si>
  <si>
    <t>Cast iron</t>
  </si>
  <si>
    <t>Chromium</t>
  </si>
  <si>
    <t>Copper</t>
  </si>
  <si>
    <t>Hydrogen</t>
  </si>
  <si>
    <t>Lead</t>
  </si>
  <si>
    <t>Mercury</t>
  </si>
  <si>
    <t>Nickel</t>
  </si>
  <si>
    <t>Nitrogen</t>
  </si>
  <si>
    <t>Nylon</t>
  </si>
  <si>
    <t>Oxygen</t>
  </si>
  <si>
    <t>Paraffin</t>
  </si>
  <si>
    <t>Petrol</t>
  </si>
  <si>
    <t>PVC</t>
  </si>
  <si>
    <t>Rubber</t>
  </si>
  <si>
    <t>Steel</t>
  </si>
  <si>
    <t>Tin</t>
  </si>
  <si>
    <t>Water (4℃)</t>
  </si>
  <si>
    <t>Water, sea</t>
  </si>
  <si>
    <t>Wood, Oak</t>
  </si>
  <si>
    <t>Zinc</t>
  </si>
  <si>
    <t>Relative</t>
  </si>
  <si>
    <t xml:space="preserve">Performance Index (γ) </t>
  </si>
  <si>
    <t>Safety Factor 
Working Stress</t>
  </si>
  <si>
    <t xml:space="preserve">Material </t>
  </si>
  <si>
    <t xml:space="preserve">Yield Strength (MPa) </t>
  </si>
  <si>
    <t xml:space="preserve">Working Stress (MPa) </t>
  </si>
  <si>
    <t>Specific Gravity (kg/m3)</t>
  </si>
  <si>
    <t xml:space="preserve">Relative Cost b </t>
  </si>
  <si>
    <t>Cost of Unit Strength (€/Nm)</t>
  </si>
  <si>
    <t xml:space="preserve">Scaled Properties </t>
  </si>
  <si>
    <t>Levelized Cost of Unit Strength (€/Nm)</t>
  </si>
  <si>
    <t>Figure of merit</t>
  </si>
  <si>
    <t>Mechanical Properties</t>
  </si>
  <si>
    <t>Material Performance Index</t>
  </si>
  <si>
    <t>Material Cost Per Strength</t>
  </si>
  <si>
    <t>Material Cost per Ductility</t>
  </si>
  <si>
    <t>Toughness</t>
  </si>
  <si>
    <t>Hardness</t>
  </si>
  <si>
    <t>Ductility - Elongation at Break</t>
  </si>
  <si>
    <t>Ductility - Elongation at Yield</t>
  </si>
  <si>
    <t>Relative (to max.) Tensile Strength</t>
  </si>
  <si>
    <t>Relative (to max.) Toughness</t>
  </si>
  <si>
    <t xml:space="preserve">Relative (to max.) Young’s Modulus </t>
  </si>
  <si>
    <t xml:space="preserve">Relative (to max.) Density </t>
  </si>
  <si>
    <t>Relative (to max.) Specific Gravity</t>
  </si>
  <si>
    <t>Relative (to max.) hardness</t>
  </si>
  <si>
    <t>Relative (to max.) Elongation Break</t>
  </si>
  <si>
    <t>Relative (to max.) Elongation Yield</t>
  </si>
  <si>
    <t>Working Tensile Strenght</t>
  </si>
  <si>
    <t xml:space="preserve">Specific Gravity </t>
  </si>
  <si>
    <t xml:space="preserve">Relative Cost </t>
  </si>
  <si>
    <t xml:space="preserve">Cost of Unit Strength </t>
  </si>
  <si>
    <t>Levelized Cost of Unit Strength</t>
  </si>
  <si>
    <t>Figur of Merit Strength</t>
  </si>
  <si>
    <t>Ranking Strength</t>
  </si>
  <si>
    <t xml:space="preserve">Cost of Unit Elongation (break) </t>
  </si>
  <si>
    <t xml:space="preserve">Levelized Cost of Unit Elongation (break) </t>
  </si>
  <si>
    <t>Figure of Merit Ductility</t>
  </si>
  <si>
    <t>Ranking Ductility</t>
  </si>
  <si>
    <t>J</t>
  </si>
  <si>
    <t>Rockwell Values</t>
  </si>
  <si>
    <t>Equivalent</t>
  </si>
  <si>
    <t>%</t>
  </si>
  <si>
    <t>(MPa)</t>
  </si>
  <si>
    <t>(kg/m3)</t>
  </si>
  <si>
    <t>€</t>
  </si>
  <si>
    <t>(€/Nm)</t>
  </si>
  <si>
    <t>(€/Nm)*100</t>
  </si>
  <si>
    <t>(€/%)</t>
  </si>
  <si>
    <t>(€/%)*100</t>
  </si>
  <si>
    <t>absolute</t>
  </si>
  <si>
    <t>unique</t>
  </si>
  <si>
    <t>Steel 1020</t>
  </si>
  <si>
    <t>Ultra Hard</t>
  </si>
  <si>
    <t>Aluminum AW-1200</t>
  </si>
  <si>
    <t xml:space="preserve"> Extra Hard</t>
  </si>
  <si>
    <t>Ultra hard</t>
  </si>
  <si>
    <t>Extra hard</t>
  </si>
  <si>
    <t>Hard</t>
  </si>
  <si>
    <t>Polylactic acid (PLA)</t>
  </si>
  <si>
    <t>98.2</t>
  </si>
  <si>
    <t>Extra Hard</t>
  </si>
  <si>
    <t>Acrylic plastic</t>
  </si>
  <si>
    <t>94.5</t>
  </si>
  <si>
    <t xml:space="preserve">Standard ABS material </t>
  </si>
  <si>
    <t>Rigid Thermoplastic Polyurethane (RTPU, PUR-RT)</t>
  </si>
  <si>
    <t xml:space="preserve"> Hard</t>
  </si>
  <si>
    <t>Polyurenthane</t>
  </si>
  <si>
    <t>ABS/Polyurethane Alloy</t>
  </si>
  <si>
    <t>Bamboo Fiber Polypropylene Composites</t>
  </si>
  <si>
    <t>Polypropylene Reinforced with 50% Wood (PP+W50)</t>
  </si>
  <si>
    <t>Aluminum metal foam and other metal foams</t>
  </si>
  <si>
    <t>Aluminum alloy based foams</t>
  </si>
  <si>
    <t>1.Open cell foam aluminium alloy Al6101</t>
  </si>
  <si>
    <t>2.Closed cell foam AL-Si(7-9%)-Mg(0.5-1%)alloy</t>
  </si>
  <si>
    <t>Metal composite hybrid</t>
  </si>
  <si>
    <t>Hybrid Laminates 1.Carbon/glass/epoxy (Fabrics)</t>
  </si>
  <si>
    <t>Hybrid Laminates 2.Laminates Carbon/glass/epoxy (Filament wound)</t>
  </si>
  <si>
    <t>Non-Hybrid Laminates 1.Glass/epoxy</t>
  </si>
  <si>
    <t>Non- Hybrid Laminates 2. Carbon/epoxy</t>
  </si>
  <si>
    <t>1.Polypropylene (PP)</t>
  </si>
  <si>
    <t>Polypropylene Block Copolymer (PPB)</t>
  </si>
  <si>
    <t>Polypropylene Impact Copolymer</t>
  </si>
  <si>
    <t>Polypropylene Random Copolymer (PPR)</t>
  </si>
  <si>
    <t>2.Polyamides PA or Nylon</t>
  </si>
  <si>
    <t>PA 6</t>
  </si>
  <si>
    <t>PA 66</t>
  </si>
  <si>
    <t>PA 46</t>
  </si>
  <si>
    <t>PA 6/10</t>
  </si>
  <si>
    <t>Polyphthalamide PPA</t>
  </si>
  <si>
    <t>3.Polyvinyl Chloride PVC</t>
  </si>
  <si>
    <t>Rigid polyvinyl chloride (Unplasticised) (UPVC)</t>
  </si>
  <si>
    <t>78.5</t>
  </si>
  <si>
    <t>Flexible polyvinyl chloride (Plasticised) (PVC)</t>
  </si>
  <si>
    <t>55.5</t>
  </si>
  <si>
    <t>Cotton/Jute fiber reinforced plastics</t>
  </si>
  <si>
    <t xml:space="preserve">Sugar cane plastics (PEF) </t>
  </si>
  <si>
    <t xml:space="preserve">Starch-based plastics; Corn Starch Polymers (Plastic) </t>
  </si>
  <si>
    <t>Acetal Copolymer +30%Glass Fiber</t>
  </si>
  <si>
    <t>Natural fibers reinforcement plastic</t>
  </si>
  <si>
    <t>Wood - Bamboo</t>
  </si>
  <si>
    <t>60.9</t>
  </si>
  <si>
    <t>High Density Polyethylene(HDPE)</t>
  </si>
  <si>
    <t>Wood (beech)</t>
  </si>
  <si>
    <t>Bamboo Fiber without plastic</t>
  </si>
  <si>
    <t>Cardboard (Virgin Fibers)</t>
  </si>
  <si>
    <t>Ultrasoft</t>
  </si>
  <si>
    <t>Cardboard (Recycled Fibers)</t>
  </si>
  <si>
    <t>Material properties weight</t>
  </si>
  <si>
    <t>Ductility (break)</t>
  </si>
  <si>
    <t>Ductility (yield)</t>
  </si>
  <si>
    <t xml:space="preserve">...significantly more important than ... </t>
  </si>
  <si>
    <t>…way more important than...</t>
  </si>
  <si>
    <t>...more important than...</t>
  </si>
  <si>
    <t>…less important than …</t>
  </si>
  <si>
    <t>…way less important than...</t>
  </si>
  <si>
    <t>…significantly less important than...</t>
  </si>
  <si>
    <t>CFRP</t>
  </si>
  <si>
    <t>GFRP</t>
  </si>
  <si>
    <t>BFRP</t>
  </si>
  <si>
    <t>Your height (cm)</t>
  </si>
  <si>
    <t>Your length of seat tube Road Bike (cm)</t>
  </si>
  <si>
    <t>Your length of seat tube Mountain Bike (cm)</t>
  </si>
  <si>
    <t>Personal Height (US)</t>
  </si>
  <si>
    <t>Personal Height (cm)</t>
  </si>
  <si>
    <t>Length of seat tube Road bike</t>
  </si>
  <si>
    <t>Length of seat tube Road bike (cm)</t>
  </si>
  <si>
    <t>Length of seat tube Mountain bike</t>
  </si>
  <si>
    <t>Length of seat tube Mountain bike (inch)</t>
  </si>
  <si>
    <t>Height (feet)</t>
  </si>
  <si>
    <t xml:space="preserve"> (inch)</t>
  </si>
  <si>
    <t>Height (cm)</t>
  </si>
  <si>
    <t>Length of seat tube Mountain bike (cm)</t>
  </si>
  <si>
    <t>4’8” – 5’1”</t>
  </si>
  <si>
    <t>143 – 155 cm</t>
  </si>
  <si>
    <t>44 – XXS</t>
  </si>
  <si>
    <t>13” – XXS</t>
  </si>
  <si>
    <t>5’1” – 5’4”</t>
  </si>
  <si>
    <t>155 – 163 cm</t>
  </si>
  <si>
    <t>48 – XS</t>
  </si>
  <si>
    <t>15” – XS</t>
  </si>
  <si>
    <t>Conversion</t>
  </si>
  <si>
    <t>5’4” – 5’7”</t>
  </si>
  <si>
    <t>163 – 170 cm</t>
  </si>
  <si>
    <t>51 – S</t>
  </si>
  <si>
    <t>16” – S</t>
  </si>
  <si>
    <t>feet</t>
  </si>
  <si>
    <t>cm</t>
  </si>
  <si>
    <t>inch</t>
  </si>
  <si>
    <t>5’7” – 5’10”</t>
  </si>
  <si>
    <t>170 – 178 cm</t>
  </si>
  <si>
    <t>54 – M</t>
  </si>
  <si>
    <t>18” – M</t>
  </si>
  <si>
    <t>5’10” – 6’0”</t>
  </si>
  <si>
    <t>178 – 183 cm</t>
  </si>
  <si>
    <t>56 – L</t>
  </si>
  <si>
    <t>19” – L</t>
  </si>
  <si>
    <t>6’0” – 6’3”</t>
  </si>
  <si>
    <t>183 – 191 cm</t>
  </si>
  <si>
    <t>58 – XL</t>
  </si>
  <si>
    <t>20” – XL</t>
  </si>
  <si>
    <t>6’3” – 6’5”</t>
  </si>
  <si>
    <t>191 – 196 cm</t>
  </si>
  <si>
    <t>60 – XXL</t>
  </si>
  <si>
    <t>21” – XXL</t>
  </si>
  <si>
    <t>6’5” – 6’9”</t>
  </si>
  <si>
    <t>196 – 205 cm</t>
  </si>
  <si>
    <t>62 - XXXL</t>
  </si>
  <si>
    <t>22” – XXXL</t>
  </si>
  <si>
    <t>Personal Height low(cm)</t>
  </si>
  <si>
    <t>Length of seat tube Road bike (size)</t>
  </si>
  <si>
    <t>Length of seat tube Mountain bike (size)</t>
  </si>
  <si>
    <t>Bike size Mountain Bike</t>
  </si>
  <si>
    <t>Your bike size Mountain bike</t>
  </si>
  <si>
    <t>Item ID</t>
  </si>
  <si>
    <t>Item</t>
  </si>
  <si>
    <t>Current Year</t>
  </si>
  <si>
    <t>I-001</t>
  </si>
  <si>
    <t>K-25-100</t>
  </si>
  <si>
    <t>I-002</t>
  </si>
  <si>
    <t>K-27-200</t>
  </si>
  <si>
    <t>I-003</t>
  </si>
  <si>
    <t>K-29-300</t>
  </si>
  <si>
    <t>I-004</t>
  </si>
  <si>
    <t>K-10-152</t>
  </si>
  <si>
    <t>I-005</t>
  </si>
  <si>
    <t>K-10-200</t>
  </si>
  <si>
    <t>I-006</t>
  </si>
  <si>
    <t>K-12-82-T3</t>
  </si>
  <si>
    <t>I-007</t>
  </si>
  <si>
    <t>K-15-150</t>
  </si>
  <si>
    <t>I-008</t>
  </si>
  <si>
    <t>K-15-100-T1</t>
  </si>
  <si>
    <t>I-009</t>
  </si>
  <si>
    <t>K-20-200-T2</t>
  </si>
  <si>
    <t>I-010</t>
  </si>
  <si>
    <t>K-15-110</t>
  </si>
  <si>
    <t>I-011</t>
  </si>
  <si>
    <t>K-20-220</t>
  </si>
  <si>
    <t>I-012</t>
  </si>
  <si>
    <t>K-17-250-T9</t>
  </si>
  <si>
    <t>I-013</t>
  </si>
  <si>
    <t>K-18-300-T10</t>
  </si>
  <si>
    <t>I-014</t>
  </si>
  <si>
    <t>K-19-350-T11</t>
  </si>
  <si>
    <t>I-015</t>
  </si>
  <si>
    <t>L-10-100</t>
  </si>
  <si>
    <t>I-016</t>
  </si>
  <si>
    <t>L-11-150</t>
  </si>
  <si>
    <t>I-017</t>
  </si>
  <si>
    <t>L-12-200</t>
  </si>
  <si>
    <t>I-018</t>
  </si>
  <si>
    <t>L-13-250</t>
  </si>
  <si>
    <t>I-019</t>
  </si>
  <si>
    <t>L-14-300</t>
  </si>
  <si>
    <t>I-020</t>
  </si>
  <si>
    <t>L-15-350</t>
  </si>
  <si>
    <t>I-021</t>
  </si>
  <si>
    <t>L-16-400</t>
  </si>
  <si>
    <t>I-022</t>
  </si>
  <si>
    <t>L-17-450</t>
  </si>
  <si>
    <t>I-023</t>
  </si>
  <si>
    <t>L-18-500</t>
  </si>
  <si>
    <t>I-024</t>
  </si>
  <si>
    <t>L-19-550-G1</t>
  </si>
  <si>
    <t>I-025</t>
  </si>
  <si>
    <t>L-20-600-G2</t>
  </si>
  <si>
    <t>I-026</t>
  </si>
  <si>
    <t>L-21-650-G3</t>
  </si>
  <si>
    <t>I-027</t>
  </si>
  <si>
    <t>L-22-700-G4</t>
  </si>
  <si>
    <t>I-028</t>
  </si>
  <si>
    <t>L-50-80-800</t>
  </si>
  <si>
    <t>I-029</t>
  </si>
  <si>
    <t>L-50-80-801</t>
  </si>
  <si>
    <t>I-030</t>
  </si>
  <si>
    <t>L-50-80-802</t>
  </si>
  <si>
    <t>I-031</t>
  </si>
  <si>
    <t>L-50-80-803</t>
  </si>
  <si>
    <t>I-032</t>
  </si>
  <si>
    <t>L-50-80-804</t>
  </si>
  <si>
    <t>I-033</t>
  </si>
  <si>
    <t>L-50-80-805</t>
  </si>
  <si>
    <t>I-034</t>
  </si>
  <si>
    <t>L-50-80-806</t>
  </si>
  <si>
    <t>I-035</t>
  </si>
  <si>
    <t>L-50-80-807</t>
  </si>
  <si>
    <t>I-036</t>
  </si>
  <si>
    <t>L-50-80-808</t>
  </si>
  <si>
    <t>I-037</t>
  </si>
  <si>
    <t>H-80-65-250-T3</t>
  </si>
  <si>
    <t>I-038</t>
  </si>
  <si>
    <t>H-80-65-300-T4</t>
  </si>
  <si>
    <t>I-039</t>
  </si>
  <si>
    <t>H-80-65-350-T5</t>
  </si>
  <si>
    <t>I-040</t>
  </si>
  <si>
    <t>H-80-65-400-T6</t>
  </si>
  <si>
    <t>I-041</t>
  </si>
  <si>
    <t>H-90-80-200</t>
  </si>
  <si>
    <t>I-042</t>
  </si>
  <si>
    <t>H-90-80-250</t>
  </si>
  <si>
    <t>I-043</t>
  </si>
  <si>
    <t>H-95-80-300</t>
  </si>
  <si>
    <t>I-044</t>
  </si>
  <si>
    <t>H-150-100-330</t>
  </si>
  <si>
    <t>I-045</t>
  </si>
  <si>
    <t>I-90-80-350</t>
  </si>
  <si>
    <t>I-046</t>
  </si>
  <si>
    <t>I-90-80-400</t>
  </si>
  <si>
    <t>I-047</t>
  </si>
  <si>
    <t>I-90-80-450</t>
  </si>
  <si>
    <t>I-048</t>
  </si>
  <si>
    <t>I-90-80-500</t>
  </si>
  <si>
    <t>I-049</t>
  </si>
  <si>
    <t>I-90-80-550</t>
  </si>
  <si>
    <t>I-050</t>
  </si>
  <si>
    <t>I-90-80-600</t>
  </si>
  <si>
    <t>I-051</t>
  </si>
  <si>
    <t>I-90-80-650</t>
  </si>
  <si>
    <t>I-052</t>
  </si>
  <si>
    <t>S-10-300-T3</t>
  </si>
  <si>
    <t>I-053</t>
  </si>
  <si>
    <t>S-10-300-T6</t>
  </si>
  <si>
    <t>I-054</t>
  </si>
  <si>
    <t>S-10-300-T7</t>
  </si>
  <si>
    <t>I-055</t>
  </si>
  <si>
    <t>S-10-300-T8</t>
  </si>
  <si>
    <t>I-056</t>
  </si>
  <si>
    <t>S-10-300-T9</t>
  </si>
  <si>
    <t>I-057</t>
  </si>
  <si>
    <t>S-10-300-T10</t>
  </si>
  <si>
    <t>I-058</t>
  </si>
  <si>
    <t>S-15-300-T11</t>
  </si>
  <si>
    <t>I-059</t>
  </si>
  <si>
    <t>S-15-300-T12</t>
  </si>
  <si>
    <t>I-060</t>
  </si>
  <si>
    <t>S-15-300-T13</t>
  </si>
  <si>
    <t>I-061</t>
  </si>
  <si>
    <t>S-15-300-T14</t>
  </si>
  <si>
    <t>I-062</t>
  </si>
  <si>
    <t>S-15-300-T15</t>
  </si>
  <si>
    <t>I-063</t>
  </si>
  <si>
    <t>S-15-300-T16</t>
  </si>
  <si>
    <t>I-064</t>
  </si>
  <si>
    <t>S-23-200</t>
  </si>
  <si>
    <t>I-065</t>
  </si>
  <si>
    <t>S-23-230</t>
  </si>
  <si>
    <t>I-066</t>
  </si>
  <si>
    <t>S-23-260</t>
  </si>
  <si>
    <t>I-067</t>
  </si>
  <si>
    <t>S-23-290</t>
  </si>
  <si>
    <t>I-068</t>
  </si>
  <si>
    <t>S-23-300</t>
  </si>
  <si>
    <t>I-069</t>
  </si>
  <si>
    <t>S-23-350</t>
  </si>
  <si>
    <t>I-070</t>
  </si>
  <si>
    <t>S-23-360</t>
  </si>
  <si>
    <t>I-071</t>
  </si>
  <si>
    <t>S-23-360-T3</t>
  </si>
  <si>
    <t>I-072</t>
  </si>
  <si>
    <t>S-23-360-T4</t>
  </si>
  <si>
    <t>I-073</t>
  </si>
  <si>
    <t>S-23-400-W</t>
  </si>
  <si>
    <t>I-074</t>
  </si>
  <si>
    <t>S-23-500</t>
  </si>
  <si>
    <t>I-075</t>
  </si>
  <si>
    <t>S-30-200</t>
  </si>
  <si>
    <t>I-076</t>
  </si>
  <si>
    <t>S-30-230</t>
  </si>
  <si>
    <t>I-077</t>
  </si>
  <si>
    <t>S-30-260</t>
  </si>
  <si>
    <t>I-078</t>
  </si>
  <si>
    <t>S-30-290</t>
  </si>
  <si>
    <t>I-079</t>
  </si>
  <si>
    <t>S-30-300</t>
  </si>
  <si>
    <t>I-080</t>
  </si>
  <si>
    <t>S-52-400</t>
  </si>
  <si>
    <t>I-081</t>
  </si>
  <si>
    <t>S-52-600</t>
  </si>
  <si>
    <t>I-082</t>
  </si>
  <si>
    <t>S-52-800</t>
  </si>
  <si>
    <t>I-083</t>
  </si>
  <si>
    <t>S-75-850</t>
  </si>
  <si>
    <t>I-084</t>
  </si>
  <si>
    <t>S-75-851</t>
  </si>
  <si>
    <t>I-085</t>
  </si>
  <si>
    <t>S-75-852</t>
  </si>
  <si>
    <t>I-086</t>
  </si>
  <si>
    <t>S-75-853</t>
  </si>
  <si>
    <t>I-087</t>
  </si>
  <si>
    <t>S-75-854</t>
  </si>
  <si>
    <t>I-088</t>
  </si>
  <si>
    <t>S-75-855</t>
  </si>
  <si>
    <t>I-089</t>
  </si>
  <si>
    <t>S-75-856</t>
  </si>
  <si>
    <t>I-090</t>
  </si>
  <si>
    <t>S-75-857</t>
  </si>
  <si>
    <t>I-091</t>
  </si>
  <si>
    <t>S-75-858</t>
  </si>
  <si>
    <t>I-092</t>
  </si>
  <si>
    <t>S-75-859</t>
  </si>
  <si>
    <t>I-093</t>
  </si>
  <si>
    <t>S-75-860</t>
  </si>
  <si>
    <t>I-094</t>
  </si>
  <si>
    <t>S-75-861</t>
  </si>
  <si>
    <t>I-095</t>
  </si>
  <si>
    <t>S-75-862</t>
  </si>
  <si>
    <t>I-096</t>
  </si>
  <si>
    <t>S-75-863</t>
  </si>
  <si>
    <t>I-097</t>
  </si>
  <si>
    <t>S-75-864</t>
  </si>
  <si>
    <t>I-098</t>
  </si>
  <si>
    <t>S-75-865</t>
  </si>
  <si>
    <t>I-099</t>
  </si>
  <si>
    <t>S-75-866</t>
  </si>
  <si>
    <t>I-100</t>
  </si>
  <si>
    <t>S-75-867</t>
  </si>
  <si>
    <t>I-101</t>
  </si>
  <si>
    <t>S-75-868</t>
  </si>
  <si>
    <t>I-102</t>
  </si>
  <si>
    <t>S-75-869</t>
  </si>
  <si>
    <t>I-103</t>
  </si>
  <si>
    <t>S-75-870</t>
  </si>
  <si>
    <t>I-104</t>
  </si>
  <si>
    <t>S-75-871</t>
  </si>
  <si>
    <t>I-105</t>
  </si>
  <si>
    <t>S-75-872</t>
  </si>
  <si>
    <t>I-106</t>
  </si>
  <si>
    <t>S-75-873</t>
  </si>
  <si>
    <t>I-107</t>
  </si>
  <si>
    <t>S-75-874</t>
  </si>
  <si>
    <t>I-108</t>
  </si>
  <si>
    <t>S-75-875</t>
  </si>
  <si>
    <t>I-109</t>
  </si>
  <si>
    <t>S-75-876</t>
  </si>
  <si>
    <t>I-110</t>
  </si>
  <si>
    <t>S-75-877</t>
  </si>
  <si>
    <t>I-111</t>
  </si>
  <si>
    <t>S-75-878</t>
  </si>
  <si>
    <t>I-112</t>
  </si>
  <si>
    <t>S-75-879</t>
  </si>
  <si>
    <t>I-113</t>
  </si>
  <si>
    <t>S-75-880</t>
  </si>
  <si>
    <t>I-114</t>
  </si>
  <si>
    <t>S-75-881</t>
  </si>
  <si>
    <t>I-115</t>
  </si>
  <si>
    <t>S-75-882</t>
  </si>
  <si>
    <t>I-116</t>
  </si>
  <si>
    <t>S-75-883</t>
  </si>
  <si>
    <t>I-117</t>
  </si>
  <si>
    <t>S-75-884</t>
  </si>
  <si>
    <t>I-118</t>
  </si>
  <si>
    <t>S-75-885</t>
  </si>
  <si>
    <t>I-119</t>
  </si>
  <si>
    <t>S-75-886</t>
  </si>
  <si>
    <t>I-120</t>
  </si>
  <si>
    <t>S-75-887</t>
  </si>
  <si>
    <t>I-121</t>
  </si>
  <si>
    <t>S-75-888</t>
  </si>
  <si>
    <t>I-122</t>
  </si>
  <si>
    <t>S-75-889</t>
  </si>
  <si>
    <t>I-123</t>
  </si>
  <si>
    <t>S-75-890</t>
  </si>
  <si>
    <t>I-124</t>
  </si>
  <si>
    <t>S-75-891</t>
  </si>
  <si>
    <t>I-125</t>
  </si>
  <si>
    <t>S-75-892</t>
  </si>
  <si>
    <t>I-126</t>
  </si>
  <si>
    <t>S-75-893</t>
  </si>
  <si>
    <t>I-127</t>
  </si>
  <si>
    <t>S-75-894</t>
  </si>
  <si>
    <t>I-128</t>
  </si>
  <si>
    <t>S-75-895</t>
  </si>
  <si>
    <t>I-129</t>
  </si>
  <si>
    <t>S-75-896</t>
  </si>
  <si>
    <t>I-130</t>
  </si>
  <si>
    <t>S-75-897</t>
  </si>
  <si>
    <t>I-131</t>
  </si>
  <si>
    <t>S-75-898</t>
  </si>
  <si>
    <t>I-132</t>
  </si>
  <si>
    <t>S-75-899</t>
  </si>
  <si>
    <t>I-133</t>
  </si>
  <si>
    <t>S-75-900</t>
  </si>
  <si>
    <t>I-134</t>
  </si>
  <si>
    <t>S-75-901</t>
  </si>
  <si>
    <t>I-135</t>
  </si>
  <si>
    <t>S-75-902</t>
  </si>
  <si>
    <t>I-136</t>
  </si>
  <si>
    <t>S-75-903</t>
  </si>
  <si>
    <t>I-137</t>
  </si>
  <si>
    <t>S-75-904</t>
  </si>
  <si>
    <t>I-138</t>
  </si>
  <si>
    <t>S-75-905</t>
  </si>
  <si>
    <t>I-139</t>
  </si>
  <si>
    <t>S-75-906</t>
  </si>
  <si>
    <t>I-140</t>
  </si>
  <si>
    <t>S-75-907</t>
  </si>
  <si>
    <t>I-141</t>
  </si>
  <si>
    <t>S-75-908</t>
  </si>
  <si>
    <t>I-142</t>
  </si>
  <si>
    <t>S-75-909</t>
  </si>
  <si>
    <t>I-143</t>
  </si>
  <si>
    <t>S-75-910</t>
  </si>
  <si>
    <t>I-144</t>
  </si>
  <si>
    <t>S-75-911</t>
  </si>
  <si>
    <t>I-145</t>
  </si>
  <si>
    <t>S-75-912</t>
  </si>
  <si>
    <t>I-146</t>
  </si>
  <si>
    <t>S-75-913</t>
  </si>
  <si>
    <t>I-147</t>
  </si>
  <si>
    <t>S-75-914</t>
  </si>
  <si>
    <t>I-148</t>
  </si>
  <si>
    <t>S-75-915</t>
  </si>
  <si>
    <t>I-149</t>
  </si>
  <si>
    <t>S-75-916</t>
  </si>
  <si>
    <t>I-150</t>
  </si>
  <si>
    <t>S-75-917</t>
  </si>
  <si>
    <t>I-151</t>
  </si>
  <si>
    <t>S-75-918</t>
  </si>
  <si>
    <t>I-152</t>
  </si>
  <si>
    <t>S-75-919</t>
  </si>
  <si>
    <t>I-153</t>
  </si>
  <si>
    <t>S-75-920</t>
  </si>
  <si>
    <t>I-154</t>
  </si>
  <si>
    <t>S-75-921</t>
  </si>
  <si>
    <t>I-155</t>
  </si>
  <si>
    <t>S-75-922</t>
  </si>
  <si>
    <t>I-156</t>
  </si>
  <si>
    <t>S-75-923</t>
  </si>
  <si>
    <t>I-157</t>
  </si>
  <si>
    <t>S-75-924</t>
  </si>
  <si>
    <t>I-158</t>
  </si>
  <si>
    <t>S-75-925</t>
  </si>
  <si>
    <t>I-159</t>
  </si>
  <si>
    <t>S-75-926</t>
  </si>
  <si>
    <t>I-160</t>
  </si>
  <si>
    <t>S-75-927</t>
  </si>
  <si>
    <t>I-161</t>
  </si>
  <si>
    <t>S-75-928</t>
  </si>
  <si>
    <t>I-162</t>
  </si>
  <si>
    <t>S-75-929</t>
  </si>
  <si>
    <t>I-163</t>
  </si>
  <si>
    <t>S-75-930</t>
  </si>
  <si>
    <t>I-164</t>
  </si>
  <si>
    <t>S-75-931</t>
  </si>
  <si>
    <t>I-165</t>
  </si>
  <si>
    <t>S-75-932</t>
  </si>
  <si>
    <t>I-166</t>
  </si>
  <si>
    <t>S-75-933</t>
  </si>
  <si>
    <t>I-167</t>
  </si>
  <si>
    <t>S-75-934</t>
  </si>
  <si>
    <t>I-168</t>
  </si>
  <si>
    <t>S-75-935</t>
  </si>
  <si>
    <t>I-169</t>
  </si>
  <si>
    <t>S-75-936</t>
  </si>
  <si>
    <t>I-170</t>
  </si>
  <si>
    <t>S-75-937</t>
  </si>
  <si>
    <t>I-171</t>
  </si>
  <si>
    <t>S-75-938</t>
  </si>
  <si>
    <t>I-172</t>
  </si>
  <si>
    <t>S-75-939</t>
  </si>
  <si>
    <t>I-173</t>
  </si>
  <si>
    <t>S-75-940</t>
  </si>
  <si>
    <t>I-174</t>
  </si>
  <si>
    <t>S-75-941</t>
  </si>
  <si>
    <t>I-175</t>
  </si>
  <si>
    <t>S-75-942</t>
  </si>
  <si>
    <t>I-176</t>
  </si>
  <si>
    <t>S-75-943</t>
  </si>
  <si>
    <t>I-177</t>
  </si>
  <si>
    <t>S-75-944</t>
  </si>
  <si>
    <t>I-178</t>
  </si>
  <si>
    <t>S-75-945</t>
  </si>
  <si>
    <t>I-179</t>
  </si>
  <si>
    <t>S-75-946</t>
  </si>
  <si>
    <t>I-180</t>
  </si>
  <si>
    <t>S-75-947</t>
  </si>
  <si>
    <t>I-181</t>
  </si>
  <si>
    <t>S-75-948</t>
  </si>
  <si>
    <t>I-182</t>
  </si>
  <si>
    <t>S-75-949</t>
  </si>
  <si>
    <t>I-183</t>
  </si>
  <si>
    <t>S-75-950</t>
  </si>
  <si>
    <t>I-184</t>
  </si>
  <si>
    <t>S-75-951</t>
  </si>
  <si>
    <t>I-185</t>
  </si>
  <si>
    <t>S-75-952</t>
  </si>
  <si>
    <t>I-186</t>
  </si>
  <si>
    <t>S-75-953</t>
  </si>
  <si>
    <t>I-187</t>
  </si>
  <si>
    <t>S-75-954</t>
  </si>
  <si>
    <t>I-188</t>
  </si>
  <si>
    <t>S-75-955</t>
  </si>
  <si>
    <t>I-189</t>
  </si>
  <si>
    <t>S-75-956</t>
  </si>
  <si>
    <t>I-190</t>
  </si>
  <si>
    <t>S-75-957</t>
  </si>
  <si>
    <t>I-191</t>
  </si>
  <si>
    <t>S-75-958</t>
  </si>
  <si>
    <t>I-192</t>
  </si>
  <si>
    <t>S-75-959</t>
  </si>
  <si>
    <t>I-193</t>
  </si>
  <si>
    <t>S-75-960</t>
  </si>
  <si>
    <t>I-194</t>
  </si>
  <si>
    <t>S-75-961</t>
  </si>
  <si>
    <t>I-195</t>
  </si>
  <si>
    <t>S-75-962</t>
  </si>
  <si>
    <t>I-196</t>
  </si>
  <si>
    <t>S-75-963</t>
  </si>
  <si>
    <t>I-197</t>
  </si>
  <si>
    <t>S-75-964</t>
  </si>
  <si>
    <t>I-198</t>
  </si>
  <si>
    <t>S-75-965</t>
  </si>
  <si>
    <t>I-199</t>
  </si>
  <si>
    <t>S-75-966</t>
  </si>
  <si>
    <t>I-200</t>
  </si>
  <si>
    <t>S-75-967</t>
  </si>
  <si>
    <t>Annual Output</t>
  </si>
  <si>
    <t>Cum. Output</t>
  </si>
  <si>
    <t>Share [%]</t>
  </si>
  <si>
    <t>Cum. Share [%]</t>
  </si>
  <si>
    <t xml:space="preserve">Assembly Part No:  </t>
  </si>
  <si>
    <t xml:space="preserve">Authored By:  </t>
  </si>
  <si>
    <t>James Smith</t>
  </si>
  <si>
    <t>Level Symbol</t>
  </si>
  <si>
    <t>Units of Measure</t>
  </si>
  <si>
    <t>BOM Levels</t>
  </si>
  <si>
    <t>Revision</t>
  </si>
  <si>
    <t>Make/Buy</t>
  </si>
  <si>
    <t xml:space="preserve">Assembly Name:  </t>
  </si>
  <si>
    <t xml:space="preserve">Approved On:  </t>
  </si>
  <si>
    <t>•</t>
  </si>
  <si>
    <t>EACH</t>
  </si>
  <si>
    <t>A</t>
  </si>
  <si>
    <t>MAKE</t>
  </si>
  <si>
    <t xml:space="preserve">Assembly Revision:  </t>
  </si>
  <si>
    <t xml:space="preserve">Approved By:  </t>
  </si>
  <si>
    <t>Yilmaz Uygun</t>
  </si>
  <si>
    <t xml:space="preserve"> </t>
  </si>
  <si>
    <t>CM</t>
  </si>
  <si>
    <t>B</t>
  </si>
  <si>
    <t>BUY</t>
  </si>
  <si>
    <t>CM²</t>
  </si>
  <si>
    <t>C</t>
  </si>
  <si>
    <t>BOM  LEVEL</t>
  </si>
  <si>
    <t>FT</t>
  </si>
  <si>
    <t>D</t>
  </si>
  <si>
    <t>LVL</t>
  </si>
  <si>
    <t>BOM ID</t>
  </si>
  <si>
    <t>PART NO</t>
  </si>
  <si>
    <t>NAME / DESCRIPTION</t>
  </si>
  <si>
    <t>REV</t>
  </si>
  <si>
    <t>QTY</t>
  </si>
  <si>
    <t>UOM</t>
  </si>
  <si>
    <t>REF DES</t>
  </si>
  <si>
    <t>M/B</t>
  </si>
  <si>
    <t>SUPPLIER</t>
  </si>
  <si>
    <t>SUPPLIER P/N</t>
  </si>
  <si>
    <t>MATERIAL</t>
  </si>
  <si>
    <t>FINISH</t>
  </si>
  <si>
    <t>NOTES</t>
  </si>
  <si>
    <t>FT²</t>
  </si>
  <si>
    <t>E</t>
  </si>
  <si>
    <t>make</t>
  </si>
  <si>
    <t>GAL</t>
  </si>
  <si>
    <t>F</t>
  </si>
  <si>
    <t>IN</t>
  </si>
  <si>
    <t>G</t>
  </si>
  <si>
    <t>Stainless Steel X12Cr13</t>
  </si>
  <si>
    <t>IN²</t>
  </si>
  <si>
    <t>H</t>
  </si>
  <si>
    <t>Shaft</t>
  </si>
  <si>
    <t>L</t>
  </si>
  <si>
    <t>M</t>
  </si>
  <si>
    <t>K</t>
  </si>
  <si>
    <t>ML</t>
  </si>
  <si>
    <t>MM</t>
  </si>
  <si>
    <t>MM²</t>
  </si>
  <si>
    <t>N</t>
  </si>
  <si>
    <t>OZ</t>
  </si>
  <si>
    <t>P</t>
  </si>
  <si>
    <t>R</t>
  </si>
  <si>
    <t>T</t>
  </si>
  <si>
    <t>U</t>
  </si>
  <si>
    <t>buy</t>
  </si>
  <si>
    <t>V</t>
  </si>
  <si>
    <t>POM</t>
  </si>
  <si>
    <t>W</t>
  </si>
  <si>
    <t>Neodym</t>
  </si>
  <si>
    <t>Y</t>
  </si>
  <si>
    <t>AA</t>
  </si>
  <si>
    <t>Enameled copper</t>
  </si>
  <si>
    <t>AB</t>
  </si>
  <si>
    <t>AC</t>
  </si>
  <si>
    <t>AD</t>
  </si>
  <si>
    <t>AE</t>
  </si>
  <si>
    <t xml:space="preserve">Cables </t>
  </si>
  <si>
    <t>AF</t>
  </si>
  <si>
    <t>AG</t>
  </si>
  <si>
    <t>AH</t>
  </si>
  <si>
    <t>AJ</t>
  </si>
  <si>
    <t>AK</t>
  </si>
  <si>
    <t>AL</t>
  </si>
  <si>
    <t>AM</t>
  </si>
  <si>
    <t>AN</t>
  </si>
  <si>
    <t>AP</t>
  </si>
  <si>
    <t>AR</t>
  </si>
  <si>
    <t>AT</t>
  </si>
  <si>
    <t>AU</t>
  </si>
  <si>
    <t>AV</t>
  </si>
  <si>
    <t>AW</t>
  </si>
  <si>
    <t>AY</t>
  </si>
  <si>
    <t>Part</t>
  </si>
  <si>
    <t>Operation (OP)</t>
  </si>
  <si>
    <t>Work Station</t>
  </si>
  <si>
    <t>length [mm]</t>
  </si>
  <si>
    <t>width [mm]</t>
  </si>
  <si>
    <t>hight [mm]</t>
  </si>
  <si>
    <t>Execution time [s]</t>
  </si>
  <si>
    <t>Lot size</t>
  </si>
  <si>
    <t>Remarks</t>
  </si>
  <si>
    <t>Provide raw material</t>
  </si>
  <si>
    <t>RAW-MAT-INV</t>
  </si>
  <si>
    <t>Sawing upper end</t>
  </si>
  <si>
    <t>SAW-10-421</t>
  </si>
  <si>
    <t>Milling front</t>
  </si>
  <si>
    <t>MIL-10-150-401</t>
  </si>
  <si>
    <t>Milling back</t>
  </si>
  <si>
    <t>MIL-H21-604</t>
  </si>
  <si>
    <t>Drill a center hole</t>
  </si>
  <si>
    <t>DR-2A2-202</t>
  </si>
  <si>
    <t>M08</t>
  </si>
  <si>
    <t>Sawing lower end</t>
  </si>
  <si>
    <t>SAW-30-150-251</t>
  </si>
  <si>
    <t>Tempering</t>
  </si>
  <si>
    <t>TEMP-A01-202</t>
  </si>
  <si>
    <t>Storing</t>
  </si>
  <si>
    <t>FIN-GOOD-INV</t>
  </si>
  <si>
    <t>WS Type</t>
  </si>
  <si>
    <t>Setup Time [min]</t>
  </si>
  <si>
    <t>Capacity[h]</t>
  </si>
  <si>
    <t>Length [mm]</t>
  </si>
  <si>
    <t>Width [mm]</t>
  </si>
  <si>
    <t>WS-01</t>
  </si>
  <si>
    <t>MIL-AB-361</t>
  </si>
  <si>
    <t>WS-02</t>
  </si>
  <si>
    <t>TUR-B2-362</t>
  </si>
  <si>
    <t>WS-03</t>
  </si>
  <si>
    <t>MIL-A31-363</t>
  </si>
  <si>
    <t>WS-04</t>
  </si>
  <si>
    <t>TUR-A4-364</t>
  </si>
  <si>
    <t>WS-05</t>
  </si>
  <si>
    <t>MIL-A2-365</t>
  </si>
  <si>
    <t>WS-06</t>
  </si>
  <si>
    <t>TUR-C1-366</t>
  </si>
  <si>
    <t>WS-07</t>
  </si>
  <si>
    <t>TUR-C2-367</t>
  </si>
  <si>
    <t>WS-08</t>
  </si>
  <si>
    <t>WS-09</t>
  </si>
  <si>
    <t>TUR-20-120-402</t>
  </si>
  <si>
    <t>WS-10</t>
  </si>
  <si>
    <t>TUR-20-180-403</t>
  </si>
  <si>
    <t>WS-11</t>
  </si>
  <si>
    <t>TUR-40-100-404</t>
  </si>
  <si>
    <t>WS-12</t>
  </si>
  <si>
    <t>TUR-15-250-405</t>
  </si>
  <si>
    <t>WS-13</t>
  </si>
  <si>
    <t>TUR-6-Sp1-406</t>
  </si>
  <si>
    <t>WS-14</t>
  </si>
  <si>
    <t>TUR-6-Sp2-407</t>
  </si>
  <si>
    <t>WS-15</t>
  </si>
  <si>
    <t>TUR-6-Sp3-408</t>
  </si>
  <si>
    <t>WS-16</t>
  </si>
  <si>
    <t>TUR-6-Sp4-409</t>
  </si>
  <si>
    <t>WS-17</t>
  </si>
  <si>
    <t>MIL-H1-601</t>
  </si>
  <si>
    <t>WS-18</t>
  </si>
  <si>
    <t>MIL-V2-602</t>
  </si>
  <si>
    <t>WS-19</t>
  </si>
  <si>
    <t>MIL-V31-603</t>
  </si>
  <si>
    <t>WS-20</t>
  </si>
  <si>
    <t>WS-21</t>
  </si>
  <si>
    <t>MIL-U1-605</t>
  </si>
  <si>
    <t>WS-22</t>
  </si>
  <si>
    <t>MIL-H2-606</t>
  </si>
  <si>
    <t>WS-23</t>
  </si>
  <si>
    <t>MIL-U2-607</t>
  </si>
  <si>
    <t>WS-24</t>
  </si>
  <si>
    <t>MIL-V5-608</t>
  </si>
  <si>
    <t>WS-25</t>
  </si>
  <si>
    <t>DR-2A-201</t>
  </si>
  <si>
    <t>WS-26</t>
  </si>
  <si>
    <t>WS-27</t>
  </si>
  <si>
    <t>GR-T1-203</t>
  </si>
  <si>
    <t>WS-28</t>
  </si>
  <si>
    <t>DR-T3-204</t>
  </si>
  <si>
    <t>WS-29</t>
  </si>
  <si>
    <t>GR-T11-250</t>
  </si>
  <si>
    <t>WS-30</t>
  </si>
  <si>
    <t>DR-3A-206</t>
  </si>
  <si>
    <t>WS-31</t>
  </si>
  <si>
    <t>DR-3AW-207</t>
  </si>
  <si>
    <t>WS-32</t>
  </si>
  <si>
    <t>WS-33</t>
  </si>
  <si>
    <t>SAW-50-150-252</t>
  </si>
  <si>
    <t>WS-34</t>
  </si>
  <si>
    <t>SAW-30-160-252</t>
  </si>
  <si>
    <t>WS-35</t>
  </si>
  <si>
    <t>SAW-35-100-254</t>
  </si>
  <si>
    <t>WS-36</t>
  </si>
  <si>
    <t>WS-37</t>
  </si>
  <si>
    <t>SAW-50-422</t>
  </si>
  <si>
    <t>WS-38</t>
  </si>
  <si>
    <t>SAW-150-423</t>
  </si>
  <si>
    <t>WS-39</t>
  </si>
  <si>
    <t>SAW-400-424</t>
  </si>
  <si>
    <t>WS-40</t>
  </si>
  <si>
    <t>SAW-CNC-40-425</t>
  </si>
  <si>
    <t>WS-41</t>
  </si>
  <si>
    <t>SAW-CNC-60-425</t>
  </si>
  <si>
    <t>WS-42</t>
  </si>
  <si>
    <t>WS-43</t>
  </si>
  <si>
    <t>WS-44</t>
  </si>
  <si>
    <t>OP</t>
  </si>
  <si>
    <t>Execution Time [s]</t>
  </si>
  <si>
    <t xml:space="preserve">Lot Size </t>
  </si>
  <si>
    <t>Operation</t>
  </si>
  <si>
    <t>Sorted</t>
  </si>
  <si>
    <t>Inv</t>
  </si>
  <si>
    <t>Sawing</t>
  </si>
  <si>
    <t>Turning</t>
  </si>
  <si>
    <t>Milling</t>
  </si>
  <si>
    <t>Drilling</t>
  </si>
  <si>
    <t>Grinding</t>
  </si>
  <si>
    <t>Temp</t>
  </si>
  <si>
    <t>Unsorted</t>
  </si>
  <si>
    <t>e-Bike Men 28-03</t>
  </si>
  <si>
    <t>Handle bar</t>
  </si>
  <si>
    <t>Frame</t>
  </si>
  <si>
    <t>Brakes</t>
  </si>
  <si>
    <t>Tyre</t>
  </si>
  <si>
    <t>Rim</t>
  </si>
  <si>
    <t>Tube</t>
  </si>
  <si>
    <t>Valve</t>
  </si>
  <si>
    <t>Seat</t>
  </si>
  <si>
    <t>Luggage Carrier</t>
  </si>
  <si>
    <t>Fender front</t>
  </si>
  <si>
    <t>Fender back</t>
  </si>
  <si>
    <t>Pedal assembly</t>
  </si>
  <si>
    <t>Chain</t>
  </si>
  <si>
    <t>Pedal</t>
  </si>
  <si>
    <t>Gear wheel</t>
  </si>
  <si>
    <t>Lights back</t>
  </si>
  <si>
    <t>Lights front</t>
  </si>
  <si>
    <t>1001-01</t>
  </si>
  <si>
    <t>1001-02</t>
  </si>
  <si>
    <t>1001-03</t>
  </si>
  <si>
    <t>1001-04</t>
  </si>
  <si>
    <t>1001-05</t>
  </si>
  <si>
    <t>1001-06</t>
  </si>
  <si>
    <t>1001-07</t>
  </si>
  <si>
    <t>1001-08</t>
  </si>
  <si>
    <t>1001-09</t>
  </si>
  <si>
    <t>1001-10</t>
  </si>
  <si>
    <t>1001-11</t>
  </si>
  <si>
    <t>1001-12</t>
  </si>
  <si>
    <t>1001-13</t>
  </si>
  <si>
    <t>1001-04-01</t>
  </si>
  <si>
    <t>1001-04-02</t>
  </si>
  <si>
    <t>1001-04-03</t>
  </si>
  <si>
    <t>1001-04-04</t>
  </si>
  <si>
    <t>1001-09-01</t>
  </si>
  <si>
    <t>1001-09-02</t>
  </si>
  <si>
    <t>1001-09-03</t>
  </si>
  <si>
    <t>1001-09-04</t>
  </si>
  <si>
    <t>PA6</t>
  </si>
  <si>
    <t>PLA</t>
  </si>
  <si>
    <t>COST per Piece</t>
  </si>
  <si>
    <t>Motor</t>
  </si>
  <si>
    <t>Bosch</t>
  </si>
  <si>
    <t>BOM</t>
  </si>
  <si>
    <t>x</t>
  </si>
  <si>
    <t>Wheel assembly</t>
  </si>
  <si>
    <t>ITEM ID &amp; OP</t>
  </si>
  <si>
    <t>WS</t>
  </si>
  <si>
    <t>Annual Ouput</t>
  </si>
  <si>
    <t>Production Lot Size</t>
  </si>
  <si>
    <t>Annual Production Lots</t>
  </si>
  <si>
    <t>Execution Time [min]</t>
  </si>
  <si>
    <t>Annual Total Cycle Time [min/a]</t>
  </si>
  <si>
    <t>Annual Cycle Time [h/a]</t>
  </si>
  <si>
    <t>Annual Production Lots Rank</t>
  </si>
  <si>
    <t>Min Lots per WS</t>
  </si>
  <si>
    <t>Max Lots per WS2</t>
  </si>
  <si>
    <t>Different Lots</t>
  </si>
  <si>
    <t>Unique Distinct Values of WS</t>
  </si>
  <si>
    <t>Helper Table</t>
  </si>
  <si>
    <t>Annual Business Days [d]</t>
  </si>
  <si>
    <t>Labor Hours per Day [h/d]</t>
  </si>
  <si>
    <t>Performance</t>
  </si>
  <si>
    <t>Effective Annual Labor Hours</t>
  </si>
  <si>
    <t>Required Annual Total Cycle Time per WS [h/a]</t>
  </si>
  <si>
    <t>Annual Labor Hours [h/a]</t>
  </si>
  <si>
    <t># of Required Machines</t>
  </si>
  <si>
    <t>Machine Footprint</t>
  </si>
  <si>
    <t>Space Coefficient</t>
  </si>
  <si>
    <t>a</t>
  </si>
  <si>
    <t>b</t>
  </si>
  <si>
    <t>f(x)= exp(-0.6x+b)+3</t>
  </si>
  <si>
    <t>Calculation of Individual Work Place</t>
  </si>
  <si>
    <t>Calculation of Functional Areas</t>
  </si>
  <si>
    <t># of work stations</t>
  </si>
  <si>
    <r>
      <t>A</t>
    </r>
    <r>
      <rPr>
        <b/>
        <vertAlign val="subscript"/>
        <sz val="12"/>
        <color theme="0"/>
        <rFont val="Arial"/>
        <family val="2"/>
      </rPr>
      <t>T</t>
    </r>
    <r>
      <rPr>
        <b/>
        <sz val="12"/>
        <color theme="0"/>
        <rFont val="Arial"/>
        <family val="2"/>
      </rPr>
      <t xml:space="preserve">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</si>
  <si>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A</t>
    </r>
    <r>
      <rPr>
        <b/>
        <vertAlign val="subscript"/>
        <sz val="12"/>
        <color theme="0"/>
        <rFont val="Arial"/>
        <family val="2"/>
      </rPr>
      <t xml:space="preserve">­WIP </t>
    </r>
    <r>
      <rPr>
        <b/>
        <sz val="12"/>
        <color theme="0"/>
        <rFont val="Arial"/>
        <family val="2"/>
      </rPr>
      <t>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</si>
  <si>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A</t>
    </r>
    <r>
      <rPr>
        <b/>
        <vertAlign val="subscript"/>
        <sz val="12"/>
        <color theme="0"/>
        <rFont val="Arial"/>
        <family val="2"/>
      </rPr>
      <t xml:space="preserve">F </t>
    </r>
    <r>
      <rPr>
        <b/>
        <sz val="12"/>
        <color theme="0"/>
        <rFont val="Arial"/>
        <family val="2"/>
      </rPr>
      <t>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</si>
  <si>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A</t>
    </r>
    <r>
      <rPr>
        <b/>
        <vertAlign val="subscript"/>
        <sz val="12"/>
        <color theme="0"/>
        <rFont val="Arial"/>
        <family val="2"/>
      </rPr>
      <t>Q</t>
    </r>
    <r>
      <rPr>
        <b/>
        <sz val="12"/>
        <color theme="0"/>
        <rFont val="Arial"/>
        <family val="2"/>
      </rPr>
      <t xml:space="preserve">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</si>
  <si>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Raw Material Storage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</si>
  <si>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Components Storage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</si>
  <si>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Special Area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</si>
  <si>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Functional Area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</si>
  <si>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r>
      <t>L</t>
    </r>
    <r>
      <rPr>
        <b/>
        <vertAlign val="subscript"/>
        <sz val="12"/>
        <color theme="0"/>
        <rFont val="Arial"/>
        <family val="2"/>
      </rPr>
      <t>M</t>
    </r>
    <r>
      <rPr>
        <b/>
        <sz val="12"/>
        <color theme="0"/>
        <rFont val="Arial"/>
        <family val="2"/>
      </rPr>
      <t xml:space="preserve">  [m]</t>
    </r>
  </si>
  <si>
    <r>
      <t>W</t>
    </r>
    <r>
      <rPr>
        <b/>
        <vertAlign val="subscript"/>
        <sz val="12"/>
        <color theme="0"/>
        <rFont val="Arial"/>
        <family val="2"/>
      </rPr>
      <t>M</t>
    </r>
    <r>
      <rPr>
        <b/>
        <sz val="12"/>
        <color theme="0"/>
        <rFont val="Arial"/>
        <family val="2"/>
      </rPr>
      <t xml:space="preserve">  [m]</t>
    </r>
  </si>
  <si>
    <r>
      <t>Sq. Footage M [m</t>
    </r>
    <r>
      <rPr>
        <b/>
        <vertAlign val="superscript"/>
        <sz val="12"/>
        <color theme="0"/>
        <rFont val="Arial"/>
        <family val="2"/>
      </rPr>
      <t>2</t>
    </r>
    <r>
      <rPr>
        <b/>
        <sz val="12"/>
        <color theme="0"/>
        <rFont val="Arial"/>
        <family val="2"/>
      </rPr>
      <t>]</t>
    </r>
  </si>
  <si>
    <t>Total Space of Machine /Work Station</t>
  </si>
  <si>
    <t>From</t>
  </si>
  <si>
    <t>To</t>
  </si>
  <si>
    <t>Output</t>
  </si>
  <si>
    <t>Cumulative Material Flow Matrix</t>
  </si>
  <si>
    <t>Transportation Units</t>
  </si>
  <si>
    <t>Distances in:</t>
  </si>
  <si>
    <t>m</t>
  </si>
  <si>
    <t>Transportation Intensity</t>
  </si>
  <si>
    <t>[m*TU]</t>
  </si>
  <si>
    <t>Shape Size</t>
  </si>
  <si>
    <t>Arrow Size</t>
  </si>
  <si>
    <t>Cluster</t>
  </si>
  <si>
    <t>Reach</t>
  </si>
  <si>
    <t>Distance in cm</t>
  </si>
  <si>
    <t>Time in TMU</t>
  </si>
  <si>
    <t>Hand in motion</t>
  </si>
  <si>
    <t>Grasp</t>
  </si>
  <si>
    <t>Type of Grasp</t>
  </si>
  <si>
    <t>Case</t>
  </si>
  <si>
    <t>Pickup</t>
  </si>
  <si>
    <t>1A</t>
  </si>
  <si>
    <t>1B</t>
  </si>
  <si>
    <t>1C1</t>
  </si>
  <si>
    <t>1C2</t>
  </si>
  <si>
    <t>1C3</t>
  </si>
  <si>
    <t>Regrasp</t>
  </si>
  <si>
    <t>Transfer</t>
  </si>
  <si>
    <t>Select</t>
  </si>
  <si>
    <t>4A</t>
  </si>
  <si>
    <t>4B</t>
  </si>
  <si>
    <t>4C</t>
  </si>
  <si>
    <t>Contact</t>
  </si>
  <si>
    <t>Move</t>
  </si>
  <si>
    <t>Weight Allowances</t>
  </si>
  <si>
    <t>Weight in kg</t>
  </si>
  <si>
    <t>Dynamic factor</t>
  </si>
  <si>
    <t>Static constant TMU</t>
  </si>
  <si>
    <t>Position</t>
  </si>
  <si>
    <t>Class of Fit</t>
  </si>
  <si>
    <t>Symmetry</t>
  </si>
  <si>
    <t>Easy to Handle</t>
  </si>
  <si>
    <t>Difficult to Handle</t>
  </si>
  <si>
    <t>Loose</t>
  </si>
  <si>
    <t>S</t>
  </si>
  <si>
    <t>SS</t>
  </si>
  <si>
    <t>NS</t>
  </si>
  <si>
    <t>Close</t>
  </si>
  <si>
    <t>Exact</t>
  </si>
  <si>
    <t>Apply Pressure</t>
  </si>
  <si>
    <t>Symbol</t>
  </si>
  <si>
    <t>DM</t>
  </si>
  <si>
    <t>RLF</t>
  </si>
  <si>
    <t>APA</t>
  </si>
  <si>
    <t>APB</t>
  </si>
  <si>
    <t>Turn</t>
  </si>
  <si>
    <t>Weight</t>
  </si>
  <si>
    <t>30°</t>
  </si>
  <si>
    <t xml:space="preserve">45° </t>
  </si>
  <si>
    <t>60°</t>
  </si>
  <si>
    <t>75°</t>
  </si>
  <si>
    <t>90°</t>
  </si>
  <si>
    <t>105°</t>
  </si>
  <si>
    <t>120°</t>
  </si>
  <si>
    <t>135°</t>
  </si>
  <si>
    <t>150°</t>
  </si>
  <si>
    <t>165°</t>
  </si>
  <si>
    <t>180°</t>
  </si>
  <si>
    <t>Small</t>
  </si>
  <si>
    <t>Medium</t>
  </si>
  <si>
    <t>Large</t>
  </si>
  <si>
    <t>Release</t>
  </si>
  <si>
    <t>Disengage</t>
  </si>
  <si>
    <t>Height of Recoil</t>
  </si>
  <si>
    <t>Up to 2.5 cm</t>
  </si>
  <si>
    <t>2.5 to 12.7 cm</t>
  </si>
  <si>
    <t>Tight</t>
  </si>
  <si>
    <t>12.7 to 30.5 cm</t>
  </si>
  <si>
    <t>TMU</t>
  </si>
  <si>
    <t>h</t>
  </si>
  <si>
    <t>min</t>
  </si>
  <si>
    <t>s</t>
  </si>
  <si>
    <t>Total TMU</t>
  </si>
  <si>
    <t>Time [s]</t>
  </si>
  <si>
    <t>Total (required) manual operation time per year [s]</t>
  </si>
  <si>
    <t>Total (required) manual operation time per year [h]</t>
  </si>
  <si>
    <t>Manual Setup time</t>
  </si>
  <si>
    <t>Total other time [h]</t>
  </si>
  <si>
    <t>Total Manual Time [h]</t>
  </si>
  <si>
    <t>Annual 
Working 
Time</t>
  </si>
  <si>
    <t># of Operators</t>
  </si>
  <si>
    <t>Code</t>
  </si>
  <si>
    <t>Handle</t>
  </si>
  <si>
    <t>Angle</t>
  </si>
  <si>
    <t># of setups</t>
  </si>
  <si>
    <t>manual setup time [s]</t>
  </si>
  <si>
    <t>Total setup time [s]</t>
  </si>
  <si>
    <t>Total setup time [h]</t>
  </si>
  <si>
    <t>Easy</t>
  </si>
  <si>
    <t>Difficult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</si>
</sst>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0%"/>
  </numFmts>
  <fonts count="64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entury Schoolbook"/>
      <family val="2"/>
    </font>
    <font>
      <sz val="16"/>
      <color theme="1"/>
      <name val="Century Schoolbook"/>
      <family val="2"/>
    </font>
    <font>
      <sz val="10"/>
      <color theme="1"/>
      <name val="Arial Unicode MS"/>
      <family val="2"/>
    </font>
    <font>
      <sz val="12"/>
      <color theme="1"/>
      <name val="Century Schoolbook"/>
      <family val="2"/>
    </font>
    <font>
      <sz val="10"/>
      <color theme="1"/>
      <name val="Lucida Sans"/>
      <family val="2"/>
    </font>
    <font>
      <sz val="16"/>
      <color theme="1"/>
      <name val="Lucida Sans"/>
      <family val="2"/>
    </font>
    <font>
      <b/>
      <sz val="10"/>
      <color theme="1"/>
      <name val="Century Schoolbook"/>
      <family val="1"/>
    </font>
    <font>
      <sz val="16"/>
      <color theme="1"/>
      <name val="Arial Unicode MS"/>
      <family val="2"/>
    </font>
    <font>
      <sz val="10"/>
      <color theme="1"/>
      <name val="Century Schoolbook"/>
      <family val="1"/>
    </font>
    <font>
      <sz val="20"/>
      <color theme="1"/>
      <name val="Arial Unicode MS"/>
      <family val="2"/>
    </font>
    <font>
      <i/>
      <sz val="10"/>
      <color theme="1"/>
      <name val="Century Schoolbook"/>
      <family val="1"/>
    </font>
    <font>
      <b/>
      <sz val="11"/>
      <color rgb="FF0070C0"/>
      <name val="Stencil"/>
      <family val="5"/>
    </font>
    <font>
      <sz val="24"/>
      <color theme="1"/>
      <name val="Arial Unicode MS"/>
      <family val="2"/>
    </font>
    <font>
      <sz val="12"/>
      <color theme="1"/>
      <name val="Century Schoolbook"/>
      <family val="1"/>
    </font>
    <font>
      <b/>
      <sz val="11"/>
      <color rgb="FF00B050"/>
      <name val="Stencil"/>
      <family val="5"/>
    </font>
    <font>
      <b/>
      <i/>
      <sz val="12"/>
      <color theme="0" tint="-0.499984740745262"/>
      <name val="Calibri"/>
      <family val="2"/>
      <scheme val="minor"/>
    </font>
    <font>
      <i/>
      <sz val="12"/>
      <color theme="0" tint="-0.499984740745262"/>
      <name val="Calibri"/>
      <family val="2"/>
      <scheme val="minor"/>
    </font>
    <font>
      <sz val="12"/>
      <color theme="5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i/>
      <sz val="10"/>
      <color rgb="FF000000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</font>
    <font>
      <sz val="10"/>
      <color rgb="FFFF0000"/>
      <name val="Arial"/>
      <family val="2"/>
    </font>
    <font>
      <sz val="11"/>
      <color theme="4"/>
      <name val="Calibri"/>
      <family val="2"/>
      <scheme val="minor"/>
    </font>
    <font>
      <sz val="11"/>
      <color rgb="FF464443"/>
      <name val="Helvetica"/>
      <family val="2"/>
    </font>
    <font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color rgb="FF444444"/>
      <name val="Calibri"/>
      <family val="2"/>
      <charset val="1"/>
    </font>
    <font>
      <sz val="11"/>
      <color theme="1"/>
      <name val="Calibri"/>
      <family val="2"/>
    </font>
    <font>
      <sz val="11"/>
      <color theme="2" tint="-9.9978637043366805E-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2"/>
      <color theme="2"/>
      <name val="Arial"/>
      <family val="2"/>
    </font>
    <font>
      <sz val="12"/>
      <color rgb="FF000000"/>
      <name val="Calibri"/>
      <family val="2"/>
    </font>
    <font>
      <b/>
      <i/>
      <sz val="12"/>
      <name val="Calibri"/>
      <family val="2"/>
      <scheme val="minor"/>
    </font>
    <font>
      <sz val="8"/>
      <name val="Calibri"/>
      <family val="2"/>
      <scheme val="minor"/>
    </font>
    <font>
      <sz val="12"/>
      <color theme="9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color rgb="FF000000"/>
      <name val="Tahoma"/>
      <family val="2"/>
    </font>
    <font>
      <sz val="12"/>
      <color rgb="FF000000"/>
      <name val="Tahoma"/>
      <family val="2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vertAlign val="subscript"/>
      <sz val="12"/>
      <color theme="0"/>
      <name val="Arial"/>
      <family val="2"/>
    </font>
    <font>
      <b/>
      <vertAlign val="superscript"/>
      <sz val="12"/>
      <color theme="0"/>
      <name val="Arial"/>
      <family val="2"/>
    </font>
    <font>
      <sz val="11"/>
      <color theme="1"/>
      <name val="Arial"/>
      <family val="2"/>
    </font>
    <font>
      <sz val="11"/>
      <color theme="1"/>
      <name val="Courier New"/>
      <family val="1"/>
    </font>
    <font>
      <b/>
      <sz val="11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2"/>
      <name val="Trade Gothic LT Std"/>
    </font>
    <font>
      <b/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4D6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0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auto="1"/>
      </diagonal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rgb="FF000000"/>
      </bottom>
      <diagonal/>
    </border>
    <border>
      <left/>
      <right/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7" fillId="0" borderId="0"/>
    <xf numFmtId="9" fontId="7" fillId="0" borderId="0" applyFont="0" applyFill="0" applyBorder="0" applyAlignment="0" applyProtection="0"/>
  </cellStyleXfs>
  <cellXfs count="59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2" fillId="0" borderId="1" xfId="0" applyFont="1" applyBorder="1" applyAlignment="1">
      <alignment horizontal="center" vertical="center" wrapText="1" readingOrder="1"/>
    </xf>
    <xf numFmtId="0" fontId="1" fillId="2" borderId="1" xfId="0" applyFont="1" applyFill="1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3" fillId="2" borderId="1" xfId="0" applyFont="1" applyFill="1" applyBorder="1"/>
    <xf numFmtId="0" fontId="2" fillId="0" borderId="1" xfId="0" applyFont="1" applyBorder="1" applyAlignment="1">
      <alignment vertical="center" wrapText="1" readingOrder="1"/>
    </xf>
    <xf numFmtId="0" fontId="2" fillId="0" borderId="1" xfId="0" applyFont="1" applyBorder="1" applyAlignment="1">
      <alignment horizontal="left" vertical="center" wrapText="1" readingOrder="1"/>
    </xf>
    <xf numFmtId="0" fontId="1" fillId="2" borderId="8" xfId="0" applyFont="1" applyFill="1" applyBorder="1"/>
    <xf numFmtId="0" fontId="0" fillId="3" borderId="1" xfId="0" applyFill="1" applyBorder="1"/>
    <xf numFmtId="0" fontId="0" fillId="3" borderId="7" xfId="0" applyFill="1" applyBorder="1"/>
    <xf numFmtId="0" fontId="0" fillId="2" borderId="0" xfId="0" applyFill="1"/>
    <xf numFmtId="0" fontId="0" fillId="0" borderId="0" xfId="0" applyAlignment="1">
      <alignment vertical="center"/>
    </xf>
    <xf numFmtId="0" fontId="0" fillId="0" borderId="18" xfId="0" applyBorder="1"/>
    <xf numFmtId="0" fontId="0" fillId="0" borderId="17" xfId="0" applyBorder="1"/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right" vertical="center" wrapText="1"/>
    </xf>
    <xf numFmtId="4" fontId="0" fillId="0" borderId="1" xfId="0" applyNumberFormat="1" applyBorder="1" applyAlignment="1">
      <alignment horizontal="right" vertical="center" wrapText="1"/>
    </xf>
    <xf numFmtId="10" fontId="0" fillId="0" borderId="1" xfId="0" applyNumberFormat="1" applyBorder="1" applyAlignment="1">
      <alignment horizontal="righ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1" fillId="2" borderId="0" xfId="1" applyFont="1" applyFill="1"/>
    <xf numFmtId="0" fontId="5" fillId="0" borderId="0" xfId="1" applyFont="1"/>
    <xf numFmtId="0" fontId="1" fillId="2" borderId="1" xfId="1" applyFont="1" applyFill="1" applyBorder="1" applyAlignment="1">
      <alignment horizontal="center"/>
    </xf>
    <xf numFmtId="0" fontId="5" fillId="2" borderId="1" xfId="1" applyFont="1" applyFill="1" applyBorder="1"/>
    <xf numFmtId="0" fontId="5" fillId="0" borderId="1" xfId="1" applyFont="1" applyBorder="1"/>
    <xf numFmtId="0" fontId="5" fillId="0" borderId="1" xfId="1" applyFont="1" applyBorder="1" applyAlignment="1">
      <alignment horizontal="center"/>
    </xf>
    <xf numFmtId="2" fontId="5" fillId="0" borderId="1" xfId="1" applyNumberFormat="1" applyFont="1" applyBorder="1"/>
    <xf numFmtId="0" fontId="5" fillId="0" borderId="7" xfId="1" applyFont="1" applyBorder="1"/>
    <xf numFmtId="0" fontId="5" fillId="0" borderId="7" xfId="1" applyFont="1" applyBorder="1" applyAlignment="1">
      <alignment horizontal="center"/>
    </xf>
    <xf numFmtId="0" fontId="5" fillId="2" borderId="7" xfId="1" applyFont="1" applyFill="1" applyBorder="1"/>
    <xf numFmtId="0" fontId="6" fillId="0" borderId="0" xfId="1" applyFont="1"/>
    <xf numFmtId="0" fontId="8" fillId="4" borderId="0" xfId="1" applyFont="1" applyFill="1"/>
    <xf numFmtId="0" fontId="7" fillId="4" borderId="0" xfId="1" applyFill="1"/>
    <xf numFmtId="0" fontId="9" fillId="4" borderId="0" xfId="1" applyFont="1" applyFill="1"/>
    <xf numFmtId="0" fontId="8" fillId="4" borderId="20" xfId="1" applyFont="1" applyFill="1" applyBorder="1"/>
    <xf numFmtId="0" fontId="8" fillId="4" borderId="21" xfId="1" applyFont="1" applyFill="1" applyBorder="1"/>
    <xf numFmtId="0" fontId="11" fillId="4" borderId="0" xfId="1" applyFont="1" applyFill="1"/>
    <xf numFmtId="0" fontId="12" fillId="4" borderId="0" xfId="1" applyFont="1" applyFill="1"/>
    <xf numFmtId="0" fontId="12" fillId="4" borderId="0" xfId="1" applyFont="1" applyFill="1" applyAlignment="1">
      <alignment horizontal="center" vertical="center"/>
    </xf>
    <xf numFmtId="0" fontId="12" fillId="4" borderId="20" xfId="1" applyFont="1" applyFill="1" applyBorder="1" applyAlignment="1">
      <alignment horizontal="center" vertical="center"/>
    </xf>
    <xf numFmtId="0" fontId="12" fillId="4" borderId="21" xfId="1" applyFont="1" applyFill="1" applyBorder="1" applyAlignment="1">
      <alignment horizontal="center" vertical="center"/>
    </xf>
    <xf numFmtId="0" fontId="12" fillId="4" borderId="0" xfId="1" applyFont="1" applyFill="1" applyAlignment="1">
      <alignment vertical="center"/>
    </xf>
    <xf numFmtId="0" fontId="11" fillId="4" borderId="0" xfId="1" applyFont="1" applyFill="1" applyAlignment="1">
      <alignment vertical="center"/>
    </xf>
    <xf numFmtId="0" fontId="7" fillId="4" borderId="0" xfId="1" applyFill="1" applyAlignment="1">
      <alignment horizontal="center" vertical="center"/>
    </xf>
    <xf numFmtId="0" fontId="12" fillId="4" borderId="20" xfId="1" applyFont="1" applyFill="1" applyBorder="1"/>
    <xf numFmtId="0" fontId="12" fillId="4" borderId="21" xfId="1" applyFont="1" applyFill="1" applyBorder="1"/>
    <xf numFmtId="0" fontId="11" fillId="4" borderId="0" xfId="1" applyFont="1" applyFill="1" applyAlignment="1">
      <alignment horizontal="center" vertical="center"/>
    </xf>
    <xf numFmtId="0" fontId="9" fillId="4" borderId="0" xfId="1" applyFont="1" applyFill="1" applyAlignment="1">
      <alignment horizontal="center" vertical="center"/>
    </xf>
    <xf numFmtId="0" fontId="11" fillId="4" borderId="20" xfId="1" applyFont="1" applyFill="1" applyBorder="1"/>
    <xf numFmtId="0" fontId="11" fillId="4" borderId="21" xfId="1" applyFont="1" applyFill="1" applyBorder="1"/>
    <xf numFmtId="0" fontId="15" fillId="5" borderId="29" xfId="1" applyFont="1" applyFill="1" applyBorder="1"/>
    <xf numFmtId="0" fontId="15" fillId="5" borderId="23" xfId="1" applyFont="1" applyFill="1" applyBorder="1" applyAlignment="1">
      <alignment horizontal="center" vertical="center" textRotation="90" wrapText="1"/>
    </xf>
    <xf numFmtId="0" fontId="15" fillId="5" borderId="24" xfId="1" applyFont="1" applyFill="1" applyBorder="1" applyAlignment="1">
      <alignment horizontal="center" vertical="center" wrapText="1"/>
    </xf>
    <xf numFmtId="0" fontId="15" fillId="5" borderId="30" xfId="1" applyFont="1" applyFill="1" applyBorder="1"/>
    <xf numFmtId="0" fontId="7" fillId="5" borderId="1" xfId="1" applyFill="1" applyBorder="1" applyAlignment="1">
      <alignment horizontal="center" vertical="center"/>
    </xf>
    <xf numFmtId="0" fontId="18" fillId="6" borderId="1" xfId="1" applyFont="1" applyFill="1" applyBorder="1" applyAlignment="1">
      <alignment horizontal="left" vertical="center"/>
    </xf>
    <xf numFmtId="2" fontId="7" fillId="0" borderId="1" xfId="1" applyNumberFormat="1" applyBorder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20" fillId="4" borderId="1" xfId="1" applyFont="1" applyFill="1" applyBorder="1" applyAlignment="1">
      <alignment horizontal="center" vertical="center"/>
    </xf>
    <xf numFmtId="0" fontId="15" fillId="4" borderId="0" xfId="1" applyFont="1" applyFill="1"/>
    <xf numFmtId="9" fontId="15" fillId="4" borderId="0" xfId="2" applyFont="1" applyFill="1"/>
    <xf numFmtId="0" fontId="6" fillId="0" borderId="0" xfId="0" applyFont="1"/>
    <xf numFmtId="0" fontId="1" fillId="2" borderId="0" xfId="0" applyFont="1" applyFill="1"/>
    <xf numFmtId="0" fontId="1" fillId="2" borderId="9" xfId="0" applyFont="1" applyFill="1" applyBorder="1"/>
    <xf numFmtId="0" fontId="1" fillId="2" borderId="9" xfId="0" applyFont="1" applyFill="1" applyBorder="1" applyAlignment="1">
      <alignment horizontal="right"/>
    </xf>
    <xf numFmtId="17" fontId="1" fillId="2" borderId="9" xfId="0" applyNumberFormat="1" applyFont="1" applyFill="1" applyBorder="1"/>
    <xf numFmtId="0" fontId="6" fillId="0" borderId="5" xfId="0" applyFont="1" applyBorder="1"/>
    <xf numFmtId="0" fontId="6" fillId="0" borderId="32" xfId="0" applyFont="1" applyBorder="1" applyAlignment="1">
      <alignment horizontal="right"/>
    </xf>
    <xf numFmtId="17" fontId="6" fillId="0" borderId="32" xfId="0" applyNumberFormat="1" applyFont="1" applyBorder="1"/>
    <xf numFmtId="17" fontId="6" fillId="0" borderId="6" xfId="0" applyNumberFormat="1" applyFont="1" applyBorder="1"/>
    <xf numFmtId="0" fontId="0" fillId="0" borderId="33" xfId="0" applyBorder="1"/>
    <xf numFmtId="0" fontId="0" fillId="0" borderId="34" xfId="0" applyBorder="1"/>
    <xf numFmtId="0" fontId="0" fillId="0" borderId="19" xfId="0" applyBorder="1"/>
    <xf numFmtId="0" fontId="0" fillId="0" borderId="32" xfId="0" applyBorder="1"/>
    <xf numFmtId="0" fontId="0" fillId="0" borderId="6" xfId="0" applyBorder="1"/>
    <xf numFmtId="0" fontId="22" fillId="2" borderId="8" xfId="0" applyFont="1" applyFill="1" applyBorder="1"/>
    <xf numFmtId="0" fontId="3" fillId="7" borderId="1" xfId="0" applyFont="1" applyFill="1" applyBorder="1" applyAlignment="1">
      <alignment horizontal="right"/>
    </xf>
    <xf numFmtId="0" fontId="3" fillId="7" borderId="1" xfId="0" applyFont="1" applyFill="1" applyBorder="1" applyAlignment="1">
      <alignment horizontal="left"/>
    </xf>
    <xf numFmtId="0" fontId="23" fillId="0" borderId="1" xfId="0" applyFont="1" applyBorder="1"/>
    <xf numFmtId="0" fontId="24" fillId="0" borderId="1" xfId="0" applyFont="1" applyBorder="1"/>
    <xf numFmtId="0" fontId="1" fillId="2" borderId="9" xfId="0" applyFont="1" applyFill="1" applyBorder="1" applyAlignment="1">
      <alignment horizontal="center"/>
    </xf>
    <xf numFmtId="0" fontId="0" fillId="0" borderId="31" xfId="0" applyBorder="1"/>
    <xf numFmtId="2" fontId="0" fillId="0" borderId="24" xfId="0" applyNumberFormat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2" fontId="0" fillId="0" borderId="6" xfId="0" applyNumberFormat="1" applyBorder="1"/>
    <xf numFmtId="0" fontId="0" fillId="8" borderId="1" xfId="0" applyFill="1" applyBorder="1"/>
    <xf numFmtId="0" fontId="0" fillId="8" borderId="7" xfId="0" applyFill="1" applyBorder="1"/>
    <xf numFmtId="0" fontId="0" fillId="8" borderId="2" xfId="0" applyFill="1" applyBorder="1"/>
    <xf numFmtId="0" fontId="0" fillId="8" borderId="3" xfId="0" applyFill="1" applyBorder="1"/>
    <xf numFmtId="2" fontId="0" fillId="0" borderId="0" xfId="0" applyNumberFormat="1"/>
    <xf numFmtId="0" fontId="0" fillId="8" borderId="34" xfId="0" applyFill="1" applyBorder="1"/>
    <xf numFmtId="0" fontId="0" fillId="8" borderId="39" xfId="0" applyFill="1" applyBorder="1"/>
    <xf numFmtId="0" fontId="0" fillId="8" borderId="10" xfId="0" applyFill="1" applyBorder="1"/>
    <xf numFmtId="0" fontId="0" fillId="8" borderId="11" xfId="0" applyFill="1" applyBorder="1"/>
    <xf numFmtId="0" fontId="0" fillId="0" borderId="40" xfId="0" applyBorder="1"/>
    <xf numFmtId="0" fontId="0" fillId="0" borderId="41" xfId="0" applyBorder="1"/>
    <xf numFmtId="0" fontId="0" fillId="0" borderId="0" xfId="0" applyAlignment="1">
      <alignment horizontal="right" vertical="center" wrapText="1"/>
    </xf>
    <xf numFmtId="11" fontId="1" fillId="2" borderId="1" xfId="0" applyNumberFormat="1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5" fillId="2" borderId="1" xfId="0" applyFont="1" applyFill="1" applyBorder="1" applyAlignment="1">
      <alignment horizontal="right" vertical="center"/>
    </xf>
    <xf numFmtId="0" fontId="25" fillId="2" borderId="1" xfId="0" applyFont="1" applyFill="1" applyBorder="1" applyAlignment="1">
      <alignment horizontal="center" vertical="center"/>
    </xf>
    <xf numFmtId="11" fontId="25" fillId="2" borderId="1" xfId="0" applyNumberFormat="1" applyFont="1" applyFill="1" applyBorder="1" applyAlignment="1">
      <alignment horizontal="center" vertical="center"/>
    </xf>
    <xf numFmtId="0" fontId="25" fillId="2" borderId="9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3" fontId="0" fillId="0" borderId="1" xfId="0" applyNumberFormat="1" applyBorder="1"/>
    <xf numFmtId="0" fontId="6" fillId="0" borderId="0" xfId="0" applyFont="1" applyAlignment="1">
      <alignment horizontal="center"/>
    </xf>
    <xf numFmtId="2" fontId="6" fillId="0" borderId="0" xfId="0" applyNumberFormat="1" applyFont="1"/>
    <xf numFmtId="0" fontId="27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27" fillId="0" borderId="1" xfId="0" applyFont="1" applyBorder="1" applyAlignment="1">
      <alignment horizontal="left"/>
    </xf>
    <xf numFmtId="0" fontId="28" fillId="2" borderId="1" xfId="0" applyFont="1" applyFill="1" applyBorder="1" applyAlignment="1">
      <alignment horizontal="center"/>
    </xf>
    <xf numFmtId="0" fontId="28" fillId="0" borderId="1" xfId="0" applyFont="1" applyBorder="1" applyAlignment="1">
      <alignment horizontal="center"/>
    </xf>
    <xf numFmtId="2" fontId="28" fillId="0" borderId="1" xfId="0" applyNumberFormat="1" applyFont="1" applyBorder="1" applyAlignment="1">
      <alignment horizontal="center"/>
    </xf>
    <xf numFmtId="0" fontId="28" fillId="0" borderId="0" xfId="0" applyFont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31" xfId="0" applyFont="1" applyFill="1" applyBorder="1" applyAlignment="1">
      <alignment horizontal="center" vertical="center"/>
    </xf>
    <xf numFmtId="0" fontId="6" fillId="0" borderId="1" xfId="0" applyFont="1" applyBorder="1"/>
    <xf numFmtId="0" fontId="1" fillId="2" borderId="0" xfId="0" applyFont="1" applyFill="1" applyAlignment="1">
      <alignment wrapText="1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29" fillId="9" borderId="44" xfId="0" applyFont="1" applyFill="1" applyBorder="1" applyAlignment="1">
      <alignment horizontal="center" vertical="center"/>
    </xf>
    <xf numFmtId="0" fontId="29" fillId="9" borderId="42" xfId="0" applyFont="1" applyFill="1" applyBorder="1" applyAlignment="1">
      <alignment horizontal="center" vertical="center"/>
    </xf>
    <xf numFmtId="0" fontId="29" fillId="9" borderId="1" xfId="0" applyFont="1" applyFill="1" applyBorder="1" applyAlignment="1">
      <alignment horizontal="center"/>
    </xf>
    <xf numFmtId="0" fontId="29" fillId="9" borderId="7" xfId="0" applyFont="1" applyFill="1" applyBorder="1" applyAlignment="1">
      <alignment horizontal="center"/>
    </xf>
    <xf numFmtId="0" fontId="29" fillId="9" borderId="49" xfId="0" applyFont="1" applyFill="1" applyBorder="1" applyAlignment="1">
      <alignment horizontal="center"/>
    </xf>
    <xf numFmtId="0" fontId="0" fillId="9" borderId="44" xfId="0" applyFill="1" applyBorder="1" applyAlignment="1">
      <alignment horizontal="center"/>
    </xf>
    <xf numFmtId="0" fontId="0" fillId="9" borderId="42" xfId="0" applyFill="1" applyBorder="1" applyAlignment="1">
      <alignment horizontal="center"/>
    </xf>
    <xf numFmtId="0" fontId="29" fillId="9" borderId="51" xfId="0" applyFont="1" applyFill="1" applyBorder="1" applyAlignment="1">
      <alignment horizontal="center" vertical="center"/>
    </xf>
    <xf numFmtId="0" fontId="29" fillId="9" borderId="48" xfId="0" applyFont="1" applyFill="1" applyBorder="1" applyAlignment="1">
      <alignment horizontal="center" vertical="center"/>
    </xf>
    <xf numFmtId="0" fontId="29" fillId="9" borderId="14" xfId="0" applyFont="1" applyFill="1" applyBorder="1" applyAlignment="1">
      <alignment horizontal="right"/>
    </xf>
    <xf numFmtId="0" fontId="29" fillId="9" borderId="1" xfId="0" applyFont="1" applyFill="1" applyBorder="1" applyAlignment="1">
      <alignment horizontal="right"/>
    </xf>
    <xf numFmtId="0" fontId="29" fillId="9" borderId="7" xfId="0" applyFont="1" applyFill="1" applyBorder="1"/>
    <xf numFmtId="0" fontId="0" fillId="9" borderId="50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52" xfId="0" applyFill="1" applyBorder="1" applyAlignment="1">
      <alignment horizontal="center"/>
    </xf>
    <xf numFmtId="0" fontId="0" fillId="0" borderId="42" xfId="0" applyBorder="1"/>
    <xf numFmtId="0" fontId="0" fillId="9" borderId="48" xfId="0" applyFill="1" applyBorder="1" applyAlignment="1">
      <alignment horizontal="center"/>
    </xf>
    <xf numFmtId="0" fontId="31" fillId="9" borderId="28" xfId="0" applyFont="1" applyFill="1" applyBorder="1"/>
    <xf numFmtId="0" fontId="31" fillId="10" borderId="44" xfId="0" applyFont="1" applyFill="1" applyBorder="1"/>
    <xf numFmtId="0" fontId="0" fillId="0" borderId="42" xfId="0" applyBorder="1" applyAlignment="1">
      <alignment wrapText="1"/>
    </xf>
    <xf numFmtId="0" fontId="31" fillId="10" borderId="42" xfId="0" applyFont="1" applyFill="1" applyBorder="1"/>
    <xf numFmtId="0" fontId="31" fillId="10" borderId="45" xfId="0" applyFont="1" applyFill="1" applyBorder="1"/>
    <xf numFmtId="0" fontId="0" fillId="0" borderId="42" xfId="0" applyBorder="1" applyAlignment="1">
      <alignment horizontal="right"/>
    </xf>
    <xf numFmtId="3" fontId="31" fillId="0" borderId="53" xfId="0" applyNumberFormat="1" applyFont="1" applyBorder="1"/>
    <xf numFmtId="0" fontId="0" fillId="0" borderId="14" xfId="0" applyBorder="1" applyAlignment="1">
      <alignment horizontal="right"/>
    </xf>
    <xf numFmtId="1" fontId="0" fillId="0" borderId="7" xfId="0" applyNumberFormat="1" applyBorder="1"/>
    <xf numFmtId="0" fontId="0" fillId="0" borderId="49" xfId="0" applyBorder="1"/>
    <xf numFmtId="0" fontId="0" fillId="11" borderId="1" xfId="0" applyFill="1" applyBorder="1"/>
    <xf numFmtId="0" fontId="0" fillId="0" borderId="28" xfId="0" applyBorder="1" applyAlignment="1">
      <alignment horizontal="center"/>
    </xf>
    <xf numFmtId="0" fontId="0" fillId="0" borderId="45" xfId="0" applyBorder="1" applyAlignment="1">
      <alignment horizontal="center"/>
    </xf>
    <xf numFmtId="0" fontId="32" fillId="0" borderId="54" xfId="0" applyFont="1" applyBorder="1"/>
    <xf numFmtId="0" fontId="0" fillId="0" borderId="50" xfId="0" applyBorder="1"/>
    <xf numFmtId="0" fontId="32" fillId="0" borderId="50" xfId="0" applyFont="1" applyBorder="1"/>
    <xf numFmtId="0" fontId="32" fillId="0" borderId="55" xfId="0" applyFont="1" applyBorder="1"/>
    <xf numFmtId="0" fontId="33" fillId="0" borderId="0" xfId="0" applyFont="1"/>
    <xf numFmtId="0" fontId="33" fillId="0" borderId="55" xfId="0" applyFont="1" applyBorder="1"/>
    <xf numFmtId="0" fontId="31" fillId="9" borderId="8" xfId="0" applyFont="1" applyFill="1" applyBorder="1"/>
    <xf numFmtId="0" fontId="31" fillId="12" borderId="44" xfId="0" applyFont="1" applyFill="1" applyBorder="1"/>
    <xf numFmtId="0" fontId="32" fillId="0" borderId="44" xfId="0" applyFont="1" applyBorder="1"/>
    <xf numFmtId="0" fontId="32" fillId="0" borderId="42" xfId="0" applyFont="1" applyBorder="1"/>
    <xf numFmtId="3" fontId="34" fillId="0" borderId="53" xfId="0" applyNumberFormat="1" applyFont="1" applyBorder="1"/>
    <xf numFmtId="2" fontId="0" fillId="0" borderId="42" xfId="0" applyNumberFormat="1" applyBorder="1"/>
    <xf numFmtId="2" fontId="35" fillId="13" borderId="42" xfId="0" applyNumberFormat="1" applyFont="1" applyFill="1" applyBorder="1" applyAlignment="1">
      <alignment horizontal="right" wrapText="1"/>
    </xf>
    <xf numFmtId="0" fontId="36" fillId="0" borderId="42" xfId="0" applyFont="1" applyBorder="1" applyAlignment="1">
      <alignment horizontal="right"/>
    </xf>
    <xf numFmtId="2" fontId="37" fillId="0" borderId="42" xfId="0" applyNumberFormat="1" applyFont="1" applyBorder="1" applyAlignment="1">
      <alignment wrapText="1"/>
    </xf>
    <xf numFmtId="0" fontId="31" fillId="0" borderId="53" xfId="0" applyFont="1" applyBorder="1"/>
    <xf numFmtId="0" fontId="38" fillId="14" borderId="42" xfId="0" applyFont="1" applyFill="1" applyBorder="1" applyAlignment="1">
      <alignment wrapText="1"/>
    </xf>
    <xf numFmtId="0" fontId="31" fillId="15" borderId="44" xfId="0" applyFont="1" applyFill="1" applyBorder="1"/>
    <xf numFmtId="2" fontId="38" fillId="14" borderId="42" xfId="0" applyNumberFormat="1" applyFont="1" applyFill="1" applyBorder="1"/>
    <xf numFmtId="0" fontId="35" fillId="0" borderId="42" xfId="0" applyFont="1" applyBorder="1" applyAlignment="1">
      <alignment wrapText="1"/>
    </xf>
    <xf numFmtId="0" fontId="39" fillId="0" borderId="42" xfId="0" applyFont="1" applyBorder="1"/>
    <xf numFmtId="0" fontId="36" fillId="0" borderId="42" xfId="0" applyFont="1" applyBorder="1"/>
    <xf numFmtId="0" fontId="34" fillId="0" borderId="53" xfId="0" applyFont="1" applyBorder="1"/>
    <xf numFmtId="0" fontId="31" fillId="0" borderId="44" xfId="0" applyFont="1" applyBorder="1"/>
    <xf numFmtId="0" fontId="31" fillId="0" borderId="42" xfId="0" applyFont="1" applyBorder="1"/>
    <xf numFmtId="0" fontId="31" fillId="16" borderId="8" xfId="0" applyFont="1" applyFill="1" applyBorder="1"/>
    <xf numFmtId="0" fontId="31" fillId="17" borderId="44" xfId="0" applyFont="1" applyFill="1" applyBorder="1"/>
    <xf numFmtId="0" fontId="0" fillId="17" borderId="42" xfId="0" applyFill="1" applyBorder="1"/>
    <xf numFmtId="0" fontId="31" fillId="17" borderId="42" xfId="0" applyFont="1" applyFill="1" applyBorder="1"/>
    <xf numFmtId="3" fontId="31" fillId="17" borderId="53" xfId="0" applyNumberFormat="1" applyFont="1" applyFill="1" applyBorder="1"/>
    <xf numFmtId="3" fontId="41" fillId="10" borderId="53" xfId="0" applyNumberFormat="1" applyFont="1" applyFill="1" applyBorder="1"/>
    <xf numFmtId="0" fontId="38" fillId="0" borderId="42" xfId="0" applyFont="1" applyBorder="1" applyAlignment="1">
      <alignment wrapText="1"/>
    </xf>
    <xf numFmtId="0" fontId="31" fillId="10" borderId="53" xfId="0" applyFont="1" applyFill="1" applyBorder="1"/>
    <xf numFmtId="0" fontId="31" fillId="9" borderId="46" xfId="0" applyFont="1" applyFill="1" applyBorder="1"/>
    <xf numFmtId="0" fontId="31" fillId="9" borderId="56" xfId="0" applyFont="1" applyFill="1" applyBorder="1"/>
    <xf numFmtId="0" fontId="31" fillId="0" borderId="57" xfId="0" applyFont="1" applyBorder="1"/>
    <xf numFmtId="0" fontId="0" fillId="0" borderId="58" xfId="0" applyBorder="1"/>
    <xf numFmtId="0" fontId="31" fillId="0" borderId="43" xfId="0" applyFont="1" applyBorder="1"/>
    <xf numFmtId="0" fontId="36" fillId="0" borderId="43" xfId="0" applyFont="1" applyBorder="1" applyAlignment="1">
      <alignment horizontal="right"/>
    </xf>
    <xf numFmtId="0" fontId="36" fillId="0" borderId="43" xfId="0" applyFont="1" applyBorder="1"/>
    <xf numFmtId="0" fontId="31" fillId="0" borderId="59" xfId="0" applyFont="1" applyBorder="1"/>
    <xf numFmtId="0" fontId="0" fillId="11" borderId="60" xfId="0" applyFill="1" applyBorder="1"/>
    <xf numFmtId="0" fontId="0" fillId="0" borderId="61" xfId="0" applyBorder="1"/>
    <xf numFmtId="0" fontId="0" fillId="0" borderId="62" xfId="0" applyBorder="1" applyAlignment="1">
      <alignment horizontal="center"/>
    </xf>
    <xf numFmtId="0" fontId="32" fillId="0" borderId="63" xfId="0" applyFont="1" applyBorder="1"/>
    <xf numFmtId="0" fontId="32" fillId="0" borderId="58" xfId="0" applyFont="1" applyBorder="1"/>
    <xf numFmtId="0" fontId="31" fillId="0" borderId="1" xfId="0" applyFont="1" applyBorder="1"/>
    <xf numFmtId="0" fontId="0" fillId="0" borderId="64" xfId="0" applyBorder="1"/>
    <xf numFmtId="0" fontId="0" fillId="0" borderId="47" xfId="0" applyBorder="1"/>
    <xf numFmtId="0" fontId="0" fillId="0" borderId="45" xfId="0" applyBorder="1"/>
    <xf numFmtId="0" fontId="0" fillId="0" borderId="27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11" borderId="19" xfId="0" applyFill="1" applyBorder="1"/>
    <xf numFmtId="0" fontId="29" fillId="6" borderId="7" xfId="0" applyFont="1" applyFill="1" applyBorder="1"/>
    <xf numFmtId="0" fontId="29" fillId="6" borderId="22" xfId="0" applyFont="1" applyFill="1" applyBorder="1"/>
    <xf numFmtId="0" fontId="29" fillId="6" borderId="23" xfId="0" applyFont="1" applyFill="1" applyBorder="1"/>
    <xf numFmtId="0" fontId="0" fillId="6" borderId="4" xfId="0" applyFill="1" applyBorder="1"/>
    <xf numFmtId="0" fontId="29" fillId="6" borderId="43" xfId="0" applyFont="1" applyFill="1" applyBorder="1" applyAlignment="1">
      <alignment horizontal="center"/>
    </xf>
    <xf numFmtId="0" fontId="29" fillId="6" borderId="43" xfId="0" applyFont="1" applyFill="1" applyBorder="1" applyAlignment="1">
      <alignment horizontal="right"/>
    </xf>
    <xf numFmtId="0" fontId="29" fillId="0" borderId="42" xfId="0" applyFont="1" applyBorder="1"/>
    <xf numFmtId="0" fontId="0" fillId="18" borderId="42" xfId="0" applyFill="1" applyBorder="1" applyAlignment="1">
      <alignment horizontal="right"/>
    </xf>
    <xf numFmtId="2" fontId="0" fillId="0" borderId="42" xfId="0" applyNumberFormat="1" applyBorder="1" applyAlignment="1">
      <alignment horizontal="right"/>
    </xf>
    <xf numFmtId="0" fontId="42" fillId="0" borderId="42" xfId="0" applyFont="1" applyBorder="1" applyAlignment="1">
      <alignment horizontal="right"/>
    </xf>
    <xf numFmtId="0" fontId="43" fillId="0" borderId="42" xfId="0" applyFont="1" applyBorder="1"/>
    <xf numFmtId="0" fontId="43" fillId="0" borderId="42" xfId="0" applyFont="1" applyBorder="1" applyAlignment="1">
      <alignment horizontal="right"/>
    </xf>
    <xf numFmtId="0" fontId="0" fillId="19" borderId="42" xfId="0" applyFill="1" applyBorder="1" applyAlignment="1">
      <alignment horizontal="right"/>
    </xf>
    <xf numFmtId="0" fontId="0" fillId="19" borderId="42" xfId="0" applyFill="1" applyBorder="1"/>
    <xf numFmtId="0" fontId="0" fillId="0" borderId="0" xfId="0" applyAlignment="1">
      <alignment vertical="center" wrapText="1"/>
    </xf>
    <xf numFmtId="0" fontId="31" fillId="0" borderId="14" xfId="0" applyFont="1" applyBorder="1"/>
    <xf numFmtId="0" fontId="0" fillId="0" borderId="68" xfId="0" applyBorder="1"/>
    <xf numFmtId="0" fontId="0" fillId="0" borderId="69" xfId="0" applyBorder="1"/>
    <xf numFmtId="0" fontId="29" fillId="9" borderId="54" xfId="0" applyFont="1" applyFill="1" applyBorder="1" applyAlignment="1">
      <alignment horizontal="center" vertical="center" wrapText="1"/>
    </xf>
    <xf numFmtId="0" fontId="29" fillId="9" borderId="50" xfId="0" applyFont="1" applyFill="1" applyBorder="1" applyAlignment="1">
      <alignment horizontal="center" vertical="center" wrapText="1"/>
    </xf>
    <xf numFmtId="0" fontId="29" fillId="9" borderId="52" xfId="0" applyFont="1" applyFill="1" applyBorder="1" applyAlignment="1">
      <alignment horizontal="center" vertical="center" wrapText="1"/>
    </xf>
    <xf numFmtId="0" fontId="29" fillId="9" borderId="55" xfId="0" applyFont="1" applyFill="1" applyBorder="1" applyAlignment="1">
      <alignment horizontal="right" vertical="center" wrapText="1"/>
    </xf>
    <xf numFmtId="0" fontId="29" fillId="9" borderId="25" xfId="0" applyFont="1" applyFill="1" applyBorder="1" applyAlignment="1">
      <alignment horizontal="center" vertical="center" wrapText="1"/>
    </xf>
    <xf numFmtId="0" fontId="30" fillId="9" borderId="31" xfId="0" applyFont="1" applyFill="1" applyBorder="1" applyAlignment="1">
      <alignment horizontal="center" vertical="center" wrapText="1"/>
    </xf>
    <xf numFmtId="0" fontId="29" fillId="9" borderId="31" xfId="0" applyFont="1" applyFill="1" applyBorder="1" applyAlignment="1">
      <alignment horizontal="center" vertical="center" wrapText="1"/>
    </xf>
    <xf numFmtId="0" fontId="29" fillId="9" borderId="24" xfId="0" applyFont="1" applyFill="1" applyBorder="1" applyAlignment="1">
      <alignment horizontal="center" vertical="center" wrapText="1"/>
    </xf>
    <xf numFmtId="0" fontId="29" fillId="9" borderId="74" xfId="0" applyFont="1" applyFill="1" applyBorder="1" applyAlignment="1">
      <alignment horizontal="center" vertical="center" wrapText="1"/>
    </xf>
    <xf numFmtId="0" fontId="6" fillId="9" borderId="52" xfId="0" applyFont="1" applyFill="1" applyBorder="1" applyAlignment="1">
      <alignment horizontal="center" vertical="center" wrapText="1"/>
    </xf>
    <xf numFmtId="0" fontId="6" fillId="9" borderId="54" xfId="0" applyFont="1" applyFill="1" applyBorder="1" applyAlignment="1">
      <alignment horizontal="center" vertical="center" wrapText="1"/>
    </xf>
    <xf numFmtId="0" fontId="6" fillId="9" borderId="50" xfId="0" applyFont="1" applyFill="1" applyBorder="1" applyAlignment="1">
      <alignment horizontal="center" vertical="center" wrapText="1"/>
    </xf>
    <xf numFmtId="0" fontId="6" fillId="0" borderId="65" xfId="0" applyFont="1" applyBorder="1" applyAlignment="1">
      <alignment horizontal="center" vertical="center"/>
    </xf>
    <xf numFmtId="0" fontId="29" fillId="9" borderId="75" xfId="0" applyFont="1" applyFill="1" applyBorder="1" applyAlignment="1">
      <alignment vertical="center"/>
    </xf>
    <xf numFmtId="0" fontId="29" fillId="9" borderId="76" xfId="0" applyFont="1" applyFill="1" applyBorder="1"/>
    <xf numFmtId="0" fontId="29" fillId="9" borderId="75" xfId="0" applyFont="1" applyFill="1" applyBorder="1"/>
    <xf numFmtId="0" fontId="29" fillId="9" borderId="77" xfId="0" applyFont="1" applyFill="1" applyBorder="1"/>
    <xf numFmtId="0" fontId="29" fillId="9" borderId="75" xfId="0" applyFont="1" applyFill="1" applyBorder="1" applyAlignment="1">
      <alignment horizontal="center"/>
    </xf>
    <xf numFmtId="0" fontId="29" fillId="9" borderId="76" xfId="0" applyFont="1" applyFill="1" applyBorder="1" applyAlignment="1">
      <alignment vertical="center"/>
    </xf>
    <xf numFmtId="0" fontId="44" fillId="0" borderId="1" xfId="0" applyFont="1" applyBorder="1" applyAlignment="1">
      <alignment horizontal="center"/>
    </xf>
    <xf numFmtId="0" fontId="44" fillId="2" borderId="1" xfId="0" applyFont="1" applyFill="1" applyBorder="1" applyAlignment="1">
      <alignment horizontal="center"/>
    </xf>
    <xf numFmtId="0" fontId="27" fillId="0" borderId="0" xfId="0" applyFont="1" applyAlignment="1">
      <alignment horizontal="center"/>
    </xf>
    <xf numFmtId="2" fontId="28" fillId="0" borderId="0" xfId="0" applyNumberFormat="1" applyFont="1" applyAlignment="1">
      <alignment horizontal="center"/>
    </xf>
    <xf numFmtId="165" fontId="0" fillId="0" borderId="1" xfId="0" applyNumberFormat="1" applyBorder="1"/>
    <xf numFmtId="2" fontId="0" fillId="0" borderId="1" xfId="0" applyNumberFormat="1" applyBorder="1"/>
    <xf numFmtId="0" fontId="1" fillId="2" borderId="1" xfId="0" applyFont="1" applyFill="1" applyBorder="1" applyAlignment="1">
      <alignment wrapText="1"/>
    </xf>
    <xf numFmtId="0" fontId="2" fillId="0" borderId="0" xfId="0" applyFont="1"/>
    <xf numFmtId="0" fontId="4" fillId="0" borderId="0" xfId="0" applyFont="1"/>
    <xf numFmtId="0" fontId="1" fillId="2" borderId="5" xfId="0" applyFont="1" applyFill="1" applyBorder="1" applyAlignment="1">
      <alignment wrapText="1"/>
    </xf>
    <xf numFmtId="0" fontId="1" fillId="2" borderId="6" xfId="0" applyFont="1" applyFill="1" applyBorder="1" applyAlignment="1">
      <alignment wrapText="1"/>
    </xf>
    <xf numFmtId="0" fontId="1" fillId="2" borderId="14" xfId="0" applyFont="1" applyFill="1" applyBorder="1" applyAlignment="1">
      <alignment wrapText="1"/>
    </xf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 applyAlignment="1">
      <alignment horizontal="left"/>
    </xf>
    <xf numFmtId="0" fontId="2" fillId="0" borderId="14" xfId="0" applyFont="1" applyBorder="1"/>
    <xf numFmtId="0" fontId="1" fillId="2" borderId="1" xfId="0" applyFont="1" applyFill="1" applyBorder="1" applyAlignment="1">
      <alignment horizontal="right"/>
    </xf>
    <xf numFmtId="0" fontId="2" fillId="0" borderId="1" xfId="0" applyFont="1" applyBorder="1" applyAlignment="1">
      <alignment horizontal="left"/>
    </xf>
    <xf numFmtId="0" fontId="2" fillId="0" borderId="33" xfId="0" applyFont="1" applyBorder="1"/>
    <xf numFmtId="0" fontId="2" fillId="0" borderId="81" xfId="0" applyFont="1" applyBorder="1" applyAlignment="1">
      <alignment horizontal="left"/>
    </xf>
    <xf numFmtId="0" fontId="3" fillId="2" borderId="1" xfId="0" applyFont="1" applyFill="1" applyBorder="1" applyAlignment="1">
      <alignment horizontal="center"/>
    </xf>
    <xf numFmtId="3" fontId="0" fillId="8" borderId="1" xfId="0" applyNumberFormat="1" applyFill="1" applyBorder="1"/>
    <xf numFmtId="3" fontId="0" fillId="0" borderId="0" xfId="0" applyNumberFormat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2" fillId="0" borderId="3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65" xfId="0" applyFont="1" applyBorder="1" applyAlignment="1">
      <alignment horizontal="left" vertical="center"/>
    </xf>
    <xf numFmtId="0" fontId="1" fillId="2" borderId="33" xfId="0" applyFont="1" applyFill="1" applyBorder="1" applyAlignment="1">
      <alignment horizontal="center" vertical="center"/>
    </xf>
    <xf numFmtId="0" fontId="1" fillId="2" borderId="34" xfId="0" applyFont="1" applyFill="1" applyBorder="1" applyAlignment="1">
      <alignment horizontal="center" vertical="center"/>
    </xf>
    <xf numFmtId="0" fontId="1" fillId="2" borderId="81" xfId="0" applyFont="1" applyFill="1" applyBorder="1" applyAlignment="1">
      <alignment horizontal="center" vertical="center"/>
    </xf>
    <xf numFmtId="0" fontId="0" fillId="0" borderId="86" xfId="0" applyBorder="1" applyAlignment="1">
      <alignment vertical="center"/>
    </xf>
    <xf numFmtId="0" fontId="0" fillId="0" borderId="35" xfId="0" applyBorder="1" applyAlignment="1">
      <alignment vertical="center"/>
    </xf>
    <xf numFmtId="0" fontId="46" fillId="11" borderId="4" xfId="0" applyFont="1" applyFill="1" applyBorder="1" applyAlignment="1">
      <alignment horizontal="center" vertical="center" wrapText="1"/>
    </xf>
    <xf numFmtId="0" fontId="1" fillId="2" borderId="37" xfId="0" applyFont="1" applyFill="1" applyBorder="1" applyAlignment="1">
      <alignment horizontal="center" vertical="center" wrapText="1" readingOrder="1"/>
    </xf>
    <xf numFmtId="0" fontId="1" fillId="20" borderId="37" xfId="0" applyFont="1" applyFill="1" applyBorder="1" applyAlignment="1">
      <alignment horizontal="center" vertical="center" wrapText="1" readingOrder="1"/>
    </xf>
    <xf numFmtId="0" fontId="4" fillId="0" borderId="87" xfId="0" applyFont="1" applyBorder="1" applyAlignment="1">
      <alignment horizontal="left" vertical="center" wrapText="1" readingOrder="1"/>
    </xf>
    <xf numFmtId="0" fontId="1" fillId="2" borderId="88" xfId="0" applyFont="1" applyFill="1" applyBorder="1" applyAlignment="1">
      <alignment horizontal="center" vertical="center" wrapText="1" readingOrder="1"/>
    </xf>
    <xf numFmtId="0" fontId="1" fillId="20" borderId="10" xfId="0" applyFont="1" applyFill="1" applyBorder="1" applyAlignment="1">
      <alignment horizontal="center" vertical="center" wrapText="1" readingOrder="1"/>
    </xf>
    <xf numFmtId="0" fontId="1" fillId="20" borderId="9" xfId="0" applyFont="1" applyFill="1" applyBorder="1" applyAlignment="1">
      <alignment horizontal="center" vertical="center" wrapText="1" readingOrder="1"/>
    </xf>
    <xf numFmtId="0" fontId="1" fillId="20" borderId="11" xfId="0" applyFont="1" applyFill="1" applyBorder="1" applyAlignment="1">
      <alignment horizontal="center" vertical="center" wrapText="1" readingOrder="1"/>
    </xf>
    <xf numFmtId="0" fontId="1" fillId="2" borderId="10" xfId="0" applyFont="1" applyFill="1" applyBorder="1" applyAlignment="1">
      <alignment horizontal="center" vertical="center" wrapText="1" readingOrder="1"/>
    </xf>
    <xf numFmtId="0" fontId="1" fillId="2" borderId="9" xfId="0" applyFont="1" applyFill="1" applyBorder="1" applyAlignment="1">
      <alignment horizontal="center" vertical="center" wrapText="1" readingOrder="1"/>
    </xf>
    <xf numFmtId="0" fontId="1" fillId="2" borderId="11" xfId="0" applyFont="1" applyFill="1" applyBorder="1" applyAlignment="1">
      <alignment horizontal="center" vertical="center" wrapText="1" readingOrder="1"/>
    </xf>
    <xf numFmtId="0" fontId="1" fillId="20" borderId="88" xfId="0" applyFont="1" applyFill="1" applyBorder="1" applyAlignment="1">
      <alignment horizontal="center" vertical="center" wrapText="1" readingOrder="1"/>
    </xf>
    <xf numFmtId="0" fontId="46" fillId="11" borderId="87" xfId="0" applyFont="1" applyFill="1" applyBorder="1" applyAlignment="1">
      <alignment horizontal="center" vertical="center" wrapText="1"/>
    </xf>
    <xf numFmtId="0" fontId="4" fillId="0" borderId="82" xfId="0" applyFont="1" applyBorder="1" applyAlignment="1">
      <alignment horizontal="left" vertical="center" wrapText="1" readingOrder="1"/>
    </xf>
    <xf numFmtId="0" fontId="1" fillId="2" borderId="89" xfId="0" applyFont="1" applyFill="1" applyBorder="1" applyAlignment="1">
      <alignment horizontal="center" vertical="center" wrapText="1" readingOrder="1"/>
    </xf>
    <xf numFmtId="0" fontId="1" fillId="20" borderId="33" xfId="0" applyFont="1" applyFill="1" applyBorder="1" applyAlignment="1">
      <alignment horizontal="center" vertical="center" wrapText="1" readingOrder="1"/>
    </xf>
    <xf numFmtId="0" fontId="1" fillId="20" borderId="34" xfId="0" applyFont="1" applyFill="1" applyBorder="1" applyAlignment="1">
      <alignment horizontal="center" vertical="center" wrapText="1" readingOrder="1"/>
    </xf>
    <xf numFmtId="0" fontId="1" fillId="20" borderId="81" xfId="0" applyFont="1" applyFill="1" applyBorder="1" applyAlignment="1">
      <alignment horizontal="center" vertical="center" wrapText="1" readingOrder="1"/>
    </xf>
    <xf numFmtId="0" fontId="1" fillId="2" borderId="33" xfId="0" applyFont="1" applyFill="1" applyBorder="1" applyAlignment="1">
      <alignment horizontal="center" vertical="center" wrapText="1" readingOrder="1"/>
    </xf>
    <xf numFmtId="0" fontId="1" fillId="2" borderId="34" xfId="0" applyFont="1" applyFill="1" applyBorder="1" applyAlignment="1">
      <alignment horizontal="center" vertical="center" wrapText="1" readingOrder="1"/>
    </xf>
    <xf numFmtId="0" fontId="1" fillId="2" borderId="81" xfId="0" applyFont="1" applyFill="1" applyBorder="1" applyAlignment="1">
      <alignment horizontal="center" vertical="center" wrapText="1" readingOrder="1"/>
    </xf>
    <xf numFmtId="0" fontId="1" fillId="20" borderId="89" xfId="0" applyFont="1" applyFill="1" applyBorder="1" applyAlignment="1">
      <alignment horizontal="center" vertical="center" wrapText="1" readingOrder="1"/>
    </xf>
    <xf numFmtId="0" fontId="4" fillId="0" borderId="35" xfId="0" applyFont="1" applyBorder="1" applyAlignment="1">
      <alignment horizontal="center" vertical="center" wrapText="1" readingOrder="1"/>
    </xf>
    <xf numFmtId="0" fontId="2" fillId="0" borderId="31" xfId="0" applyFont="1" applyBorder="1" applyAlignment="1">
      <alignment horizontal="center" vertical="center" wrapText="1" readingOrder="1"/>
    </xf>
    <xf numFmtId="0" fontId="4" fillId="0" borderId="65" xfId="0" applyFont="1" applyBorder="1" applyAlignment="1">
      <alignment horizontal="left" vertical="center" wrapText="1" readingOrder="1"/>
    </xf>
    <xf numFmtId="0" fontId="4" fillId="0" borderId="86" xfId="0" applyFont="1" applyBorder="1" applyAlignment="1">
      <alignment horizontal="center" vertical="center" wrapText="1" readingOrder="1"/>
    </xf>
    <xf numFmtId="0" fontId="2" fillId="0" borderId="35" xfId="0" applyFont="1" applyBorder="1" applyAlignment="1">
      <alignment horizontal="center" vertical="center" wrapText="1" readingOrder="1"/>
    </xf>
    <xf numFmtId="0" fontId="0" fillId="0" borderId="7" xfId="0" applyBorder="1" applyAlignment="1">
      <alignment horizontal="center"/>
    </xf>
    <xf numFmtId="0" fontId="2" fillId="0" borderId="1" xfId="0" applyFont="1" applyBorder="1" applyAlignment="1">
      <alignment vertical="center"/>
    </xf>
    <xf numFmtId="3" fontId="2" fillId="0" borderId="1" xfId="0" applyNumberFormat="1" applyFont="1" applyBorder="1" applyAlignment="1">
      <alignment horizontal="right" vertical="center"/>
    </xf>
    <xf numFmtId="3" fontId="2" fillId="0" borderId="1" xfId="0" applyNumberFormat="1" applyFont="1" applyBorder="1" applyAlignment="1">
      <alignment vertical="center" wrapText="1"/>
    </xf>
    <xf numFmtId="166" fontId="2" fillId="0" borderId="1" xfId="0" applyNumberFormat="1" applyFont="1" applyBorder="1" applyAlignment="1">
      <alignment vertical="center" wrapText="1"/>
    </xf>
    <xf numFmtId="10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 wrapText="1" readingOrder="1"/>
    </xf>
    <xf numFmtId="0" fontId="4" fillId="0" borderId="31" xfId="0" applyFont="1" applyBorder="1" applyAlignment="1">
      <alignment horizontal="center" vertical="center" wrapText="1" readingOrder="1"/>
    </xf>
    <xf numFmtId="0" fontId="4" fillId="0" borderId="5" xfId="0" applyFont="1" applyBorder="1" applyAlignment="1">
      <alignment horizontal="center" vertical="center" wrapText="1" readingOrder="1"/>
    </xf>
    <xf numFmtId="0" fontId="2" fillId="0" borderId="32" xfId="0" applyFont="1" applyBorder="1" applyAlignment="1">
      <alignment horizontal="center" vertical="center" wrapText="1" readingOrder="1"/>
    </xf>
    <xf numFmtId="0" fontId="2" fillId="0" borderId="6" xfId="0" applyFont="1" applyBorder="1" applyAlignment="1">
      <alignment horizontal="center" vertical="center" wrapText="1" readingOrder="1"/>
    </xf>
    <xf numFmtId="0" fontId="4" fillId="0" borderId="2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4" fillId="0" borderId="33" xfId="0" applyFont="1" applyBorder="1" applyAlignment="1">
      <alignment horizontal="center" vertical="center" wrapText="1" readingOrder="1"/>
    </xf>
    <xf numFmtId="0" fontId="2" fillId="0" borderId="34" xfId="0" applyFont="1" applyBorder="1" applyAlignment="1">
      <alignment horizontal="center" vertical="center" wrapText="1" readingOrder="1"/>
    </xf>
    <xf numFmtId="0" fontId="2" fillId="0" borderId="81" xfId="0" applyFont="1" applyBorder="1" applyAlignment="1">
      <alignment horizontal="center" vertical="center" wrapText="1" readingOrder="1"/>
    </xf>
    <xf numFmtId="0" fontId="1" fillId="0" borderId="0" xfId="0" applyFont="1"/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/>
    <xf numFmtId="1" fontId="2" fillId="4" borderId="1" xfId="0" applyNumberFormat="1" applyFont="1" applyFill="1" applyBorder="1"/>
    <xf numFmtId="0" fontId="49" fillId="0" borderId="1" xfId="0" applyFont="1" applyBorder="1"/>
    <xf numFmtId="0" fontId="49" fillId="8" borderId="1" xfId="0" applyFont="1" applyFill="1" applyBorder="1"/>
    <xf numFmtId="0" fontId="2" fillId="0" borderId="0" xfId="0" applyFont="1" applyAlignment="1">
      <alignment horizontal="center" vertical="center"/>
    </xf>
    <xf numFmtId="1" fontId="0" fillId="0" borderId="0" xfId="0" applyNumberFormat="1"/>
    <xf numFmtId="0" fontId="1" fillId="2" borderId="19" xfId="0" applyFont="1" applyFill="1" applyBorder="1"/>
    <xf numFmtId="0" fontId="48" fillId="21" borderId="1" xfId="0" applyFont="1" applyFill="1" applyBorder="1" applyAlignment="1">
      <alignment vertical="center"/>
    </xf>
    <xf numFmtId="3" fontId="48" fillId="21" borderId="1" xfId="0" applyNumberFormat="1" applyFont="1" applyFill="1" applyBorder="1" applyAlignment="1">
      <alignment horizontal="right" vertical="center"/>
    </xf>
    <xf numFmtId="3" fontId="48" fillId="21" borderId="1" xfId="0" applyNumberFormat="1" applyFont="1" applyFill="1" applyBorder="1" applyAlignment="1">
      <alignment vertical="center" wrapText="1"/>
    </xf>
    <xf numFmtId="166" fontId="48" fillId="21" borderId="1" xfId="0" applyNumberFormat="1" applyFont="1" applyFill="1" applyBorder="1" applyAlignment="1">
      <alignment vertical="center" wrapText="1"/>
    </xf>
    <xf numFmtId="10" fontId="48" fillId="21" borderId="1" xfId="0" applyNumberFormat="1" applyFont="1" applyFill="1" applyBorder="1" applyAlignment="1">
      <alignment vertical="center"/>
    </xf>
    <xf numFmtId="164" fontId="1" fillId="2" borderId="1" xfId="0" applyNumberFormat="1" applyFont="1" applyFill="1" applyBorder="1" applyAlignment="1">
      <alignment horizontal="right"/>
    </xf>
    <xf numFmtId="2" fontId="1" fillId="2" borderId="1" xfId="0" applyNumberFormat="1" applyFont="1" applyFill="1" applyBorder="1" applyAlignment="1">
      <alignment horizontal="right"/>
    </xf>
    <xf numFmtId="164" fontId="0" fillId="0" borderId="1" xfId="0" applyNumberFormat="1" applyBorder="1"/>
    <xf numFmtId="164" fontId="0" fillId="0" borderId="0" xfId="0" applyNumberFormat="1"/>
    <xf numFmtId="0" fontId="52" fillId="0" borderId="0" xfId="0" applyFont="1"/>
    <xf numFmtId="0" fontId="53" fillId="2" borderId="87" xfId="0" applyFont="1" applyFill="1" applyBorder="1" applyAlignment="1">
      <alignment horizontal="center" vertical="center" wrapText="1"/>
    </xf>
    <xf numFmtId="0" fontId="53" fillId="2" borderId="12" xfId="0" applyFont="1" applyFill="1" applyBorder="1" applyAlignment="1">
      <alignment horizontal="center" vertical="center" wrapText="1"/>
    </xf>
    <xf numFmtId="0" fontId="53" fillId="2" borderId="13" xfId="0" applyFont="1" applyFill="1" applyBorder="1" applyAlignment="1">
      <alignment horizontal="center" vertical="center" wrapText="1"/>
    </xf>
    <xf numFmtId="0" fontId="53" fillId="2" borderId="90" xfId="0" applyFont="1" applyFill="1" applyBorder="1" applyAlignment="1">
      <alignment horizontal="center" vertical="center" wrapText="1"/>
    </xf>
    <xf numFmtId="0" fontId="53" fillId="2" borderId="94" xfId="0" applyFont="1" applyFill="1" applyBorder="1" applyAlignment="1">
      <alignment vertical="center" wrapText="1"/>
    </xf>
    <xf numFmtId="0" fontId="53" fillId="2" borderId="70" xfId="0" applyFont="1" applyFill="1" applyBorder="1" applyAlignment="1">
      <alignment horizontal="left" vertical="center" wrapText="1" indent="1"/>
    </xf>
    <xf numFmtId="0" fontId="53" fillId="2" borderId="0" xfId="0" applyFont="1" applyFill="1" applyAlignment="1">
      <alignment horizontal="left" vertical="center" wrapText="1" indent="1"/>
    </xf>
    <xf numFmtId="0" fontId="53" fillId="2" borderId="70" xfId="0" applyFont="1" applyFill="1" applyBorder="1" applyAlignment="1">
      <alignment vertical="center" wrapText="1"/>
    </xf>
    <xf numFmtId="9" fontId="53" fillId="2" borderId="94" xfId="0" applyNumberFormat="1" applyFont="1" applyFill="1" applyBorder="1" applyAlignment="1">
      <alignment horizontal="center" vertical="center" wrapText="1"/>
    </xf>
    <xf numFmtId="0" fontId="56" fillId="0" borderId="95" xfId="0" applyFont="1" applyBorder="1" applyAlignment="1">
      <alignment horizontal="left" vertical="center" wrapText="1" indent="1"/>
    </xf>
    <xf numFmtId="0" fontId="56" fillId="0" borderId="2" xfId="0" applyFont="1" applyBorder="1" applyAlignment="1">
      <alignment horizontal="left" vertical="center" wrapText="1" indent="1"/>
    </xf>
    <xf numFmtId="0" fontId="56" fillId="0" borderId="1" xfId="0" applyFont="1" applyBorder="1" applyAlignment="1">
      <alignment horizontal="right" vertical="center" wrapText="1" indent="1"/>
    </xf>
    <xf numFmtId="2" fontId="56" fillId="0" borderId="1" xfId="0" applyNumberFormat="1" applyFont="1" applyBorder="1" applyAlignment="1">
      <alignment horizontal="right" vertical="center" wrapText="1"/>
    </xf>
    <xf numFmtId="4" fontId="56" fillId="0" borderId="2" xfId="0" applyNumberFormat="1" applyFont="1" applyBorder="1" applyAlignment="1">
      <alignment horizontal="right" vertical="center" wrapText="1" indent="1"/>
    </xf>
    <xf numFmtId="0" fontId="56" fillId="0" borderId="1" xfId="0" applyFont="1" applyBorder="1" applyAlignment="1">
      <alignment horizontal="left" vertical="center" wrapText="1" indent="1"/>
    </xf>
    <xf numFmtId="0" fontId="56" fillId="0" borderId="3" xfId="0" applyFont="1" applyBorder="1" applyAlignment="1">
      <alignment horizontal="left" vertical="center" wrapText="1" indent="1"/>
    </xf>
    <xf numFmtId="3" fontId="56" fillId="0" borderId="1" xfId="0" applyNumberFormat="1" applyFont="1" applyBorder="1" applyAlignment="1">
      <alignment horizontal="left" vertical="center" wrapText="1" indent="1"/>
    </xf>
    <xf numFmtId="0" fontId="56" fillId="0" borderId="96" xfId="0" applyFont="1" applyBorder="1" applyAlignment="1">
      <alignment horizontal="left" vertical="center" wrapText="1" indent="1"/>
    </xf>
    <xf numFmtId="0" fontId="56" fillId="0" borderId="34" xfId="0" applyFont="1" applyBorder="1" applyAlignment="1">
      <alignment horizontal="left" vertical="center" wrapText="1" indent="1"/>
    </xf>
    <xf numFmtId="2" fontId="56" fillId="0" borderId="34" xfId="0" applyNumberFormat="1" applyFont="1" applyBorder="1" applyAlignment="1">
      <alignment horizontal="left" vertical="center" wrapText="1" indent="1"/>
    </xf>
    <xf numFmtId="0" fontId="56" fillId="0" borderId="81" xfId="0" applyFont="1" applyBorder="1" applyAlignment="1">
      <alignment horizontal="left" vertical="center" wrapText="1" indent="1"/>
    </xf>
    <xf numFmtId="0" fontId="56" fillId="0" borderId="33" xfId="0" applyFont="1" applyBorder="1" applyAlignment="1">
      <alignment horizontal="left" vertical="center" wrapText="1" indent="1"/>
    </xf>
    <xf numFmtId="3" fontId="56" fillId="0" borderId="95" xfId="0" applyNumberFormat="1" applyFont="1" applyBorder="1" applyAlignment="1">
      <alignment horizontal="left" vertical="center" wrapText="1" indent="1"/>
    </xf>
    <xf numFmtId="0" fontId="56" fillId="0" borderId="14" xfId="0" applyFont="1" applyBorder="1" applyAlignment="1">
      <alignment horizontal="left" vertical="center" wrapText="1" indent="1"/>
    </xf>
    <xf numFmtId="0" fontId="56" fillId="0" borderId="98" xfId="0" applyFont="1" applyBorder="1" applyAlignment="1">
      <alignment horizontal="left" vertical="center" wrapText="1" indent="1"/>
    </xf>
    <xf numFmtId="0" fontId="56" fillId="0" borderId="89" xfId="0" applyFont="1" applyBorder="1" applyAlignment="1">
      <alignment horizontal="left" vertical="center" wrapText="1" indent="1"/>
    </xf>
    <xf numFmtId="2" fontId="56" fillId="0" borderId="1" xfId="0" applyNumberFormat="1" applyFont="1" applyBorder="1" applyAlignment="1">
      <alignment horizontal="right" vertical="center" wrapText="1" indent="1"/>
    </xf>
    <xf numFmtId="0" fontId="53" fillId="2" borderId="0" xfId="0" applyFont="1" applyFill="1" applyAlignment="1">
      <alignment vertical="center" wrapText="1"/>
    </xf>
    <xf numFmtId="0" fontId="57" fillId="0" borderId="97" xfId="0" applyFont="1" applyBorder="1" applyAlignment="1">
      <alignment horizontal="left" vertical="center" wrapText="1" indent="1"/>
    </xf>
    <xf numFmtId="0" fontId="28" fillId="0" borderId="70" xfId="0" applyFont="1" applyBorder="1" applyAlignment="1">
      <alignment vertical="center" wrapText="1"/>
    </xf>
    <xf numFmtId="0" fontId="56" fillId="0" borderId="7" xfId="0" applyFont="1" applyBorder="1" applyAlignment="1">
      <alignment horizontal="right" vertical="center" wrapText="1" indent="1"/>
    </xf>
    <xf numFmtId="0" fontId="56" fillId="0" borderId="7" xfId="0" applyFont="1" applyBorder="1" applyAlignment="1">
      <alignment horizontal="left" vertical="center" wrapText="1" indent="1"/>
    </xf>
    <xf numFmtId="0" fontId="56" fillId="0" borderId="39" xfId="0" applyFont="1" applyBorder="1" applyAlignment="1">
      <alignment horizontal="left" vertical="center" wrapText="1" indent="1"/>
    </xf>
    <xf numFmtId="0" fontId="53" fillId="2" borderId="99" xfId="0" applyFont="1" applyFill="1" applyBorder="1" applyAlignment="1">
      <alignment vertical="center" wrapText="1"/>
    </xf>
    <xf numFmtId="9" fontId="53" fillId="2" borderId="70" xfId="0" applyNumberFormat="1" applyFont="1" applyFill="1" applyBorder="1" applyAlignment="1">
      <alignment horizontal="center" vertical="center" wrapText="1"/>
    </xf>
    <xf numFmtId="3" fontId="56" fillId="0" borderId="100" xfId="0" applyNumberFormat="1" applyFont="1" applyBorder="1" applyAlignment="1">
      <alignment horizontal="left" vertical="center" wrapText="1" indent="1"/>
    </xf>
    <xf numFmtId="0" fontId="56" fillId="0" borderId="100" xfId="0" applyFont="1" applyBorder="1" applyAlignment="1">
      <alignment horizontal="left" vertical="center" wrapText="1" indent="1"/>
    </xf>
    <xf numFmtId="0" fontId="56" fillId="0" borderId="101" xfId="0" applyFont="1" applyBorder="1" applyAlignment="1">
      <alignment horizontal="left" vertical="center" wrapText="1" indent="1"/>
    </xf>
    <xf numFmtId="0" fontId="56" fillId="0" borderId="98" xfId="0" applyFont="1" applyBorder="1" applyAlignment="1">
      <alignment horizontal="right" vertical="center" wrapText="1" indent="1"/>
    </xf>
    <xf numFmtId="3" fontId="58" fillId="0" borderId="89" xfId="0" applyNumberFormat="1" applyFont="1" applyBorder="1" applyAlignment="1">
      <alignment horizontal="left" vertical="center" wrapText="1" indent="1"/>
    </xf>
    <xf numFmtId="3" fontId="52" fillId="0" borderId="65" xfId="0" applyNumberFormat="1" applyFont="1" applyBorder="1"/>
    <xf numFmtId="3" fontId="56" fillId="0" borderId="1" xfId="0" applyNumberFormat="1" applyFont="1" applyBorder="1" applyAlignment="1">
      <alignment horizontal="right" vertical="center" wrapText="1" indent="1"/>
    </xf>
    <xf numFmtId="0" fontId="59" fillId="22" borderId="1" xfId="0" applyFont="1" applyFill="1" applyBorder="1" applyAlignment="1">
      <alignment horizontal="center"/>
    </xf>
    <xf numFmtId="0" fontId="60" fillId="22" borderId="1" xfId="0" applyFont="1" applyFill="1" applyBorder="1" applyAlignment="1">
      <alignment horizontal="center"/>
    </xf>
    <xf numFmtId="0" fontId="61" fillId="0" borderId="1" xfId="0" applyFont="1" applyBorder="1" applyAlignment="1">
      <alignment horizontal="center" vertical="center" wrapText="1" readingOrder="1"/>
    </xf>
    <xf numFmtId="0" fontId="0" fillId="22" borderId="1" xfId="0" applyFill="1" applyBorder="1"/>
    <xf numFmtId="0" fontId="0" fillId="0" borderId="0" xfId="0" applyAlignment="1">
      <alignment horizontal="right"/>
    </xf>
    <xf numFmtId="0" fontId="2" fillId="23" borderId="1" xfId="0" applyFont="1" applyFill="1" applyBorder="1"/>
    <xf numFmtId="0" fontId="0" fillId="2" borderId="1" xfId="0" applyFill="1" applyBorder="1"/>
    <xf numFmtId="0" fontId="2" fillId="2" borderId="0" xfId="0" applyFont="1" applyFill="1"/>
    <xf numFmtId="0" fontId="0" fillId="0" borderId="26" xfId="0" applyBorder="1"/>
    <xf numFmtId="0" fontId="0" fillId="19" borderId="1" xfId="0" applyFill="1" applyBorder="1"/>
    <xf numFmtId="0" fontId="0" fillId="23" borderId="1" xfId="0" applyFill="1" applyBorder="1"/>
    <xf numFmtId="0" fontId="4" fillId="0" borderId="4" xfId="0" applyFont="1" applyBorder="1" applyAlignment="1">
      <alignment horizontal="center" vertical="center" wrapText="1"/>
    </xf>
    <xf numFmtId="0" fontId="62" fillId="0" borderId="1" xfId="0" applyFont="1" applyBorder="1" applyAlignment="1">
      <alignment horizontal="left" vertical="center"/>
    </xf>
    <xf numFmtId="0" fontId="59" fillId="0" borderId="0" xfId="0" applyFont="1"/>
    <xf numFmtId="0" fontId="0" fillId="0" borderId="1" xfId="0" quotePrefix="1" applyBorder="1"/>
    <xf numFmtId="49" fontId="6" fillId="6" borderId="90" xfId="0" applyNumberFormat="1" applyFont="1" applyFill="1" applyBorder="1" applyAlignment="1">
      <alignment horizontal="center" wrapText="1"/>
    </xf>
    <xf numFmtId="0" fontId="0" fillId="6" borderId="2" xfId="0" applyFill="1" applyBorder="1"/>
    <xf numFmtId="0" fontId="0" fillId="6" borderId="1" xfId="0" applyFill="1" applyBorder="1"/>
    <xf numFmtId="0" fontId="0" fillId="6" borderId="3" xfId="0" applyFill="1" applyBorder="1"/>
    <xf numFmtId="49" fontId="6" fillId="6" borderId="25" xfId="0" applyNumberFormat="1" applyFont="1" applyFill="1" applyBorder="1" applyAlignment="1">
      <alignment horizontal="center" wrapText="1"/>
    </xf>
    <xf numFmtId="49" fontId="6" fillId="6" borderId="31" xfId="0" applyNumberFormat="1" applyFont="1" applyFill="1" applyBorder="1" applyAlignment="1">
      <alignment horizontal="center" wrapText="1"/>
    </xf>
    <xf numFmtId="49" fontId="6" fillId="6" borderId="24" xfId="0" applyNumberFormat="1" applyFont="1" applyFill="1" applyBorder="1" applyAlignment="1">
      <alignment horizontal="center" wrapText="1"/>
    </xf>
    <xf numFmtId="9" fontId="6" fillId="6" borderId="37" xfId="0" applyNumberFormat="1" applyFont="1" applyFill="1" applyBorder="1" applyAlignment="1">
      <alignment horizontal="center" wrapText="1"/>
    </xf>
    <xf numFmtId="0" fontId="6" fillId="0" borderId="98" xfId="0" applyFont="1" applyBorder="1"/>
    <xf numFmtId="0" fontId="0" fillId="0" borderId="35" xfId="0" applyBorder="1" applyAlignment="1">
      <alignment horizontal="center"/>
    </xf>
    <xf numFmtId="164" fontId="0" fillId="0" borderId="36" xfId="0" applyNumberFormat="1" applyBorder="1"/>
    <xf numFmtId="3" fontId="0" fillId="0" borderId="104" xfId="0" applyNumberFormat="1" applyBorder="1"/>
    <xf numFmtId="3" fontId="0" fillId="0" borderId="35" xfId="0" applyNumberFormat="1" applyBorder="1"/>
    <xf numFmtId="164" fontId="0" fillId="0" borderId="25" xfId="0" applyNumberFormat="1" applyBorder="1"/>
    <xf numFmtId="164" fontId="0" fillId="0" borderId="31" xfId="0" applyNumberFormat="1" applyBorder="1"/>
    <xf numFmtId="164" fontId="0" fillId="0" borderId="24" xfId="0" applyNumberFormat="1" applyBorder="1"/>
    <xf numFmtId="164" fontId="0" fillId="0" borderId="86" xfId="0" applyNumberFormat="1" applyBorder="1"/>
    <xf numFmtId="164" fontId="0" fillId="0" borderId="8" xfId="0" applyNumberFormat="1" applyBorder="1"/>
    <xf numFmtId="0" fontId="0" fillId="0" borderId="86" xfId="0" applyBorder="1"/>
    <xf numFmtId="2" fontId="0" fillId="0" borderId="105" xfId="0" applyNumberFormat="1" applyBorder="1"/>
    <xf numFmtId="0" fontId="0" fillId="0" borderId="2" xfId="0" applyBorder="1" applyAlignment="1">
      <alignment horizontal="center"/>
    </xf>
    <xf numFmtId="0" fontId="0" fillId="0" borderId="10" xfId="0" applyBorder="1"/>
    <xf numFmtId="0" fontId="0" fillId="0" borderId="9" xfId="0" applyBorder="1"/>
    <xf numFmtId="0" fontId="6" fillId="0" borderId="89" xfId="0" applyFont="1" applyBorder="1"/>
    <xf numFmtId="0" fontId="0" fillId="0" borderId="33" xfId="0" applyBorder="1" applyAlignment="1">
      <alignment horizontal="center"/>
    </xf>
    <xf numFmtId="0" fontId="0" fillId="0" borderId="106" xfId="0" applyBorder="1"/>
    <xf numFmtId="2" fontId="0" fillId="24" borderId="69" xfId="0" applyNumberFormat="1" applyFill="1" applyBorder="1"/>
    <xf numFmtId="164" fontId="0" fillId="0" borderId="41" xfId="0" applyNumberFormat="1" applyBorder="1"/>
    <xf numFmtId="3" fontId="0" fillId="0" borderId="91" xfId="0" applyNumberFormat="1" applyBorder="1"/>
    <xf numFmtId="3" fontId="0" fillId="0" borderId="40" xfId="0" applyNumberFormat="1" applyBorder="1"/>
    <xf numFmtId="164" fontId="0" fillId="0" borderId="107" xfId="0" applyNumberFormat="1" applyBorder="1"/>
    <xf numFmtId="164" fontId="0" fillId="0" borderId="106" xfId="0" applyNumberFormat="1" applyBorder="1"/>
    <xf numFmtId="164" fontId="0" fillId="0" borderId="108" xfId="0" applyNumberFormat="1" applyBorder="1"/>
    <xf numFmtId="164" fontId="0" fillId="0" borderId="69" xfId="0" applyNumberFormat="1" applyBorder="1"/>
    <xf numFmtId="164" fontId="0" fillId="0" borderId="92" xfId="0" applyNumberFormat="1" applyBorder="1"/>
    <xf numFmtId="2" fontId="0" fillId="0" borderId="93" xfId="0" applyNumberFormat="1" applyBorder="1"/>
    <xf numFmtId="164" fontId="0" fillId="0" borderId="35" xfId="0" applyNumberFormat="1" applyBorder="1"/>
    <xf numFmtId="0" fontId="1" fillId="2" borderId="83" xfId="0" applyFont="1" applyFill="1" applyBorder="1" applyAlignment="1">
      <alignment horizontal="center"/>
    </xf>
    <xf numFmtId="0" fontId="1" fillId="2" borderId="84" xfId="0" applyFont="1" applyFill="1" applyBorder="1" applyAlignment="1">
      <alignment horizontal="center"/>
    </xf>
    <xf numFmtId="0" fontId="1" fillId="2" borderId="85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left" vertical="center"/>
    </xf>
    <xf numFmtId="0" fontId="2" fillId="0" borderId="7" xfId="0" applyFont="1" applyBorder="1" applyAlignment="1">
      <alignment horizontal="center" vertical="center" wrapText="1" readingOrder="1"/>
    </xf>
    <xf numFmtId="0" fontId="2" fillId="0" borderId="14" xfId="0" applyFont="1" applyBorder="1" applyAlignment="1">
      <alignment horizontal="center" vertical="center" wrapText="1" readingOrder="1"/>
    </xf>
    <xf numFmtId="0" fontId="1" fillId="2" borderId="0" xfId="0" applyFont="1" applyFill="1" applyAlignment="1">
      <alignment horizontal="center"/>
    </xf>
    <xf numFmtId="0" fontId="6" fillId="0" borderId="19" xfId="0" applyFont="1" applyBorder="1" applyAlignment="1">
      <alignment horizontal="right"/>
    </xf>
    <xf numFmtId="0" fontId="6" fillId="0" borderId="26" xfId="0" applyFont="1" applyBorder="1" applyAlignment="1">
      <alignment horizontal="right"/>
    </xf>
    <xf numFmtId="0" fontId="6" fillId="0" borderId="16" xfId="0" applyFont="1" applyBorder="1" applyAlignment="1">
      <alignment horizontal="right"/>
    </xf>
    <xf numFmtId="0" fontId="6" fillId="0" borderId="15" xfId="0" applyFont="1" applyBorder="1" applyAlignment="1">
      <alignment horizontal="right"/>
    </xf>
    <xf numFmtId="0" fontId="1" fillId="2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21" fillId="6" borderId="7" xfId="1" applyFont="1" applyFill="1" applyBorder="1" applyAlignment="1">
      <alignment horizontal="center" textRotation="90"/>
    </xf>
    <xf numFmtId="0" fontId="21" fillId="6" borderId="28" xfId="1" applyFont="1" applyFill="1" applyBorder="1" applyAlignment="1">
      <alignment horizontal="center" textRotation="90"/>
    </xf>
    <xf numFmtId="0" fontId="21" fillId="6" borderId="14" xfId="1" applyFont="1" applyFill="1" applyBorder="1" applyAlignment="1">
      <alignment horizontal="center" textRotation="90"/>
    </xf>
    <xf numFmtId="9" fontId="15" fillId="6" borderId="7" xfId="2" applyFont="1" applyFill="1" applyBorder="1" applyAlignment="1">
      <alignment horizontal="center" vertical="center"/>
    </xf>
    <xf numFmtId="9" fontId="15" fillId="6" borderId="28" xfId="2" applyFont="1" applyFill="1" applyBorder="1" applyAlignment="1">
      <alignment horizontal="center" vertical="center"/>
    </xf>
    <xf numFmtId="9" fontId="15" fillId="6" borderId="14" xfId="2" applyFont="1" applyFill="1" applyBorder="1" applyAlignment="1">
      <alignment horizontal="center" vertical="center"/>
    </xf>
    <xf numFmtId="0" fontId="7" fillId="5" borderId="1" xfId="1" applyFill="1" applyBorder="1" applyAlignment="1">
      <alignment horizontal="right" vertical="center"/>
    </xf>
    <xf numFmtId="9" fontId="15" fillId="5" borderId="1" xfId="2" applyFont="1" applyFill="1" applyBorder="1" applyAlignment="1">
      <alignment horizontal="right" vertical="center"/>
    </xf>
    <xf numFmtId="0" fontId="15" fillId="6" borderId="7" xfId="1" applyFont="1" applyFill="1" applyBorder="1" applyAlignment="1">
      <alignment horizontal="center" vertical="center"/>
    </xf>
    <xf numFmtId="0" fontId="15" fillId="6" borderId="28" xfId="1" applyFont="1" applyFill="1" applyBorder="1" applyAlignment="1">
      <alignment horizontal="center" vertical="center"/>
    </xf>
    <xf numFmtId="0" fontId="15" fillId="6" borderId="14" xfId="1" applyFont="1" applyFill="1" applyBorder="1" applyAlignment="1">
      <alignment horizontal="center" vertical="center"/>
    </xf>
    <xf numFmtId="1" fontId="15" fillId="0" borderId="7" xfId="1" applyNumberFormat="1" applyFont="1" applyBorder="1" applyAlignment="1">
      <alignment horizontal="center" vertical="center"/>
    </xf>
    <xf numFmtId="1" fontId="15" fillId="0" borderId="28" xfId="1" applyNumberFormat="1" applyFont="1" applyBorder="1" applyAlignment="1">
      <alignment horizontal="center" vertical="center"/>
    </xf>
    <xf numFmtId="1" fontId="15" fillId="0" borderId="14" xfId="1" applyNumberFormat="1" applyFont="1" applyBorder="1" applyAlignment="1">
      <alignment horizontal="center" vertical="center"/>
    </xf>
    <xf numFmtId="0" fontId="15" fillId="5" borderId="1" xfId="1" applyFont="1" applyFill="1" applyBorder="1" applyAlignment="1">
      <alignment horizontal="right" vertical="center"/>
    </xf>
    <xf numFmtId="0" fontId="7" fillId="0" borderId="7" xfId="1" applyBorder="1" applyAlignment="1">
      <alignment horizontal="center" vertical="center" textRotation="90" wrapText="1"/>
    </xf>
    <xf numFmtId="0" fontId="7" fillId="0" borderId="28" xfId="1" applyBorder="1" applyAlignment="1">
      <alignment horizontal="center" vertical="center" textRotation="90" wrapText="1"/>
    </xf>
    <xf numFmtId="0" fontId="7" fillId="0" borderId="14" xfId="1" applyBorder="1" applyAlignment="1">
      <alignment horizontal="center" vertical="center" textRotation="90" wrapText="1"/>
    </xf>
    <xf numFmtId="9" fontId="7" fillId="0" borderId="7" xfId="1" applyNumberFormat="1" applyBorder="1" applyAlignment="1">
      <alignment horizontal="center" vertical="center" textRotation="90" wrapText="1"/>
    </xf>
    <xf numFmtId="0" fontId="19" fillId="0" borderId="7" xfId="1" applyFont="1" applyBorder="1" applyAlignment="1">
      <alignment horizontal="center" vertical="center"/>
    </xf>
    <xf numFmtId="0" fontId="19" fillId="0" borderId="28" xfId="1" applyFont="1" applyBorder="1" applyAlignment="1">
      <alignment horizontal="center" vertical="center"/>
    </xf>
    <xf numFmtId="0" fontId="19" fillId="0" borderId="14" xfId="1" applyFont="1" applyBorder="1" applyAlignment="1">
      <alignment horizontal="center" vertical="center"/>
    </xf>
    <xf numFmtId="0" fontId="7" fillId="0" borderId="1" xfId="1" applyBorder="1" applyAlignment="1">
      <alignment horizontal="center" vertical="center"/>
    </xf>
    <xf numFmtId="0" fontId="10" fillId="5" borderId="22" xfId="1" applyFont="1" applyFill="1" applyBorder="1" applyAlignment="1">
      <alignment horizontal="center" wrapText="1"/>
    </xf>
    <xf numFmtId="0" fontId="10" fillId="5" borderId="8" xfId="1" applyFont="1" applyFill="1" applyBorder="1" applyAlignment="1">
      <alignment horizontal="center"/>
    </xf>
    <xf numFmtId="0" fontId="10" fillId="5" borderId="23" xfId="1" applyFont="1" applyFill="1" applyBorder="1" applyAlignment="1">
      <alignment horizontal="center" wrapText="1"/>
    </xf>
    <xf numFmtId="0" fontId="10" fillId="5" borderId="25" xfId="1" applyFont="1" applyFill="1" applyBorder="1" applyAlignment="1">
      <alignment horizontal="center"/>
    </xf>
    <xf numFmtId="0" fontId="7" fillId="0" borderId="4" xfId="1" applyBorder="1" applyAlignment="1">
      <alignment horizontal="center" vertical="center" textRotation="90"/>
    </xf>
    <xf numFmtId="0" fontId="7" fillId="0" borderId="22" xfId="1" applyBorder="1" applyAlignment="1">
      <alignment horizontal="center" vertical="center" textRotation="90"/>
    </xf>
    <xf numFmtId="0" fontId="7" fillId="0" borderId="23" xfId="1" applyBorder="1" applyAlignment="1">
      <alignment horizontal="center" vertical="center" textRotation="90"/>
    </xf>
    <xf numFmtId="0" fontId="7" fillId="0" borderId="24" xfId="1" applyBorder="1" applyAlignment="1">
      <alignment horizontal="center" vertical="center" textRotation="90"/>
    </xf>
    <xf numFmtId="0" fontId="7" fillId="0" borderId="8" xfId="1" applyBorder="1" applyAlignment="1">
      <alignment horizontal="center" vertical="center" textRotation="90"/>
    </xf>
    <xf numFmtId="0" fontId="7" fillId="0" borderId="25" xfId="1" applyBorder="1" applyAlignment="1">
      <alignment horizontal="center" vertical="center" textRotation="90"/>
    </xf>
    <xf numFmtId="0" fontId="7" fillId="4" borderId="26" xfId="1" applyFill="1" applyBorder="1" applyAlignment="1">
      <alignment horizontal="center"/>
    </xf>
    <xf numFmtId="0" fontId="15" fillId="5" borderId="9" xfId="1" applyFont="1" applyFill="1" applyBorder="1" applyAlignment="1">
      <alignment horizontal="center" textRotation="90"/>
    </xf>
    <xf numFmtId="0" fontId="15" fillId="5" borderId="31" xfId="1" applyFont="1" applyFill="1" applyBorder="1" applyAlignment="1">
      <alignment horizontal="center" textRotation="90"/>
    </xf>
    <xf numFmtId="0" fontId="7" fillId="4" borderId="1" xfId="1" applyFill="1" applyBorder="1" applyAlignment="1">
      <alignment horizontal="center" textRotation="90"/>
    </xf>
    <xf numFmtId="0" fontId="10" fillId="5" borderId="4" xfId="1" applyFont="1" applyFill="1" applyBorder="1" applyAlignment="1">
      <alignment horizontal="center" wrapText="1"/>
    </xf>
    <xf numFmtId="0" fontId="10" fillId="5" borderId="24" xfId="1" applyFont="1" applyFill="1" applyBorder="1" applyAlignment="1">
      <alignment horizontal="center"/>
    </xf>
    <xf numFmtId="0" fontId="16" fillId="0" borderId="4" xfId="1" applyFont="1" applyBorder="1" applyAlignment="1">
      <alignment horizontal="center" vertical="center"/>
    </xf>
    <xf numFmtId="0" fontId="16" fillId="0" borderId="22" xfId="1" applyFont="1" applyBorder="1" applyAlignment="1">
      <alignment horizontal="center" vertical="center"/>
    </xf>
    <xf numFmtId="0" fontId="16" fillId="0" borderId="23" xfId="1" applyFont="1" applyBorder="1" applyAlignment="1">
      <alignment horizontal="center" vertical="center"/>
    </xf>
    <xf numFmtId="0" fontId="7" fillId="5" borderId="7" xfId="1" applyFill="1" applyBorder="1" applyAlignment="1">
      <alignment horizontal="center" vertical="center" wrapText="1"/>
    </xf>
    <xf numFmtId="0" fontId="7" fillId="5" borderId="28" xfId="1" applyFill="1" applyBorder="1" applyAlignment="1">
      <alignment horizontal="center" vertical="center" wrapText="1"/>
    </xf>
    <xf numFmtId="0" fontId="7" fillId="5" borderId="14" xfId="1" applyFill="1" applyBorder="1" applyAlignment="1">
      <alignment horizontal="center" vertical="center" wrapText="1"/>
    </xf>
    <xf numFmtId="0" fontId="15" fillId="5" borderId="1" xfId="1" applyFont="1" applyFill="1" applyBorder="1" applyAlignment="1">
      <alignment horizontal="center" textRotation="90"/>
    </xf>
    <xf numFmtId="0" fontId="15" fillId="5" borderId="1" xfId="1" applyFont="1" applyFill="1" applyBorder="1" applyAlignment="1">
      <alignment horizontal="center" textRotation="90" wrapText="1"/>
    </xf>
    <xf numFmtId="0" fontId="7" fillId="5" borderId="4" xfId="1" applyFill="1" applyBorder="1" applyAlignment="1">
      <alignment horizontal="center" vertical="center"/>
    </xf>
    <xf numFmtId="0" fontId="7" fillId="5" borderId="22" xfId="1" applyFill="1" applyBorder="1" applyAlignment="1">
      <alignment horizontal="center" vertical="center"/>
    </xf>
    <xf numFmtId="0" fontId="7" fillId="5" borderId="23" xfId="1" applyFill="1" applyBorder="1" applyAlignment="1">
      <alignment horizontal="center" vertical="center"/>
    </xf>
    <xf numFmtId="0" fontId="12" fillId="4" borderId="0" xfId="1" applyFont="1" applyFill="1" applyAlignment="1">
      <alignment horizontal="center" vertical="center"/>
    </xf>
    <xf numFmtId="0" fontId="7" fillId="4" borderId="26" xfId="1" applyFill="1" applyBorder="1" applyAlignment="1">
      <alignment horizontal="right" vertical="center"/>
    </xf>
    <xf numFmtId="0" fontId="7" fillId="4" borderId="0" xfId="1" applyFill="1" applyAlignment="1">
      <alignment horizontal="right" vertical="center"/>
    </xf>
    <xf numFmtId="0" fontId="7" fillId="4" borderId="24" xfId="1" applyFill="1" applyBorder="1" applyAlignment="1">
      <alignment horizontal="right" vertical="center"/>
    </xf>
    <xf numFmtId="0" fontId="7" fillId="4" borderId="8" xfId="1" applyFill="1" applyBorder="1" applyAlignment="1">
      <alignment horizontal="right" vertical="center"/>
    </xf>
    <xf numFmtId="0" fontId="14" fillId="4" borderId="27" xfId="1" applyFont="1" applyFill="1" applyBorder="1" applyAlignment="1">
      <alignment horizontal="center" vertical="center"/>
    </xf>
    <xf numFmtId="0" fontId="14" fillId="4" borderId="25" xfId="1" applyFont="1" applyFill="1" applyBorder="1" applyAlignment="1">
      <alignment horizontal="center" vertical="center"/>
    </xf>
    <xf numFmtId="0" fontId="13" fillId="4" borderId="4" xfId="1" applyFont="1" applyFill="1" applyBorder="1" applyAlignment="1">
      <alignment horizontal="center" vertical="center"/>
    </xf>
    <xf numFmtId="0" fontId="13" fillId="4" borderId="22" xfId="1" applyFont="1" applyFill="1" applyBorder="1" applyAlignment="1">
      <alignment horizontal="center" vertical="center"/>
    </xf>
    <xf numFmtId="0" fontId="13" fillId="4" borderId="23" xfId="1" applyFont="1" applyFill="1" applyBorder="1" applyAlignment="1">
      <alignment horizontal="center" vertical="center"/>
    </xf>
    <xf numFmtId="0" fontId="13" fillId="4" borderId="24" xfId="1" applyFont="1" applyFill="1" applyBorder="1" applyAlignment="1">
      <alignment horizontal="center" vertical="center"/>
    </xf>
    <xf numFmtId="0" fontId="13" fillId="4" borderId="8" xfId="1" applyFont="1" applyFill="1" applyBorder="1" applyAlignment="1">
      <alignment horizontal="center" vertical="center"/>
    </xf>
    <xf numFmtId="0" fontId="13" fillId="4" borderId="25" xfId="1" applyFont="1" applyFill="1" applyBorder="1" applyAlignment="1">
      <alignment horizontal="center" vertical="center"/>
    </xf>
    <xf numFmtId="0" fontId="12" fillId="4" borderId="27" xfId="1" applyFont="1" applyFill="1" applyBorder="1" applyAlignment="1">
      <alignment horizontal="center" vertical="center"/>
    </xf>
    <xf numFmtId="0" fontId="12" fillId="4" borderId="25" xfId="1" applyFont="1" applyFill="1" applyBorder="1" applyAlignment="1">
      <alignment horizontal="center" vertical="center"/>
    </xf>
    <xf numFmtId="0" fontId="40" fillId="0" borderId="68" xfId="0" applyFont="1" applyBorder="1" applyAlignment="1">
      <alignment horizontal="center" vertical="center" wrapText="1"/>
    </xf>
    <xf numFmtId="0" fontId="29" fillId="9" borderId="76" xfId="0" applyFont="1" applyFill="1" applyBorder="1" applyAlignment="1">
      <alignment horizontal="center"/>
    </xf>
    <xf numFmtId="0" fontId="29" fillId="9" borderId="75" xfId="0" applyFont="1" applyFill="1" applyBorder="1" applyAlignment="1">
      <alignment horizontal="center"/>
    </xf>
    <xf numFmtId="0" fontId="29" fillId="9" borderId="77" xfId="0" applyFont="1" applyFill="1" applyBorder="1" applyAlignment="1">
      <alignment horizontal="center"/>
    </xf>
    <xf numFmtId="0" fontId="6" fillId="9" borderId="78" xfId="0" applyFont="1" applyFill="1" applyBorder="1" applyAlignment="1">
      <alignment horizontal="center"/>
    </xf>
    <xf numFmtId="0" fontId="6" fillId="9" borderId="79" xfId="0" applyFont="1" applyFill="1" applyBorder="1" applyAlignment="1">
      <alignment horizontal="center"/>
    </xf>
    <xf numFmtId="0" fontId="6" fillId="9" borderId="80" xfId="0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67" xfId="0" applyBorder="1" applyAlignment="1">
      <alignment horizontal="center"/>
    </xf>
    <xf numFmtId="0" fontId="29" fillId="9" borderId="71" xfId="0" applyFont="1" applyFill="1" applyBorder="1" applyAlignment="1">
      <alignment horizontal="center" vertical="center"/>
    </xf>
    <xf numFmtId="0" fontId="29" fillId="9" borderId="66" xfId="0" applyFont="1" applyFill="1" applyBorder="1" applyAlignment="1">
      <alignment horizontal="center" vertical="center"/>
    </xf>
    <xf numFmtId="0" fontId="29" fillId="9" borderId="52" xfId="0" applyFont="1" applyFill="1" applyBorder="1" applyAlignment="1">
      <alignment horizontal="center" vertical="center" wrapText="1"/>
    </xf>
    <xf numFmtId="0" fontId="29" fillId="9" borderId="72" xfId="0" applyFont="1" applyFill="1" applyBorder="1" applyAlignment="1">
      <alignment horizontal="center" vertical="center" wrapText="1"/>
    </xf>
    <xf numFmtId="0" fontId="29" fillId="9" borderId="73" xfId="0" applyFont="1" applyFill="1" applyBorder="1" applyAlignment="1">
      <alignment horizontal="center" vertical="center" wrapText="1"/>
    </xf>
    <xf numFmtId="0" fontId="6" fillId="9" borderId="50" xfId="0" applyFont="1" applyFill="1" applyBorder="1" applyAlignment="1">
      <alignment horizontal="center" vertical="center" wrapText="1"/>
    </xf>
    <xf numFmtId="0" fontId="6" fillId="9" borderId="55" xfId="0" applyFont="1" applyFill="1" applyBorder="1" applyAlignment="1">
      <alignment horizontal="center" vertical="center" wrapText="1"/>
    </xf>
    <xf numFmtId="0" fontId="40" fillId="0" borderId="67" xfId="0" applyFont="1" applyBorder="1" applyAlignment="1">
      <alignment horizontal="center" wrapText="1"/>
    </xf>
    <xf numFmtId="0" fontId="40" fillId="0" borderId="68" xfId="0" applyFont="1" applyBorder="1" applyAlignment="1">
      <alignment horizontal="center" wrapText="1"/>
    </xf>
    <xf numFmtId="0" fontId="6" fillId="0" borderId="19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 vertical="center" wrapText="1" readingOrder="1"/>
    </xf>
    <xf numFmtId="0" fontId="1" fillId="2" borderId="32" xfId="0" applyFont="1" applyFill="1" applyBorder="1" applyAlignment="1">
      <alignment horizontal="center" vertical="center" wrapText="1" readingOrder="1"/>
    </xf>
    <xf numFmtId="0" fontId="1" fillId="2" borderId="6" xfId="0" applyFont="1" applyFill="1" applyBorder="1" applyAlignment="1">
      <alignment horizontal="center" vertical="center" wrapText="1" readingOrder="1"/>
    </xf>
    <xf numFmtId="0" fontId="1" fillId="20" borderId="5" xfId="0" applyFont="1" applyFill="1" applyBorder="1" applyAlignment="1">
      <alignment horizontal="center" vertical="center" wrapText="1" readingOrder="1"/>
    </xf>
    <xf numFmtId="0" fontId="1" fillId="20" borderId="32" xfId="0" applyFont="1" applyFill="1" applyBorder="1" applyAlignment="1">
      <alignment horizontal="center" vertical="center" wrapText="1" readingOrder="1"/>
    </xf>
    <xf numFmtId="0" fontId="1" fillId="20" borderId="6" xfId="0" applyFont="1" applyFill="1" applyBorder="1" applyAlignment="1">
      <alignment horizontal="center" vertical="center" wrapText="1" readingOrder="1"/>
    </xf>
    <xf numFmtId="0" fontId="28" fillId="0" borderId="90" xfId="0" applyFont="1" applyBorder="1" applyAlignment="1">
      <alignment horizontal="left" vertical="center" wrapText="1" indent="1"/>
    </xf>
    <xf numFmtId="0" fontId="28" fillId="0" borderId="70" xfId="0" applyFont="1" applyBorder="1" applyAlignment="1">
      <alignment horizontal="left" vertical="center" wrapText="1" inden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92" xfId="0" applyFont="1" applyBorder="1" applyAlignment="1">
      <alignment horizontal="center" vertical="center" wrapText="1"/>
    </xf>
    <xf numFmtId="0" fontId="28" fillId="0" borderId="93" xfId="0" applyFont="1" applyBorder="1" applyAlignment="1">
      <alignment horizontal="center" vertical="center" wrapText="1"/>
    </xf>
    <xf numFmtId="0" fontId="28" fillId="0" borderId="87" xfId="0" applyFont="1" applyBorder="1" applyAlignment="1">
      <alignment horizontal="center" vertical="center" wrapText="1"/>
    </xf>
    <xf numFmtId="0" fontId="28" fillId="0" borderId="91" xfId="0" applyFont="1" applyBorder="1" applyAlignment="1">
      <alignment horizontal="center" vertical="center" wrapText="1"/>
    </xf>
    <xf numFmtId="0" fontId="53" fillId="2" borderId="87" xfId="0" applyFont="1" applyFill="1" applyBorder="1" applyAlignment="1">
      <alignment horizontal="center" vertical="center" wrapText="1"/>
    </xf>
    <xf numFmtId="0" fontId="53" fillId="2" borderId="12" xfId="0" applyFont="1" applyFill="1" applyBorder="1" applyAlignment="1">
      <alignment horizontal="center" vertical="center" wrapText="1"/>
    </xf>
    <xf numFmtId="0" fontId="53" fillId="2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9" xfId="0" applyBorder="1" applyAlignment="1">
      <alignment horizontal="left" vertical="center"/>
    </xf>
    <xf numFmtId="0" fontId="0" fillId="0" borderId="19" xfId="0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6" fillId="6" borderId="13" xfId="0" applyFont="1" applyFill="1" applyBorder="1" applyAlignment="1">
      <alignment horizontal="center"/>
    </xf>
    <xf numFmtId="0" fontId="6" fillId="6" borderId="105" xfId="0" applyFont="1" applyFill="1" applyBorder="1" applyAlignment="1">
      <alignment horizontal="center"/>
    </xf>
    <xf numFmtId="0" fontId="6" fillId="6" borderId="83" xfId="0" applyFont="1" applyFill="1" applyBorder="1" applyAlignment="1">
      <alignment horizontal="center"/>
    </xf>
    <xf numFmtId="0" fontId="6" fillId="6" borderId="84" xfId="0" applyFont="1" applyFill="1" applyBorder="1" applyAlignment="1">
      <alignment horizontal="center"/>
    </xf>
    <xf numFmtId="0" fontId="6" fillId="6" borderId="85" xfId="0" applyFont="1" applyFill="1" applyBorder="1" applyAlignment="1">
      <alignment horizontal="center"/>
    </xf>
    <xf numFmtId="0" fontId="6" fillId="6" borderId="102" xfId="0" applyFont="1" applyFill="1" applyBorder="1" applyAlignment="1">
      <alignment horizontal="center"/>
    </xf>
    <xf numFmtId="0" fontId="6" fillId="6" borderId="35" xfId="0" applyFont="1" applyFill="1" applyBorder="1" applyAlignment="1">
      <alignment horizontal="center"/>
    </xf>
    <xf numFmtId="0" fontId="6" fillId="6" borderId="103" xfId="0" applyFont="1" applyFill="1" applyBorder="1" applyAlignment="1">
      <alignment horizontal="center"/>
    </xf>
    <xf numFmtId="0" fontId="6" fillId="6" borderId="36" xfId="0" applyFont="1" applyFill="1" applyBorder="1" applyAlignment="1">
      <alignment horizontal="center"/>
    </xf>
    <xf numFmtId="49" fontId="6" fillId="6" borderId="87" xfId="0" applyNumberFormat="1" applyFont="1" applyFill="1" applyBorder="1" applyAlignment="1">
      <alignment horizontal="center" wrapText="1"/>
    </xf>
    <xf numFmtId="49" fontId="6" fillId="6" borderId="104" xfId="0" applyNumberFormat="1" applyFont="1" applyFill="1" applyBorder="1" applyAlignment="1">
      <alignment horizontal="center" wrapText="1"/>
    </xf>
    <xf numFmtId="49" fontId="6" fillId="6" borderId="102" xfId="0" applyNumberFormat="1" applyFont="1" applyFill="1" applyBorder="1" applyAlignment="1">
      <alignment horizontal="center" wrapText="1"/>
    </xf>
    <xf numFmtId="49" fontId="6" fillId="6" borderId="35" xfId="0" applyNumberFormat="1" applyFont="1" applyFill="1" applyBorder="1" applyAlignment="1">
      <alignment horizontal="center" wrapText="1"/>
    </xf>
    <xf numFmtId="49" fontId="6" fillId="6" borderId="103" xfId="0" applyNumberFormat="1" applyFont="1" applyFill="1" applyBorder="1" applyAlignment="1">
      <alignment horizontal="center" wrapText="1"/>
    </xf>
    <xf numFmtId="49" fontId="6" fillId="6" borderId="36" xfId="0" applyNumberFormat="1" applyFont="1" applyFill="1" applyBorder="1" applyAlignment="1">
      <alignment horizontal="center" wrapText="1"/>
    </xf>
    <xf numFmtId="49" fontId="6" fillId="6" borderId="12" xfId="0" applyNumberFormat="1" applyFont="1" applyFill="1" applyBorder="1" applyAlignment="1">
      <alignment horizontal="center" wrapText="1"/>
    </xf>
    <xf numFmtId="49" fontId="6" fillId="6" borderId="13" xfId="0" applyNumberFormat="1" applyFont="1" applyFill="1" applyBorder="1" applyAlignment="1">
      <alignment horizontal="center" wrapText="1"/>
    </xf>
    <xf numFmtId="49" fontId="6" fillId="6" borderId="8" xfId="0" applyNumberFormat="1" applyFont="1" applyFill="1" applyBorder="1" applyAlignment="1">
      <alignment horizontal="center" wrapText="1"/>
    </xf>
    <xf numFmtId="0" fontId="6" fillId="6" borderId="90" xfId="0" applyFont="1" applyFill="1" applyBorder="1" applyAlignment="1">
      <alignment horizontal="center" wrapText="1"/>
    </xf>
    <xf numFmtId="0" fontId="6" fillId="6" borderId="86" xfId="0" applyFont="1" applyFill="1" applyBorder="1" applyAlignment="1">
      <alignment horizontal="center"/>
    </xf>
    <xf numFmtId="0" fontId="6" fillId="0" borderId="90" xfId="0" applyFont="1" applyBorder="1" applyAlignment="1">
      <alignment horizontal="center"/>
    </xf>
    <xf numFmtId="0" fontId="6" fillId="0" borderId="70" xfId="0" applyFont="1" applyBorder="1" applyAlignment="1">
      <alignment horizontal="center"/>
    </xf>
  </cellXfs>
  <cellStyles count="3">
    <cellStyle name="Normal" xfId="0" builtinId="0"/>
    <cellStyle name="Normal 2" xfId="1" xr:uid="{C6E327D4-FF86-A146-8047-5D6BA8F64C74}"/>
    <cellStyle name="Per cent 2" xfId="2" xr:uid="{FDA81C74-FB38-5447-A457-2476BAC13F16}"/>
  </cellStyles>
  <dxfs count="14"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gradientFill type="path" left="0.5" right="0.5" top="0.5" bottom="0.5">
          <stop position="0">
            <color rgb="FFFFC000"/>
          </stop>
          <stop position="1">
            <color theme="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'S03 Location Prioritization'!$F$1</c:f>
              <c:strCache>
                <c:ptCount val="1"/>
                <c:pt idx="0">
                  <c:v>Cum. Share
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'S03 Location Prioritization'!$A$2:$A$22</c:f>
              <c:strCache>
                <c:ptCount val="21"/>
                <c:pt idx="0">
                  <c:v>0</c:v>
                </c:pt>
                <c:pt idx="1">
                  <c:v>F03</c:v>
                </c:pt>
                <c:pt idx="2">
                  <c:v>F04</c:v>
                </c:pt>
                <c:pt idx="3">
                  <c:v>F06</c:v>
                </c:pt>
                <c:pt idx="4">
                  <c:v>F09</c:v>
                </c:pt>
                <c:pt idx="5">
                  <c:v>F01</c:v>
                </c:pt>
                <c:pt idx="6">
                  <c:v>F02</c:v>
                </c:pt>
                <c:pt idx="7">
                  <c:v>F05</c:v>
                </c:pt>
                <c:pt idx="8">
                  <c:v>F08</c:v>
                </c:pt>
                <c:pt idx="9">
                  <c:v>F10</c:v>
                </c:pt>
                <c:pt idx="10">
                  <c:v>F19</c:v>
                </c:pt>
                <c:pt idx="11">
                  <c:v>F18</c:v>
                </c:pt>
                <c:pt idx="12">
                  <c:v>F17</c:v>
                </c:pt>
                <c:pt idx="13">
                  <c:v>F16</c:v>
                </c:pt>
                <c:pt idx="14">
                  <c:v>F15</c:v>
                </c:pt>
                <c:pt idx="15">
                  <c:v>F14</c:v>
                </c:pt>
                <c:pt idx="16">
                  <c:v>F13</c:v>
                </c:pt>
                <c:pt idx="17">
                  <c:v>F12</c:v>
                </c:pt>
                <c:pt idx="18">
                  <c:v>F11</c:v>
                </c:pt>
                <c:pt idx="19">
                  <c:v>F07</c:v>
                </c:pt>
                <c:pt idx="20">
                  <c:v>F20</c:v>
                </c:pt>
              </c:strCache>
            </c:strRef>
          </c:cat>
          <c:val>
            <c:numRef>
              <c:f>'S03 Location Prioritization'!$F$2:$F$22</c:f>
              <c:numCache>
                <c:formatCode>0.00%</c:formatCode>
                <c:ptCount val="21"/>
                <c:pt idx="0" formatCode="General">
                  <c:v>0</c:v>
                </c:pt>
                <c:pt idx="1">
                  <c:v>0.57531257051574214</c:v>
                </c:pt>
                <c:pt idx="2">
                  <c:v>0.73640009026014996</c:v>
                </c:pt>
                <c:pt idx="3">
                  <c:v>0.82141850345858747</c:v>
                </c:pt>
                <c:pt idx="4">
                  <c:v>0.87053741225684256</c:v>
                </c:pt>
                <c:pt idx="5">
                  <c:v>0.90697387505617288</c:v>
                </c:pt>
                <c:pt idx="6">
                  <c:v>0.93458887844092853</c:v>
                </c:pt>
                <c:pt idx="7">
                  <c:v>0.95280710984059369</c:v>
                </c:pt>
                <c:pt idx="8">
                  <c:v>0.96546398639193998</c:v>
                </c:pt>
                <c:pt idx="9">
                  <c:v>0.97307089704653704</c:v>
                </c:pt>
                <c:pt idx="10">
                  <c:v>0.9802303423685107</c:v>
                </c:pt>
                <c:pt idx="11">
                  <c:v>0.98540815550315242</c:v>
                </c:pt>
                <c:pt idx="12">
                  <c:v>0.98914129484961011</c:v>
                </c:pt>
                <c:pt idx="13">
                  <c:v>0.99216168584481779</c:v>
                </c:pt>
                <c:pt idx="14">
                  <c:v>0.99476976949782248</c:v>
                </c:pt>
                <c:pt idx="15">
                  <c:v>0.99679486974603793</c:v>
                </c:pt>
                <c:pt idx="16">
                  <c:v>0.9981756199152757</c:v>
                </c:pt>
                <c:pt idx="17">
                  <c:v>0.99894270334263002</c:v>
                </c:pt>
                <c:pt idx="18">
                  <c:v>0.99966504023672198</c:v>
                </c:pt>
                <c:pt idx="19">
                  <c:v>0.99990027915444402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D5-1747-808F-ECED53138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1636672"/>
        <c:axId val="351638400"/>
      </c:lineChart>
      <c:catAx>
        <c:axId val="351636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51638400"/>
        <c:crosses val="autoZero"/>
        <c:auto val="1"/>
        <c:lblAlgn val="ctr"/>
        <c:lblOffset val="100"/>
        <c:noMultiLvlLbl val="0"/>
      </c:catAx>
      <c:valAx>
        <c:axId val="35163840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5163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'S03 Location Prioritization'!$E$1</c:f>
              <c:strCache>
                <c:ptCount val="1"/>
                <c:pt idx="0">
                  <c:v>Share 
[%]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'S03 Location Prioritization'!$A$2:$A$22</c:f>
              <c:strCache>
                <c:ptCount val="21"/>
                <c:pt idx="0">
                  <c:v>0</c:v>
                </c:pt>
                <c:pt idx="1">
                  <c:v>F03</c:v>
                </c:pt>
                <c:pt idx="2">
                  <c:v>F04</c:v>
                </c:pt>
                <c:pt idx="3">
                  <c:v>F06</c:v>
                </c:pt>
                <c:pt idx="4">
                  <c:v>F09</c:v>
                </c:pt>
                <c:pt idx="5">
                  <c:v>F01</c:v>
                </c:pt>
                <c:pt idx="6">
                  <c:v>F02</c:v>
                </c:pt>
                <c:pt idx="7">
                  <c:v>F05</c:v>
                </c:pt>
                <c:pt idx="8">
                  <c:v>F08</c:v>
                </c:pt>
                <c:pt idx="9">
                  <c:v>F10</c:v>
                </c:pt>
                <c:pt idx="10">
                  <c:v>F19</c:v>
                </c:pt>
                <c:pt idx="11">
                  <c:v>F18</c:v>
                </c:pt>
                <c:pt idx="12">
                  <c:v>F17</c:v>
                </c:pt>
                <c:pt idx="13">
                  <c:v>F16</c:v>
                </c:pt>
                <c:pt idx="14">
                  <c:v>F15</c:v>
                </c:pt>
                <c:pt idx="15">
                  <c:v>F14</c:v>
                </c:pt>
                <c:pt idx="16">
                  <c:v>F13</c:v>
                </c:pt>
                <c:pt idx="17">
                  <c:v>F12</c:v>
                </c:pt>
                <c:pt idx="18">
                  <c:v>F11</c:v>
                </c:pt>
                <c:pt idx="19">
                  <c:v>F07</c:v>
                </c:pt>
                <c:pt idx="20">
                  <c:v>F20</c:v>
                </c:pt>
              </c:strCache>
            </c:strRef>
          </c:cat>
          <c:val>
            <c:numRef>
              <c:f>'S03 Location Prioritization'!$E$2:$E$22</c:f>
              <c:numCache>
                <c:formatCode>0.00%</c:formatCode>
                <c:ptCount val="21"/>
                <c:pt idx="1">
                  <c:v>0.57531257051574214</c:v>
                </c:pt>
                <c:pt idx="2">
                  <c:v>0.1610875197444078</c:v>
                </c:pt>
                <c:pt idx="3">
                  <c:v>8.5018413198437448E-2</c:v>
                </c:pt>
                <c:pt idx="4">
                  <c:v>4.9118908798255138E-2</c:v>
                </c:pt>
                <c:pt idx="5">
                  <c:v>3.6436462799330334E-2</c:v>
                </c:pt>
                <c:pt idx="6">
                  <c:v>2.7615003384755622E-2</c:v>
                </c:pt>
                <c:pt idx="7">
                  <c:v>1.8218231399665167E-2</c:v>
                </c:pt>
                <c:pt idx="8">
                  <c:v>1.2656876551346327E-2</c:v>
                </c:pt>
                <c:pt idx="9">
                  <c:v>7.6069106545970351E-3</c:v>
                </c:pt>
                <c:pt idx="10">
                  <c:v>7.1594453219736799E-3</c:v>
                </c:pt>
                <c:pt idx="11">
                  <c:v>5.1778131346416796E-3</c:v>
                </c:pt>
                <c:pt idx="12">
                  <c:v>3.7331393464577044E-3</c:v>
                </c:pt>
                <c:pt idx="13">
                  <c:v>3.0203909952076463E-3</c:v>
                </c:pt>
                <c:pt idx="14">
                  <c:v>2.6080836530046978E-3</c:v>
                </c:pt>
                <c:pt idx="15">
                  <c:v>2.0251002482154124E-3</c:v>
                </c:pt>
                <c:pt idx="16">
                  <c:v>1.3807501692377812E-3</c:v>
                </c:pt>
                <c:pt idx="17">
                  <c:v>7.6708342735432283E-4</c:v>
                </c:pt>
                <c:pt idx="18">
                  <c:v>7.2233689409198737E-4</c:v>
                </c:pt>
                <c:pt idx="19">
                  <c:v>2.3523891772199234E-4</c:v>
                </c:pt>
                <c:pt idx="20">
                  <c:v>9.9720845556061977E-5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C3-7847-9B0F-F30BC25B3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4483840"/>
        <c:axId val="415221696"/>
      </c:barChart>
      <c:catAx>
        <c:axId val="41448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415221696"/>
        <c:crosses val="autoZero"/>
        <c:auto val="1"/>
        <c:lblAlgn val="ctr"/>
        <c:lblOffset val="100"/>
        <c:noMultiLvlLbl val="0"/>
      </c:catAx>
      <c:valAx>
        <c:axId val="41522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41448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1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Individual</a:t>
            </a:r>
            <a:r>
              <a:rPr lang="en-GB" baseline="0"/>
              <a:t> Shares &amp; Cumulative Share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1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'S03 Location Prioritization'!$E$1</c:f>
              <c:strCache>
                <c:ptCount val="1"/>
                <c:pt idx="0">
                  <c:v>Share 
[%]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'S03 Location Prioritization'!$A$2:$A$22</c:f>
              <c:strCache>
                <c:ptCount val="21"/>
                <c:pt idx="0">
                  <c:v>0</c:v>
                </c:pt>
                <c:pt idx="1">
                  <c:v>F03</c:v>
                </c:pt>
                <c:pt idx="2">
                  <c:v>F04</c:v>
                </c:pt>
                <c:pt idx="3">
                  <c:v>F06</c:v>
                </c:pt>
                <c:pt idx="4">
                  <c:v>F09</c:v>
                </c:pt>
                <c:pt idx="5">
                  <c:v>F01</c:v>
                </c:pt>
                <c:pt idx="6">
                  <c:v>F02</c:v>
                </c:pt>
                <c:pt idx="7">
                  <c:v>F05</c:v>
                </c:pt>
                <c:pt idx="8">
                  <c:v>F08</c:v>
                </c:pt>
                <c:pt idx="9">
                  <c:v>F10</c:v>
                </c:pt>
                <c:pt idx="10">
                  <c:v>F19</c:v>
                </c:pt>
                <c:pt idx="11">
                  <c:v>F18</c:v>
                </c:pt>
                <c:pt idx="12">
                  <c:v>F17</c:v>
                </c:pt>
                <c:pt idx="13">
                  <c:v>F16</c:v>
                </c:pt>
                <c:pt idx="14">
                  <c:v>F15</c:v>
                </c:pt>
                <c:pt idx="15">
                  <c:v>F14</c:v>
                </c:pt>
                <c:pt idx="16">
                  <c:v>F13</c:v>
                </c:pt>
                <c:pt idx="17">
                  <c:v>F12</c:v>
                </c:pt>
                <c:pt idx="18">
                  <c:v>F11</c:v>
                </c:pt>
                <c:pt idx="19">
                  <c:v>F07</c:v>
                </c:pt>
                <c:pt idx="20">
                  <c:v>F20</c:v>
                </c:pt>
              </c:strCache>
            </c:strRef>
          </c:cat>
          <c:val>
            <c:numRef>
              <c:f>'S03 Location Prioritization'!$E$2:$E$22</c:f>
              <c:numCache>
                <c:formatCode>0.00%</c:formatCode>
                <c:ptCount val="21"/>
                <c:pt idx="1">
                  <c:v>0.57531257051574214</c:v>
                </c:pt>
                <c:pt idx="2">
                  <c:v>0.1610875197444078</c:v>
                </c:pt>
                <c:pt idx="3">
                  <c:v>8.5018413198437448E-2</c:v>
                </c:pt>
                <c:pt idx="4">
                  <c:v>4.9118908798255138E-2</c:v>
                </c:pt>
                <c:pt idx="5">
                  <c:v>3.6436462799330334E-2</c:v>
                </c:pt>
                <c:pt idx="6">
                  <c:v>2.7615003384755622E-2</c:v>
                </c:pt>
                <c:pt idx="7">
                  <c:v>1.8218231399665167E-2</c:v>
                </c:pt>
                <c:pt idx="8">
                  <c:v>1.2656876551346327E-2</c:v>
                </c:pt>
                <c:pt idx="9">
                  <c:v>7.6069106545970351E-3</c:v>
                </c:pt>
                <c:pt idx="10">
                  <c:v>7.1594453219736799E-3</c:v>
                </c:pt>
                <c:pt idx="11">
                  <c:v>5.1778131346416796E-3</c:v>
                </c:pt>
                <c:pt idx="12">
                  <c:v>3.7331393464577044E-3</c:v>
                </c:pt>
                <c:pt idx="13">
                  <c:v>3.0203909952076463E-3</c:v>
                </c:pt>
                <c:pt idx="14">
                  <c:v>2.6080836530046978E-3</c:v>
                </c:pt>
                <c:pt idx="15">
                  <c:v>2.0251002482154124E-3</c:v>
                </c:pt>
                <c:pt idx="16">
                  <c:v>1.3807501692377812E-3</c:v>
                </c:pt>
                <c:pt idx="17">
                  <c:v>7.6708342735432283E-4</c:v>
                </c:pt>
                <c:pt idx="18">
                  <c:v>7.2233689409198737E-4</c:v>
                </c:pt>
                <c:pt idx="19">
                  <c:v>2.3523891772199234E-4</c:v>
                </c:pt>
                <c:pt idx="20">
                  <c:v>9.9720845556061977E-5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CE-9E4C-81C3-9610076D2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832512"/>
        <c:axId val="433723632"/>
      </c:barChart>
      <c:lineChart>
        <c:grouping val="standard"/>
        <c:varyColors val="0"/>
        <c:ser>
          <c:idx val="1"/>
          <c:order val="1"/>
          <c:tx>
            <c:strRef>
              <c:f>'S03 Location Prioritization'!$F$1</c:f>
              <c:strCache>
                <c:ptCount val="1"/>
                <c:pt idx="0">
                  <c:v>Cum. Share
[%]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'S03 Location Prioritization'!$A$2:$A$22</c:f>
              <c:strCache>
                <c:ptCount val="21"/>
                <c:pt idx="0">
                  <c:v>0</c:v>
                </c:pt>
                <c:pt idx="1">
                  <c:v>F03</c:v>
                </c:pt>
                <c:pt idx="2">
                  <c:v>F04</c:v>
                </c:pt>
                <c:pt idx="3">
                  <c:v>F06</c:v>
                </c:pt>
                <c:pt idx="4">
                  <c:v>F09</c:v>
                </c:pt>
                <c:pt idx="5">
                  <c:v>F01</c:v>
                </c:pt>
                <c:pt idx="6">
                  <c:v>F02</c:v>
                </c:pt>
                <c:pt idx="7">
                  <c:v>F05</c:v>
                </c:pt>
                <c:pt idx="8">
                  <c:v>F08</c:v>
                </c:pt>
                <c:pt idx="9">
                  <c:v>F10</c:v>
                </c:pt>
                <c:pt idx="10">
                  <c:v>F19</c:v>
                </c:pt>
                <c:pt idx="11">
                  <c:v>F18</c:v>
                </c:pt>
                <c:pt idx="12">
                  <c:v>F17</c:v>
                </c:pt>
                <c:pt idx="13">
                  <c:v>F16</c:v>
                </c:pt>
                <c:pt idx="14">
                  <c:v>F15</c:v>
                </c:pt>
                <c:pt idx="15">
                  <c:v>F14</c:v>
                </c:pt>
                <c:pt idx="16">
                  <c:v>F13</c:v>
                </c:pt>
                <c:pt idx="17">
                  <c:v>F12</c:v>
                </c:pt>
                <c:pt idx="18">
                  <c:v>F11</c:v>
                </c:pt>
                <c:pt idx="19">
                  <c:v>F07</c:v>
                </c:pt>
                <c:pt idx="20">
                  <c:v>F20</c:v>
                </c:pt>
              </c:strCache>
            </c:strRef>
          </c:cat>
          <c:val>
            <c:numRef>
              <c:f>'S03 Location Prioritization'!$F$2:$F$22</c:f>
              <c:numCache>
                <c:formatCode>0.00%</c:formatCode>
                <c:ptCount val="21"/>
                <c:pt idx="0" formatCode="General">
                  <c:v>0</c:v>
                </c:pt>
                <c:pt idx="1">
                  <c:v>0.57531257051574214</c:v>
                </c:pt>
                <c:pt idx="2">
                  <c:v>0.73640009026014996</c:v>
                </c:pt>
                <c:pt idx="3">
                  <c:v>0.82141850345858747</c:v>
                </c:pt>
                <c:pt idx="4">
                  <c:v>0.87053741225684256</c:v>
                </c:pt>
                <c:pt idx="5">
                  <c:v>0.90697387505617288</c:v>
                </c:pt>
                <c:pt idx="6">
                  <c:v>0.93458887844092853</c:v>
                </c:pt>
                <c:pt idx="7">
                  <c:v>0.95280710984059369</c:v>
                </c:pt>
                <c:pt idx="8">
                  <c:v>0.96546398639193998</c:v>
                </c:pt>
                <c:pt idx="9">
                  <c:v>0.97307089704653704</c:v>
                </c:pt>
                <c:pt idx="10">
                  <c:v>0.9802303423685107</c:v>
                </c:pt>
                <c:pt idx="11">
                  <c:v>0.98540815550315242</c:v>
                </c:pt>
                <c:pt idx="12">
                  <c:v>0.98914129484961011</c:v>
                </c:pt>
                <c:pt idx="13">
                  <c:v>0.99216168584481779</c:v>
                </c:pt>
                <c:pt idx="14">
                  <c:v>0.99476976949782248</c:v>
                </c:pt>
                <c:pt idx="15">
                  <c:v>0.99679486974603793</c:v>
                </c:pt>
                <c:pt idx="16">
                  <c:v>0.9981756199152757</c:v>
                </c:pt>
                <c:pt idx="17">
                  <c:v>0.99894270334263002</c:v>
                </c:pt>
                <c:pt idx="18">
                  <c:v>0.99966504023672198</c:v>
                </c:pt>
                <c:pt idx="19">
                  <c:v>0.99990027915444402</c:v>
                </c:pt>
                <c:pt idx="2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CE-9E4C-81C3-9610076D2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254128"/>
        <c:axId val="432750768"/>
      </c:lineChart>
      <c:catAx>
        <c:axId val="433832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433723632"/>
        <c:crosses val="autoZero"/>
        <c:auto val="1"/>
        <c:lblAlgn val="ctr"/>
        <c:lblOffset val="100"/>
        <c:noMultiLvlLbl val="0"/>
      </c:catAx>
      <c:valAx>
        <c:axId val="43372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chemeClr val="accent1"/>
                    </a:solidFill>
                  </a:rPr>
                  <a:t>Individual</a:t>
                </a:r>
                <a:r>
                  <a:rPr lang="en-GB" baseline="0">
                    <a:solidFill>
                      <a:schemeClr val="accent1"/>
                    </a:solidFill>
                  </a:rPr>
                  <a:t> share</a:t>
                </a:r>
                <a:endParaRPr lang="en-GB">
                  <a:solidFill>
                    <a:schemeClr val="accent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accent1"/>
                  </a:solidFill>
                  <a:latin typeface="+mn-lt"/>
                  <a:ea typeface="+mn-ea"/>
                  <a:cs typeface="+mn-cs"/>
                </a:defRPr>
              </a:pPr>
              <a:endParaRPr lang="en-GB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433832512"/>
        <c:crosses val="autoZero"/>
        <c:crossBetween val="between"/>
      </c:valAx>
      <c:valAx>
        <c:axId val="432750768"/>
        <c:scaling>
          <c:orientation val="minMax"/>
          <c:max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chemeClr val="accent2"/>
                    </a:solidFill>
                  </a:rPr>
                  <a:t>Cumulative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811254128"/>
        <c:crosses val="max"/>
        <c:crossBetween val="between"/>
      </c:valAx>
      <c:catAx>
        <c:axId val="8112541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32750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Jan-14</c:v>
                </c:pt>
                <c:pt idx="2">
                  <c:v>Feb-14</c:v>
                </c:pt>
                <c:pt idx="3">
                  <c:v>Mar-14</c:v>
                </c:pt>
                <c:pt idx="4">
                  <c:v>Apr-14</c:v>
                </c:pt>
                <c:pt idx="5">
                  <c:v>May-14</c:v>
                </c:pt>
                <c:pt idx="6">
                  <c:v>Jun-14</c:v>
                </c:pt>
                <c:pt idx="7">
                  <c:v>Jul-14</c:v>
                </c:pt>
                <c:pt idx="8">
                  <c:v>Aug-14</c:v>
                </c:pt>
                <c:pt idx="9">
                  <c:v>Sept-14</c:v>
                </c:pt>
                <c:pt idx="10">
                  <c:v>Oct-14</c:v>
                </c:pt>
                <c:pt idx="11">
                  <c:v>Nov-14</c:v>
                </c:pt>
                <c:pt idx="12">
                  <c:v>Dec-14</c:v>
                </c:pt>
                <c:pt idx="13">
                  <c:v>Jan-15</c:v>
                </c:pt>
                <c:pt idx="14">
                  <c:v>Feb-15</c:v>
                </c:pt>
                <c:pt idx="15">
                  <c:v>Mar-15</c:v>
                </c:pt>
                <c:pt idx="16">
                  <c:v>Apr-15</c:v>
                </c:pt>
                <c:pt idx="17">
                  <c:v>May-15</c:v>
                </c:pt>
                <c:pt idx="18">
                  <c:v>Jun-15</c:v>
                </c:pt>
                <c:pt idx="19">
                  <c:v>Jul-15</c:v>
                </c:pt>
                <c:pt idx="20">
                  <c:v>Aug-15</c:v>
                </c:pt>
                <c:pt idx="21">
                  <c:v>Sept-15</c:v>
                </c:pt>
                <c:pt idx="22">
                  <c:v>Oct-15</c:v>
                </c:pt>
                <c:pt idx="23">
                  <c:v>Nov-15</c:v>
                </c:pt>
                <c:pt idx="24">
                  <c:v>Dec-15</c:v>
                </c:pt>
                <c:pt idx="25">
                  <c:v>Jan-16</c:v>
                </c:pt>
                <c:pt idx="26">
                  <c:v>Feb-16</c:v>
                </c:pt>
                <c:pt idx="27">
                  <c:v>Mar-16</c:v>
                </c:pt>
                <c:pt idx="28">
                  <c:v>Apr-16</c:v>
                </c:pt>
                <c:pt idx="29">
                  <c:v>May-16</c:v>
                </c:pt>
                <c:pt idx="30">
                  <c:v>Jun-16</c:v>
                </c:pt>
                <c:pt idx="31">
                  <c:v>Jul-16</c:v>
                </c:pt>
                <c:pt idx="32">
                  <c:v>Aug-16</c:v>
                </c:pt>
                <c:pt idx="33">
                  <c:v>Sept-16</c:v>
                </c:pt>
                <c:pt idx="34">
                  <c:v>Oct-16</c:v>
                </c:pt>
                <c:pt idx="35">
                  <c:v>Nov-16</c:v>
                </c:pt>
                <c:pt idx="36">
                  <c:v>Dec-16</c:v>
                </c:pt>
                <c:pt idx="37">
                  <c:v>Jan-17</c:v>
                </c:pt>
                <c:pt idx="38">
                  <c:v>Feb-17</c:v>
                </c:pt>
                <c:pt idx="39">
                  <c:v>Mar-17</c:v>
                </c:pt>
                <c:pt idx="40">
                  <c:v>Apr-17</c:v>
                </c:pt>
                <c:pt idx="41">
                  <c:v>May-17</c:v>
                </c:pt>
                <c:pt idx="42">
                  <c:v>Jun-17</c:v>
                </c:pt>
                <c:pt idx="43">
                  <c:v>Jul-17</c:v>
                </c:pt>
                <c:pt idx="44">
                  <c:v>Aug-17</c:v>
                </c:pt>
                <c:pt idx="45">
                  <c:v>Sept-17</c:v>
                </c:pt>
                <c:pt idx="46">
                  <c:v>Oct-17</c:v>
                </c:pt>
                <c:pt idx="47">
                  <c:v>Nov-17</c:v>
                </c:pt>
                <c:pt idx="48">
                  <c:v>Dec-17</c:v>
                </c:pt>
                <c:pt idx="49">
                  <c:v>Jan-18</c:v>
                </c:pt>
                <c:pt idx="50">
                  <c:v>Feb-18</c:v>
                </c:pt>
                <c:pt idx="51">
                  <c:v>Mar-18</c:v>
                </c:pt>
                <c:pt idx="52">
                  <c:v>Apr-18</c:v>
                </c:pt>
                <c:pt idx="53">
                  <c:v>May-18</c:v>
                </c:pt>
                <c:pt idx="54">
                  <c:v>Jun-18</c:v>
                </c:pt>
                <c:pt idx="55">
                  <c:v>Jul-18</c:v>
                </c:pt>
                <c:pt idx="56">
                  <c:v>Aug-18</c:v>
                </c:pt>
                <c:pt idx="57">
                  <c:v>Sept-18</c:v>
                </c:pt>
                <c:pt idx="58">
                  <c:v>Oct-18</c:v>
                </c:pt>
                <c:pt idx="59">
                  <c:v>Nov-18</c:v>
                </c:pt>
                <c:pt idx="60">
                  <c:v>Dec-18</c:v>
                </c:pt>
                <c:pt idx="61">
                  <c:v>Jan-19</c:v>
                </c:pt>
                <c:pt idx="62">
                  <c:v>Feb-19</c:v>
                </c:pt>
                <c:pt idx="63">
                  <c:v>Mar-19</c:v>
                </c:pt>
                <c:pt idx="64">
                  <c:v>Apr-19</c:v>
                </c:pt>
                <c:pt idx="65">
                  <c:v>May-19</c:v>
                </c:pt>
                <c:pt idx="66">
                  <c:v>Jun-19</c:v>
                </c:pt>
                <c:pt idx="67">
                  <c:v>Jul-19</c:v>
                </c:pt>
                <c:pt idx="68">
                  <c:v>Aug-19</c:v>
                </c:pt>
                <c:pt idx="69">
                  <c:v>Sept-19</c:v>
                </c:pt>
                <c:pt idx="70">
                  <c:v>Oct-19</c:v>
                </c:pt>
                <c:pt idx="71">
                  <c:v>Nov-19</c:v>
                </c:pt>
                <c:pt idx="72">
                  <c:v>Dec-19</c:v>
                </c:pt>
                <c:pt idx="73">
                  <c:v>Jan-20</c:v>
                </c:pt>
                <c:pt idx="74">
                  <c:v>Feb-20</c:v>
                </c:pt>
                <c:pt idx="75">
                  <c:v>Mar-20</c:v>
                </c:pt>
                <c:pt idx="76">
                  <c:v>Apr-20</c:v>
                </c:pt>
                <c:pt idx="77">
                  <c:v>May-20</c:v>
                </c:pt>
                <c:pt idx="78">
                  <c:v>Jun-20</c:v>
                </c:pt>
                <c:pt idx="79">
                  <c:v>Jul-20</c:v>
                </c:pt>
                <c:pt idx="80">
                  <c:v>Aug-20</c:v>
                </c:pt>
                <c:pt idx="81">
                  <c:v>Sept-20</c:v>
                </c:pt>
                <c:pt idx="82">
                  <c:v>Oct-20</c:v>
                </c:pt>
                <c:pt idx="83">
                  <c:v>Nov-20</c:v>
                </c:pt>
                <c:pt idx="84">
                  <c:v>Dec-20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1-3C4D-9B81-DBEDC1DD2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8479072"/>
        <c:axId val="418696352"/>
      </c:lineChart>
      <c:catAx>
        <c:axId val="418479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418696352"/>
        <c:crosses val="autoZero"/>
        <c:auto val="1"/>
        <c:lblAlgn val="ctr"/>
        <c:lblOffset val="100"/>
        <c:noMultiLvlLbl val="0"/>
      </c:catAx>
      <c:valAx>
        <c:axId val="41869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41847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Cyle'!$A$16</c:f>
              <c:strCache>
                <c:ptCount val="1"/>
                <c:pt idx="0">
                  <c:v>Sales (B)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Jan-14</c:v>
                </c:pt>
                <c:pt idx="2">
                  <c:v>Feb-14</c:v>
                </c:pt>
                <c:pt idx="3">
                  <c:v>Mar-14</c:v>
                </c:pt>
                <c:pt idx="4">
                  <c:v>Apr-14</c:v>
                </c:pt>
                <c:pt idx="5">
                  <c:v>May-14</c:v>
                </c:pt>
                <c:pt idx="6">
                  <c:v>Jun-14</c:v>
                </c:pt>
                <c:pt idx="7">
                  <c:v>Jul-14</c:v>
                </c:pt>
                <c:pt idx="8">
                  <c:v>Aug-14</c:v>
                </c:pt>
                <c:pt idx="9">
                  <c:v>Sept-14</c:v>
                </c:pt>
                <c:pt idx="10">
                  <c:v>Oct-14</c:v>
                </c:pt>
                <c:pt idx="11">
                  <c:v>Nov-14</c:v>
                </c:pt>
                <c:pt idx="12">
                  <c:v>Dec-14</c:v>
                </c:pt>
                <c:pt idx="13">
                  <c:v>Jan-15</c:v>
                </c:pt>
                <c:pt idx="14">
                  <c:v>Feb-15</c:v>
                </c:pt>
                <c:pt idx="15">
                  <c:v>Mar-15</c:v>
                </c:pt>
                <c:pt idx="16">
                  <c:v>Apr-15</c:v>
                </c:pt>
                <c:pt idx="17">
                  <c:v>May-15</c:v>
                </c:pt>
                <c:pt idx="18">
                  <c:v>Jun-15</c:v>
                </c:pt>
                <c:pt idx="19">
                  <c:v>Jul-15</c:v>
                </c:pt>
                <c:pt idx="20">
                  <c:v>Aug-15</c:v>
                </c:pt>
                <c:pt idx="21">
                  <c:v>Sept-15</c:v>
                </c:pt>
                <c:pt idx="22">
                  <c:v>Oct-15</c:v>
                </c:pt>
                <c:pt idx="23">
                  <c:v>Nov-15</c:v>
                </c:pt>
                <c:pt idx="24">
                  <c:v>Dec-15</c:v>
                </c:pt>
                <c:pt idx="25">
                  <c:v>Jan-16</c:v>
                </c:pt>
                <c:pt idx="26">
                  <c:v>Feb-16</c:v>
                </c:pt>
                <c:pt idx="27">
                  <c:v>Mar-16</c:v>
                </c:pt>
                <c:pt idx="28">
                  <c:v>Apr-16</c:v>
                </c:pt>
                <c:pt idx="29">
                  <c:v>May-16</c:v>
                </c:pt>
                <c:pt idx="30">
                  <c:v>Jun-16</c:v>
                </c:pt>
                <c:pt idx="31">
                  <c:v>Jul-16</c:v>
                </c:pt>
                <c:pt idx="32">
                  <c:v>Aug-16</c:v>
                </c:pt>
                <c:pt idx="33">
                  <c:v>Sept-16</c:v>
                </c:pt>
                <c:pt idx="34">
                  <c:v>Oct-16</c:v>
                </c:pt>
                <c:pt idx="35">
                  <c:v>Nov-16</c:v>
                </c:pt>
                <c:pt idx="36">
                  <c:v>Dec-16</c:v>
                </c:pt>
                <c:pt idx="37">
                  <c:v>Jan-17</c:v>
                </c:pt>
                <c:pt idx="38">
                  <c:v>Feb-17</c:v>
                </c:pt>
                <c:pt idx="39">
                  <c:v>Mar-17</c:v>
                </c:pt>
                <c:pt idx="40">
                  <c:v>Apr-17</c:v>
                </c:pt>
                <c:pt idx="41">
                  <c:v>May-17</c:v>
                </c:pt>
                <c:pt idx="42">
                  <c:v>Jun-17</c:v>
                </c:pt>
                <c:pt idx="43">
                  <c:v>Jul-17</c:v>
                </c:pt>
                <c:pt idx="44">
                  <c:v>Aug-17</c:v>
                </c:pt>
                <c:pt idx="45">
                  <c:v>Sept-17</c:v>
                </c:pt>
                <c:pt idx="46">
                  <c:v>Oct-17</c:v>
                </c:pt>
                <c:pt idx="47">
                  <c:v>Nov-17</c:v>
                </c:pt>
                <c:pt idx="48">
                  <c:v>Dec-17</c:v>
                </c:pt>
                <c:pt idx="49">
                  <c:v>Jan-18</c:v>
                </c:pt>
                <c:pt idx="50">
                  <c:v>Feb-18</c:v>
                </c:pt>
                <c:pt idx="51">
                  <c:v>Mar-18</c:v>
                </c:pt>
                <c:pt idx="52">
                  <c:v>Apr-18</c:v>
                </c:pt>
                <c:pt idx="53">
                  <c:v>May-18</c:v>
                </c:pt>
                <c:pt idx="54">
                  <c:v>Jun-18</c:v>
                </c:pt>
                <c:pt idx="55">
                  <c:v>Jul-18</c:v>
                </c:pt>
                <c:pt idx="56">
                  <c:v>Aug-18</c:v>
                </c:pt>
                <c:pt idx="57">
                  <c:v>Sept-18</c:v>
                </c:pt>
                <c:pt idx="58">
                  <c:v>Oct-18</c:v>
                </c:pt>
                <c:pt idx="59">
                  <c:v>Nov-18</c:v>
                </c:pt>
                <c:pt idx="60">
                  <c:v>Dec-18</c:v>
                </c:pt>
                <c:pt idx="61">
                  <c:v>Jan-19</c:v>
                </c:pt>
                <c:pt idx="62">
                  <c:v>Feb-19</c:v>
                </c:pt>
                <c:pt idx="63">
                  <c:v>Mar-19</c:v>
                </c:pt>
                <c:pt idx="64">
                  <c:v>Apr-19</c:v>
                </c:pt>
                <c:pt idx="65">
                  <c:v>May-19</c:v>
                </c:pt>
                <c:pt idx="66">
                  <c:v>Jun-19</c:v>
                </c:pt>
                <c:pt idx="67">
                  <c:v>Jul-19</c:v>
                </c:pt>
                <c:pt idx="68">
                  <c:v>Aug-19</c:v>
                </c:pt>
                <c:pt idx="69">
                  <c:v>Sept-19</c:v>
                </c:pt>
                <c:pt idx="70">
                  <c:v>Oct-19</c:v>
                </c:pt>
                <c:pt idx="71">
                  <c:v>Nov-19</c:v>
                </c:pt>
                <c:pt idx="72">
                  <c:v>Dec-19</c:v>
                </c:pt>
                <c:pt idx="73">
                  <c:v>Jan-20</c:v>
                </c:pt>
                <c:pt idx="74">
                  <c:v>Feb-20</c:v>
                </c:pt>
                <c:pt idx="75">
                  <c:v>Mar-20</c:v>
                </c:pt>
                <c:pt idx="76">
                  <c:v>Apr-20</c:v>
                </c:pt>
                <c:pt idx="77">
                  <c:v>May-20</c:v>
                </c:pt>
                <c:pt idx="78">
                  <c:v>Jun-20</c:v>
                </c:pt>
                <c:pt idx="79">
                  <c:v>Jul-20</c:v>
                </c:pt>
                <c:pt idx="80">
                  <c:v>Aug-20</c:v>
                </c:pt>
                <c:pt idx="81">
                  <c:v>Sept-20</c:v>
                </c:pt>
                <c:pt idx="82">
                  <c:v>Oct-20</c:v>
                </c:pt>
                <c:pt idx="83">
                  <c:v>Nov-20</c:v>
                </c:pt>
                <c:pt idx="84">
                  <c:v>Dec-20</c:v>
                </c:pt>
              </c:strCache>
            </c:strRef>
          </c:cat>
          <c:val>
            <c:numRef>
              <c:f>'S04 Product Life Cyle'!$B$16:$CH$16</c:f>
              <c:numCache>
                <c:formatCode>General</c:formatCode>
                <c:ptCount val="85"/>
                <c:pt idx="1">
                  <c:v>4</c:v>
                </c:pt>
                <c:pt idx="2">
                  <c:v>12</c:v>
                </c:pt>
                <c:pt idx="3">
                  <c:v>14</c:v>
                </c:pt>
                <c:pt idx="4">
                  <c:v>16</c:v>
                </c:pt>
                <c:pt idx="5">
                  <c:v>19</c:v>
                </c:pt>
                <c:pt idx="6">
                  <c:v>22</c:v>
                </c:pt>
                <c:pt idx="7">
                  <c:v>26</c:v>
                </c:pt>
                <c:pt idx="8">
                  <c:v>31</c:v>
                </c:pt>
                <c:pt idx="9">
                  <c:v>37</c:v>
                </c:pt>
                <c:pt idx="10">
                  <c:v>44</c:v>
                </c:pt>
                <c:pt idx="11">
                  <c:v>52</c:v>
                </c:pt>
                <c:pt idx="12">
                  <c:v>62</c:v>
                </c:pt>
                <c:pt idx="13">
                  <c:v>74</c:v>
                </c:pt>
                <c:pt idx="14">
                  <c:v>88</c:v>
                </c:pt>
                <c:pt idx="15">
                  <c:v>89</c:v>
                </c:pt>
                <c:pt idx="16">
                  <c:v>93</c:v>
                </c:pt>
                <c:pt idx="17">
                  <c:v>97</c:v>
                </c:pt>
                <c:pt idx="18">
                  <c:v>92</c:v>
                </c:pt>
                <c:pt idx="19">
                  <c:v>94</c:v>
                </c:pt>
                <c:pt idx="20">
                  <c:v>91</c:v>
                </c:pt>
                <c:pt idx="21">
                  <c:v>86</c:v>
                </c:pt>
                <c:pt idx="22">
                  <c:v>70</c:v>
                </c:pt>
                <c:pt idx="23">
                  <c:v>58</c:v>
                </c:pt>
                <c:pt idx="24">
                  <c:v>47</c:v>
                </c:pt>
                <c:pt idx="25">
                  <c:v>30</c:v>
                </c:pt>
                <c:pt idx="26">
                  <c:v>20</c:v>
                </c:pt>
                <c:pt idx="27">
                  <c:v>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E-BB45-99BD-CA61E1C49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1625184"/>
        <c:axId val="412256208"/>
      </c:lineChart>
      <c:catAx>
        <c:axId val="391625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412256208"/>
        <c:crosses val="autoZero"/>
        <c:auto val="1"/>
        <c:lblAlgn val="ctr"/>
        <c:lblOffset val="100"/>
        <c:noMultiLvlLbl val="0"/>
      </c:catAx>
      <c:valAx>
        <c:axId val="41225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39162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'S04 Product Life Cyle'!$A$26</c:f>
              <c:strCache>
                <c:ptCount val="1"/>
                <c:pt idx="0">
                  <c:v>Sales (C)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Jan-14</c:v>
                </c:pt>
                <c:pt idx="2">
                  <c:v>Feb-14</c:v>
                </c:pt>
                <c:pt idx="3">
                  <c:v>Mar-14</c:v>
                </c:pt>
                <c:pt idx="4">
                  <c:v>Apr-14</c:v>
                </c:pt>
                <c:pt idx="5">
                  <c:v>May-14</c:v>
                </c:pt>
                <c:pt idx="6">
                  <c:v>Jun-14</c:v>
                </c:pt>
                <c:pt idx="7">
                  <c:v>Jul-14</c:v>
                </c:pt>
                <c:pt idx="8">
                  <c:v>Aug-14</c:v>
                </c:pt>
                <c:pt idx="9">
                  <c:v>Sept-14</c:v>
                </c:pt>
                <c:pt idx="10">
                  <c:v>Oct-14</c:v>
                </c:pt>
                <c:pt idx="11">
                  <c:v>Nov-14</c:v>
                </c:pt>
                <c:pt idx="12">
                  <c:v>Dec-14</c:v>
                </c:pt>
                <c:pt idx="13">
                  <c:v>Jan-15</c:v>
                </c:pt>
                <c:pt idx="14">
                  <c:v>Feb-15</c:v>
                </c:pt>
                <c:pt idx="15">
                  <c:v>Mar-15</c:v>
                </c:pt>
                <c:pt idx="16">
                  <c:v>Apr-15</c:v>
                </c:pt>
                <c:pt idx="17">
                  <c:v>May-15</c:v>
                </c:pt>
                <c:pt idx="18">
                  <c:v>Jun-15</c:v>
                </c:pt>
                <c:pt idx="19">
                  <c:v>Jul-15</c:v>
                </c:pt>
                <c:pt idx="20">
                  <c:v>Aug-15</c:v>
                </c:pt>
                <c:pt idx="21">
                  <c:v>Sept-15</c:v>
                </c:pt>
                <c:pt idx="22">
                  <c:v>Oct-15</c:v>
                </c:pt>
                <c:pt idx="23">
                  <c:v>Nov-15</c:v>
                </c:pt>
                <c:pt idx="24">
                  <c:v>Dec-15</c:v>
                </c:pt>
                <c:pt idx="25">
                  <c:v>Jan-16</c:v>
                </c:pt>
                <c:pt idx="26">
                  <c:v>Feb-16</c:v>
                </c:pt>
                <c:pt idx="27">
                  <c:v>Mar-16</c:v>
                </c:pt>
                <c:pt idx="28">
                  <c:v>Apr-16</c:v>
                </c:pt>
                <c:pt idx="29">
                  <c:v>May-16</c:v>
                </c:pt>
                <c:pt idx="30">
                  <c:v>Jun-16</c:v>
                </c:pt>
                <c:pt idx="31">
                  <c:v>Jul-16</c:v>
                </c:pt>
                <c:pt idx="32">
                  <c:v>Aug-16</c:v>
                </c:pt>
                <c:pt idx="33">
                  <c:v>Sept-16</c:v>
                </c:pt>
                <c:pt idx="34">
                  <c:v>Oct-16</c:v>
                </c:pt>
                <c:pt idx="35">
                  <c:v>Nov-16</c:v>
                </c:pt>
                <c:pt idx="36">
                  <c:v>Dec-16</c:v>
                </c:pt>
                <c:pt idx="37">
                  <c:v>Jan-17</c:v>
                </c:pt>
                <c:pt idx="38">
                  <c:v>Feb-17</c:v>
                </c:pt>
                <c:pt idx="39">
                  <c:v>Mar-17</c:v>
                </c:pt>
                <c:pt idx="40">
                  <c:v>Apr-17</c:v>
                </c:pt>
                <c:pt idx="41">
                  <c:v>May-17</c:v>
                </c:pt>
                <c:pt idx="42">
                  <c:v>Jun-17</c:v>
                </c:pt>
                <c:pt idx="43">
                  <c:v>Jul-17</c:v>
                </c:pt>
                <c:pt idx="44">
                  <c:v>Aug-17</c:v>
                </c:pt>
                <c:pt idx="45">
                  <c:v>Sept-17</c:v>
                </c:pt>
                <c:pt idx="46">
                  <c:v>Oct-17</c:v>
                </c:pt>
                <c:pt idx="47">
                  <c:v>Nov-17</c:v>
                </c:pt>
                <c:pt idx="48">
                  <c:v>Dec-17</c:v>
                </c:pt>
                <c:pt idx="49">
                  <c:v>Jan-18</c:v>
                </c:pt>
                <c:pt idx="50">
                  <c:v>Feb-18</c:v>
                </c:pt>
                <c:pt idx="51">
                  <c:v>Mar-18</c:v>
                </c:pt>
                <c:pt idx="52">
                  <c:v>Apr-18</c:v>
                </c:pt>
                <c:pt idx="53">
                  <c:v>May-18</c:v>
                </c:pt>
                <c:pt idx="54">
                  <c:v>Jun-18</c:v>
                </c:pt>
                <c:pt idx="55">
                  <c:v>Jul-18</c:v>
                </c:pt>
                <c:pt idx="56">
                  <c:v>Aug-18</c:v>
                </c:pt>
                <c:pt idx="57">
                  <c:v>Sept-18</c:v>
                </c:pt>
                <c:pt idx="58">
                  <c:v>Oct-18</c:v>
                </c:pt>
                <c:pt idx="59">
                  <c:v>Nov-18</c:v>
                </c:pt>
                <c:pt idx="60">
                  <c:v>Dec-18</c:v>
                </c:pt>
                <c:pt idx="61">
                  <c:v>Jan-19</c:v>
                </c:pt>
                <c:pt idx="62">
                  <c:v>Feb-19</c:v>
                </c:pt>
                <c:pt idx="63">
                  <c:v>Mar-19</c:v>
                </c:pt>
                <c:pt idx="64">
                  <c:v>Apr-19</c:v>
                </c:pt>
                <c:pt idx="65">
                  <c:v>May-19</c:v>
                </c:pt>
                <c:pt idx="66">
                  <c:v>Jun-19</c:v>
                </c:pt>
                <c:pt idx="67">
                  <c:v>Jul-19</c:v>
                </c:pt>
                <c:pt idx="68">
                  <c:v>Aug-19</c:v>
                </c:pt>
                <c:pt idx="69">
                  <c:v>Sept-19</c:v>
                </c:pt>
                <c:pt idx="70">
                  <c:v>Oct-19</c:v>
                </c:pt>
                <c:pt idx="71">
                  <c:v>Nov-19</c:v>
                </c:pt>
                <c:pt idx="72">
                  <c:v>Dec-19</c:v>
                </c:pt>
                <c:pt idx="73">
                  <c:v>Jan-20</c:v>
                </c:pt>
                <c:pt idx="74">
                  <c:v>Feb-20</c:v>
                </c:pt>
                <c:pt idx="75">
                  <c:v>Mar-20</c:v>
                </c:pt>
                <c:pt idx="76">
                  <c:v>Apr-20</c:v>
                </c:pt>
                <c:pt idx="77">
                  <c:v>May-20</c:v>
                </c:pt>
                <c:pt idx="78">
                  <c:v>Jun-20</c:v>
                </c:pt>
                <c:pt idx="79">
                  <c:v>Jul-20</c:v>
                </c:pt>
                <c:pt idx="80">
                  <c:v>Aug-20</c:v>
                </c:pt>
                <c:pt idx="81">
                  <c:v>Sept-20</c:v>
                </c:pt>
                <c:pt idx="82">
                  <c:v>Oct-20</c:v>
                </c:pt>
                <c:pt idx="83">
                  <c:v>Nov-20</c:v>
                </c:pt>
                <c:pt idx="84">
                  <c:v>Dec-20</c:v>
                </c:pt>
              </c:strCache>
            </c:strRef>
          </c:cat>
          <c:val>
            <c:numRef>
              <c:f>'S04 Product Life Cyle'!$B$26:$CH$26</c:f>
              <c:numCache>
                <c:formatCode>General</c:formatCode>
                <c:ptCount val="85"/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14</c:v>
                </c:pt>
                <c:pt idx="6">
                  <c:v>15</c:v>
                </c:pt>
                <c:pt idx="7">
                  <c:v>16</c:v>
                </c:pt>
                <c:pt idx="8">
                  <c:v>17</c:v>
                </c:pt>
                <c:pt idx="9">
                  <c:v>18</c:v>
                </c:pt>
                <c:pt idx="10">
                  <c:v>19</c:v>
                </c:pt>
                <c:pt idx="11">
                  <c:v>20</c:v>
                </c:pt>
                <c:pt idx="12">
                  <c:v>22</c:v>
                </c:pt>
                <c:pt idx="13">
                  <c:v>24</c:v>
                </c:pt>
                <c:pt idx="14">
                  <c:v>26</c:v>
                </c:pt>
                <c:pt idx="15">
                  <c:v>28</c:v>
                </c:pt>
                <c:pt idx="16">
                  <c:v>30</c:v>
                </c:pt>
                <c:pt idx="17">
                  <c:v>33</c:v>
                </c:pt>
                <c:pt idx="18">
                  <c:v>36</c:v>
                </c:pt>
                <c:pt idx="19">
                  <c:v>39</c:v>
                </c:pt>
                <c:pt idx="20">
                  <c:v>42</c:v>
                </c:pt>
                <c:pt idx="21">
                  <c:v>46</c:v>
                </c:pt>
                <c:pt idx="22">
                  <c:v>50</c:v>
                </c:pt>
                <c:pt idx="23">
                  <c:v>55</c:v>
                </c:pt>
                <c:pt idx="24">
                  <c:v>60</c:v>
                </c:pt>
                <c:pt idx="25">
                  <c:v>66</c:v>
                </c:pt>
                <c:pt idx="26">
                  <c:v>72</c:v>
                </c:pt>
                <c:pt idx="27">
                  <c:v>79</c:v>
                </c:pt>
                <c:pt idx="28">
                  <c:v>86</c:v>
                </c:pt>
                <c:pt idx="29">
                  <c:v>94</c:v>
                </c:pt>
                <c:pt idx="30">
                  <c:v>103</c:v>
                </c:pt>
                <c:pt idx="31">
                  <c:v>113</c:v>
                </c:pt>
                <c:pt idx="32">
                  <c:v>124</c:v>
                </c:pt>
                <c:pt idx="33">
                  <c:v>136</c:v>
                </c:pt>
                <c:pt idx="34">
                  <c:v>149</c:v>
                </c:pt>
                <c:pt idx="35">
                  <c:v>163</c:v>
                </c:pt>
                <c:pt idx="36">
                  <c:v>179</c:v>
                </c:pt>
                <c:pt idx="37">
                  <c:v>196</c:v>
                </c:pt>
                <c:pt idx="38">
                  <c:v>215</c:v>
                </c:pt>
                <c:pt idx="39">
                  <c:v>236</c:v>
                </c:pt>
                <c:pt idx="40">
                  <c:v>259</c:v>
                </c:pt>
                <c:pt idx="41">
                  <c:v>284</c:v>
                </c:pt>
                <c:pt idx="42">
                  <c:v>312</c:v>
                </c:pt>
                <c:pt idx="43">
                  <c:v>343</c:v>
                </c:pt>
                <c:pt idx="44">
                  <c:v>377</c:v>
                </c:pt>
                <c:pt idx="45">
                  <c:v>414</c:v>
                </c:pt>
                <c:pt idx="46">
                  <c:v>455</c:v>
                </c:pt>
                <c:pt idx="47">
                  <c:v>500</c:v>
                </c:pt>
                <c:pt idx="48">
                  <c:v>550</c:v>
                </c:pt>
                <c:pt idx="49">
                  <c:v>605</c:v>
                </c:pt>
                <c:pt idx="50">
                  <c:v>665</c:v>
                </c:pt>
                <c:pt idx="51">
                  <c:v>675</c:v>
                </c:pt>
                <c:pt idx="52">
                  <c:v>687</c:v>
                </c:pt>
                <c:pt idx="53">
                  <c:v>698</c:v>
                </c:pt>
                <c:pt idx="54">
                  <c:v>714</c:v>
                </c:pt>
                <c:pt idx="55">
                  <c:v>730</c:v>
                </c:pt>
                <c:pt idx="56">
                  <c:v>749</c:v>
                </c:pt>
                <c:pt idx="57">
                  <c:v>735</c:v>
                </c:pt>
                <c:pt idx="58">
                  <c:v>716</c:v>
                </c:pt>
                <c:pt idx="59">
                  <c:v>702</c:v>
                </c:pt>
                <c:pt idx="60">
                  <c:v>682</c:v>
                </c:pt>
                <c:pt idx="61">
                  <c:v>662</c:v>
                </c:pt>
                <c:pt idx="62">
                  <c:v>643</c:v>
                </c:pt>
                <c:pt idx="63">
                  <c:v>632</c:v>
                </c:pt>
                <c:pt idx="64">
                  <c:v>617</c:v>
                </c:pt>
                <c:pt idx="65">
                  <c:v>600</c:v>
                </c:pt>
                <c:pt idx="66">
                  <c:v>589</c:v>
                </c:pt>
                <c:pt idx="67">
                  <c:v>569</c:v>
                </c:pt>
                <c:pt idx="68">
                  <c:v>557</c:v>
                </c:pt>
                <c:pt idx="69">
                  <c:v>538</c:v>
                </c:pt>
                <c:pt idx="70">
                  <c:v>521</c:v>
                </c:pt>
                <c:pt idx="71">
                  <c:v>511</c:v>
                </c:pt>
                <c:pt idx="72">
                  <c:v>494</c:v>
                </c:pt>
                <c:pt idx="73">
                  <c:v>482</c:v>
                </c:pt>
                <c:pt idx="74">
                  <c:v>468</c:v>
                </c:pt>
                <c:pt idx="75">
                  <c:v>454</c:v>
                </c:pt>
                <c:pt idx="76">
                  <c:v>438</c:v>
                </c:pt>
                <c:pt idx="77">
                  <c:v>427</c:v>
                </c:pt>
                <c:pt idx="78">
                  <c:v>410</c:v>
                </c:pt>
                <c:pt idx="79">
                  <c:v>396</c:v>
                </c:pt>
                <c:pt idx="80">
                  <c:v>379</c:v>
                </c:pt>
                <c:pt idx="81">
                  <c:v>361</c:v>
                </c:pt>
                <c:pt idx="82">
                  <c:v>351</c:v>
                </c:pt>
                <c:pt idx="83">
                  <c:v>338</c:v>
                </c:pt>
                <c:pt idx="84">
                  <c:v>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A5-6446-979D-F7CFAB370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8560496"/>
        <c:axId val="418562224"/>
      </c:lineChart>
      <c:catAx>
        <c:axId val="41856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418562224"/>
        <c:crosses val="autoZero"/>
        <c:auto val="1"/>
        <c:lblAlgn val="ctr"/>
        <c:lblOffset val="100"/>
        <c:noMultiLvlLbl val="0"/>
      </c:catAx>
      <c:valAx>
        <c:axId val="41856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41856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Sales &amp; Cum.</a:t>
            </a:r>
            <a:r>
              <a:rPr lang="en-GB" baseline="0"/>
              <a:t> Revenue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Jan-14</c:v>
                </c:pt>
                <c:pt idx="2">
                  <c:v>Feb-14</c:v>
                </c:pt>
                <c:pt idx="3">
                  <c:v>Mar-14</c:v>
                </c:pt>
                <c:pt idx="4">
                  <c:v>Apr-14</c:v>
                </c:pt>
                <c:pt idx="5">
                  <c:v>May-14</c:v>
                </c:pt>
                <c:pt idx="6">
                  <c:v>Jun-14</c:v>
                </c:pt>
                <c:pt idx="7">
                  <c:v>Jul-14</c:v>
                </c:pt>
                <c:pt idx="8">
                  <c:v>Aug-14</c:v>
                </c:pt>
                <c:pt idx="9">
                  <c:v>Sept-14</c:v>
                </c:pt>
                <c:pt idx="10">
                  <c:v>Oct-14</c:v>
                </c:pt>
                <c:pt idx="11">
                  <c:v>Nov-14</c:v>
                </c:pt>
                <c:pt idx="12">
                  <c:v>Dec-14</c:v>
                </c:pt>
                <c:pt idx="13">
                  <c:v>Jan-15</c:v>
                </c:pt>
                <c:pt idx="14">
                  <c:v>Feb-15</c:v>
                </c:pt>
                <c:pt idx="15">
                  <c:v>Mar-15</c:v>
                </c:pt>
                <c:pt idx="16">
                  <c:v>Apr-15</c:v>
                </c:pt>
                <c:pt idx="17">
                  <c:v>May-15</c:v>
                </c:pt>
                <c:pt idx="18">
                  <c:v>Jun-15</c:v>
                </c:pt>
                <c:pt idx="19">
                  <c:v>Jul-15</c:v>
                </c:pt>
                <c:pt idx="20">
                  <c:v>Aug-15</c:v>
                </c:pt>
                <c:pt idx="21">
                  <c:v>Sept-15</c:v>
                </c:pt>
                <c:pt idx="22">
                  <c:v>Oct-15</c:v>
                </c:pt>
                <c:pt idx="23">
                  <c:v>Nov-15</c:v>
                </c:pt>
                <c:pt idx="24">
                  <c:v>Dec-15</c:v>
                </c:pt>
                <c:pt idx="25">
                  <c:v>Jan-16</c:v>
                </c:pt>
                <c:pt idx="26">
                  <c:v>Feb-16</c:v>
                </c:pt>
                <c:pt idx="27">
                  <c:v>Mar-16</c:v>
                </c:pt>
                <c:pt idx="28">
                  <c:v>Apr-16</c:v>
                </c:pt>
                <c:pt idx="29">
                  <c:v>May-16</c:v>
                </c:pt>
                <c:pt idx="30">
                  <c:v>Jun-16</c:v>
                </c:pt>
                <c:pt idx="31">
                  <c:v>Jul-16</c:v>
                </c:pt>
                <c:pt idx="32">
                  <c:v>Aug-16</c:v>
                </c:pt>
                <c:pt idx="33">
                  <c:v>Sept-16</c:v>
                </c:pt>
                <c:pt idx="34">
                  <c:v>Oct-16</c:v>
                </c:pt>
                <c:pt idx="35">
                  <c:v>Nov-16</c:v>
                </c:pt>
                <c:pt idx="36">
                  <c:v>Dec-16</c:v>
                </c:pt>
                <c:pt idx="37">
                  <c:v>Jan-17</c:v>
                </c:pt>
                <c:pt idx="38">
                  <c:v>Feb-17</c:v>
                </c:pt>
                <c:pt idx="39">
                  <c:v>Mar-17</c:v>
                </c:pt>
                <c:pt idx="40">
                  <c:v>Apr-17</c:v>
                </c:pt>
                <c:pt idx="41">
                  <c:v>May-17</c:v>
                </c:pt>
                <c:pt idx="42">
                  <c:v>Jun-17</c:v>
                </c:pt>
                <c:pt idx="43">
                  <c:v>Jul-17</c:v>
                </c:pt>
                <c:pt idx="44">
                  <c:v>Aug-17</c:v>
                </c:pt>
                <c:pt idx="45">
                  <c:v>Sept-17</c:v>
                </c:pt>
                <c:pt idx="46">
                  <c:v>Oct-17</c:v>
                </c:pt>
                <c:pt idx="47">
                  <c:v>Nov-17</c:v>
                </c:pt>
                <c:pt idx="48">
                  <c:v>Dec-17</c:v>
                </c:pt>
                <c:pt idx="49">
                  <c:v>Jan-18</c:v>
                </c:pt>
                <c:pt idx="50">
                  <c:v>Feb-18</c:v>
                </c:pt>
                <c:pt idx="51">
                  <c:v>Mar-18</c:v>
                </c:pt>
                <c:pt idx="52">
                  <c:v>Apr-18</c:v>
                </c:pt>
                <c:pt idx="53">
                  <c:v>May-18</c:v>
                </c:pt>
                <c:pt idx="54">
                  <c:v>Jun-18</c:v>
                </c:pt>
                <c:pt idx="55">
                  <c:v>Jul-18</c:v>
                </c:pt>
                <c:pt idx="56">
                  <c:v>Aug-18</c:v>
                </c:pt>
                <c:pt idx="57">
                  <c:v>Sept-18</c:v>
                </c:pt>
                <c:pt idx="58">
                  <c:v>Oct-18</c:v>
                </c:pt>
                <c:pt idx="59">
                  <c:v>Nov-18</c:v>
                </c:pt>
                <c:pt idx="60">
                  <c:v>Dec-18</c:v>
                </c:pt>
                <c:pt idx="61">
                  <c:v>Jan-19</c:v>
                </c:pt>
                <c:pt idx="62">
                  <c:v>Feb-19</c:v>
                </c:pt>
                <c:pt idx="63">
                  <c:v>Mar-19</c:v>
                </c:pt>
                <c:pt idx="64">
                  <c:v>Apr-19</c:v>
                </c:pt>
                <c:pt idx="65">
                  <c:v>May-19</c:v>
                </c:pt>
                <c:pt idx="66">
                  <c:v>Jun-19</c:v>
                </c:pt>
                <c:pt idx="67">
                  <c:v>Jul-19</c:v>
                </c:pt>
                <c:pt idx="68">
                  <c:v>Aug-19</c:v>
                </c:pt>
                <c:pt idx="69">
                  <c:v>Sept-19</c:v>
                </c:pt>
                <c:pt idx="70">
                  <c:v>Oct-19</c:v>
                </c:pt>
                <c:pt idx="71">
                  <c:v>Nov-19</c:v>
                </c:pt>
                <c:pt idx="72">
                  <c:v>Dec-19</c:v>
                </c:pt>
                <c:pt idx="73">
                  <c:v>Jan-20</c:v>
                </c:pt>
                <c:pt idx="74">
                  <c:v>Feb-20</c:v>
                </c:pt>
                <c:pt idx="75">
                  <c:v>Mar-20</c:v>
                </c:pt>
                <c:pt idx="76">
                  <c:v>Apr-20</c:v>
                </c:pt>
                <c:pt idx="77">
                  <c:v>May-20</c:v>
                </c:pt>
                <c:pt idx="78">
                  <c:v>Jun-20</c:v>
                </c:pt>
                <c:pt idx="79">
                  <c:v>Jul-20</c:v>
                </c:pt>
                <c:pt idx="80">
                  <c:v>Aug-20</c:v>
                </c:pt>
                <c:pt idx="81">
                  <c:v>Sept-20</c:v>
                </c:pt>
                <c:pt idx="82">
                  <c:v>Oct-20</c:v>
                </c:pt>
                <c:pt idx="83">
                  <c:v>Nov-20</c:v>
                </c:pt>
                <c:pt idx="84">
                  <c:v>Dec-20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BA-C74A-B794-2CE4B855B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3072016"/>
        <c:axId val="419000768"/>
      </c:barChart>
      <c:lineChart>
        <c:grouping val="standard"/>
        <c:varyColors val="0"/>
        <c:ser>
          <c:idx val="1"/>
          <c:order val="1"/>
          <c:tx>
            <c:strRef>
              <c:f>'S04 Product Life Cyle'!$A$9</c:f>
              <c:strCache>
                <c:ptCount val="1"/>
                <c:pt idx="0">
                  <c:v>Cumulative Revenue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Jan-14</c:v>
                </c:pt>
                <c:pt idx="2">
                  <c:v>Feb-14</c:v>
                </c:pt>
                <c:pt idx="3">
                  <c:v>Mar-14</c:v>
                </c:pt>
                <c:pt idx="4">
                  <c:v>Apr-14</c:v>
                </c:pt>
                <c:pt idx="5">
                  <c:v>May-14</c:v>
                </c:pt>
                <c:pt idx="6">
                  <c:v>Jun-14</c:v>
                </c:pt>
                <c:pt idx="7">
                  <c:v>Jul-14</c:v>
                </c:pt>
                <c:pt idx="8">
                  <c:v>Aug-14</c:v>
                </c:pt>
                <c:pt idx="9">
                  <c:v>Sept-14</c:v>
                </c:pt>
                <c:pt idx="10">
                  <c:v>Oct-14</c:v>
                </c:pt>
                <c:pt idx="11">
                  <c:v>Nov-14</c:v>
                </c:pt>
                <c:pt idx="12">
                  <c:v>Dec-14</c:v>
                </c:pt>
                <c:pt idx="13">
                  <c:v>Jan-15</c:v>
                </c:pt>
                <c:pt idx="14">
                  <c:v>Feb-15</c:v>
                </c:pt>
                <c:pt idx="15">
                  <c:v>Mar-15</c:v>
                </c:pt>
                <c:pt idx="16">
                  <c:v>Apr-15</c:v>
                </c:pt>
                <c:pt idx="17">
                  <c:v>May-15</c:v>
                </c:pt>
                <c:pt idx="18">
                  <c:v>Jun-15</c:v>
                </c:pt>
                <c:pt idx="19">
                  <c:v>Jul-15</c:v>
                </c:pt>
                <c:pt idx="20">
                  <c:v>Aug-15</c:v>
                </c:pt>
                <c:pt idx="21">
                  <c:v>Sept-15</c:v>
                </c:pt>
                <c:pt idx="22">
                  <c:v>Oct-15</c:v>
                </c:pt>
                <c:pt idx="23">
                  <c:v>Nov-15</c:v>
                </c:pt>
                <c:pt idx="24">
                  <c:v>Dec-15</c:v>
                </c:pt>
                <c:pt idx="25">
                  <c:v>Jan-16</c:v>
                </c:pt>
                <c:pt idx="26">
                  <c:v>Feb-16</c:v>
                </c:pt>
                <c:pt idx="27">
                  <c:v>Mar-16</c:v>
                </c:pt>
                <c:pt idx="28">
                  <c:v>Apr-16</c:v>
                </c:pt>
                <c:pt idx="29">
                  <c:v>May-16</c:v>
                </c:pt>
                <c:pt idx="30">
                  <c:v>Jun-16</c:v>
                </c:pt>
                <c:pt idx="31">
                  <c:v>Jul-16</c:v>
                </c:pt>
                <c:pt idx="32">
                  <c:v>Aug-16</c:v>
                </c:pt>
                <c:pt idx="33">
                  <c:v>Sept-16</c:v>
                </c:pt>
                <c:pt idx="34">
                  <c:v>Oct-16</c:v>
                </c:pt>
                <c:pt idx="35">
                  <c:v>Nov-16</c:v>
                </c:pt>
                <c:pt idx="36">
                  <c:v>Dec-16</c:v>
                </c:pt>
                <c:pt idx="37">
                  <c:v>Jan-17</c:v>
                </c:pt>
                <c:pt idx="38">
                  <c:v>Feb-17</c:v>
                </c:pt>
                <c:pt idx="39">
                  <c:v>Mar-17</c:v>
                </c:pt>
                <c:pt idx="40">
                  <c:v>Apr-17</c:v>
                </c:pt>
                <c:pt idx="41">
                  <c:v>May-17</c:v>
                </c:pt>
                <c:pt idx="42">
                  <c:v>Jun-17</c:v>
                </c:pt>
                <c:pt idx="43">
                  <c:v>Jul-17</c:v>
                </c:pt>
                <c:pt idx="44">
                  <c:v>Aug-17</c:v>
                </c:pt>
                <c:pt idx="45">
                  <c:v>Sept-17</c:v>
                </c:pt>
                <c:pt idx="46">
                  <c:v>Oct-17</c:v>
                </c:pt>
                <c:pt idx="47">
                  <c:v>Nov-17</c:v>
                </c:pt>
                <c:pt idx="48">
                  <c:v>Dec-17</c:v>
                </c:pt>
                <c:pt idx="49">
                  <c:v>Jan-18</c:v>
                </c:pt>
                <c:pt idx="50">
                  <c:v>Feb-18</c:v>
                </c:pt>
                <c:pt idx="51">
                  <c:v>Mar-18</c:v>
                </c:pt>
                <c:pt idx="52">
                  <c:v>Apr-18</c:v>
                </c:pt>
                <c:pt idx="53">
                  <c:v>May-18</c:v>
                </c:pt>
                <c:pt idx="54">
                  <c:v>Jun-18</c:v>
                </c:pt>
                <c:pt idx="55">
                  <c:v>Jul-18</c:v>
                </c:pt>
                <c:pt idx="56">
                  <c:v>Aug-18</c:v>
                </c:pt>
                <c:pt idx="57">
                  <c:v>Sept-18</c:v>
                </c:pt>
                <c:pt idx="58">
                  <c:v>Oct-18</c:v>
                </c:pt>
                <c:pt idx="59">
                  <c:v>Nov-18</c:v>
                </c:pt>
                <c:pt idx="60">
                  <c:v>Dec-18</c:v>
                </c:pt>
                <c:pt idx="61">
                  <c:v>Jan-19</c:v>
                </c:pt>
                <c:pt idx="62">
                  <c:v>Feb-19</c:v>
                </c:pt>
                <c:pt idx="63">
                  <c:v>Mar-19</c:v>
                </c:pt>
                <c:pt idx="64">
                  <c:v>Apr-19</c:v>
                </c:pt>
                <c:pt idx="65">
                  <c:v>May-19</c:v>
                </c:pt>
                <c:pt idx="66">
                  <c:v>Jun-19</c:v>
                </c:pt>
                <c:pt idx="67">
                  <c:v>Jul-19</c:v>
                </c:pt>
                <c:pt idx="68">
                  <c:v>Aug-19</c:v>
                </c:pt>
                <c:pt idx="69">
                  <c:v>Sept-19</c:v>
                </c:pt>
                <c:pt idx="70">
                  <c:v>Oct-19</c:v>
                </c:pt>
                <c:pt idx="71">
                  <c:v>Nov-19</c:v>
                </c:pt>
                <c:pt idx="72">
                  <c:v>Dec-19</c:v>
                </c:pt>
                <c:pt idx="73">
                  <c:v>Jan-20</c:v>
                </c:pt>
                <c:pt idx="74">
                  <c:v>Feb-20</c:v>
                </c:pt>
                <c:pt idx="75">
                  <c:v>Mar-20</c:v>
                </c:pt>
                <c:pt idx="76">
                  <c:v>Apr-20</c:v>
                </c:pt>
                <c:pt idx="77">
                  <c:v>May-20</c:v>
                </c:pt>
                <c:pt idx="78">
                  <c:v>Jun-20</c:v>
                </c:pt>
                <c:pt idx="79">
                  <c:v>Jul-20</c:v>
                </c:pt>
                <c:pt idx="80">
                  <c:v>Aug-20</c:v>
                </c:pt>
                <c:pt idx="81">
                  <c:v>Sept-20</c:v>
                </c:pt>
                <c:pt idx="82">
                  <c:v>Oct-20</c:v>
                </c:pt>
                <c:pt idx="83">
                  <c:v>Nov-20</c:v>
                </c:pt>
                <c:pt idx="84">
                  <c:v>Dec-20</c:v>
                </c:pt>
              </c:strCache>
            </c:strRef>
          </c:cat>
          <c:val>
            <c:numRef>
              <c:f>'S04 Product Life Cyle'!$B$9:$CH$9</c:f>
              <c:numCache>
                <c:formatCode>General</c:formatCode>
                <c:ptCount val="85"/>
                <c:pt idx="0">
                  <c:v>0</c:v>
                </c:pt>
                <c:pt idx="1">
                  <c:v>948</c:v>
                </c:pt>
                <c:pt idx="2">
                  <c:v>2528</c:v>
                </c:pt>
                <c:pt idx="3">
                  <c:v>5451</c:v>
                </c:pt>
                <c:pt idx="4">
                  <c:v>12087</c:v>
                </c:pt>
                <c:pt idx="5">
                  <c:v>26149</c:v>
                </c:pt>
                <c:pt idx="6">
                  <c:v>54036</c:v>
                </c:pt>
                <c:pt idx="7">
                  <c:v>110442</c:v>
                </c:pt>
                <c:pt idx="8">
                  <c:v>223412</c:v>
                </c:pt>
                <c:pt idx="9">
                  <c:v>449194</c:v>
                </c:pt>
                <c:pt idx="10">
                  <c:v>901390</c:v>
                </c:pt>
                <c:pt idx="11">
                  <c:v>1806019</c:v>
                </c:pt>
                <c:pt idx="12">
                  <c:v>3615356</c:v>
                </c:pt>
                <c:pt idx="13">
                  <c:v>5941827</c:v>
                </c:pt>
                <c:pt idx="14">
                  <c:v>8814899</c:v>
                </c:pt>
                <c:pt idx="15">
                  <c:v>12198706</c:v>
                </c:pt>
                <c:pt idx="16">
                  <c:v>16056513</c:v>
                </c:pt>
                <c:pt idx="17">
                  <c:v>20131649</c:v>
                </c:pt>
                <c:pt idx="18">
                  <c:v>24433278</c:v>
                </c:pt>
                <c:pt idx="19">
                  <c:v>28878213</c:v>
                </c:pt>
                <c:pt idx="20">
                  <c:v>33465348</c:v>
                </c:pt>
                <c:pt idx="21">
                  <c:v>38167665</c:v>
                </c:pt>
                <c:pt idx="22">
                  <c:v>42987850</c:v>
                </c:pt>
                <c:pt idx="23">
                  <c:v>47918714</c:v>
                </c:pt>
                <c:pt idx="24">
                  <c:v>52996597</c:v>
                </c:pt>
                <c:pt idx="25">
                  <c:v>58200485</c:v>
                </c:pt>
                <c:pt idx="26">
                  <c:v>63493801</c:v>
                </c:pt>
                <c:pt idx="27">
                  <c:v>68927342</c:v>
                </c:pt>
                <c:pt idx="28">
                  <c:v>74514696</c:v>
                </c:pt>
                <c:pt idx="29">
                  <c:v>80257048</c:v>
                </c:pt>
                <c:pt idx="30">
                  <c:v>86082350</c:v>
                </c:pt>
                <c:pt idx="31">
                  <c:v>92056330</c:v>
                </c:pt>
                <c:pt idx="32">
                  <c:v>98126532</c:v>
                </c:pt>
                <c:pt idx="33">
                  <c:v>104339724</c:v>
                </c:pt>
                <c:pt idx="34">
                  <c:v>110698592</c:v>
                </c:pt>
                <c:pt idx="35">
                  <c:v>117211589</c:v>
                </c:pt>
                <c:pt idx="36">
                  <c:v>123863073</c:v>
                </c:pt>
                <c:pt idx="37">
                  <c:v>130653992</c:v>
                </c:pt>
                <c:pt idx="38">
                  <c:v>137550218</c:v>
                </c:pt>
                <c:pt idx="39">
                  <c:v>144530421</c:v>
                </c:pt>
                <c:pt idx="40">
                  <c:v>151578722</c:v>
                </c:pt>
                <c:pt idx="41">
                  <c:v>158685799</c:v>
                </c:pt>
                <c:pt idx="42">
                  <c:v>165786793</c:v>
                </c:pt>
                <c:pt idx="43">
                  <c:v>172882573</c:v>
                </c:pt>
                <c:pt idx="44">
                  <c:v>179979696</c:v>
                </c:pt>
                <c:pt idx="45">
                  <c:v>187077451</c:v>
                </c:pt>
                <c:pt idx="46">
                  <c:v>194173152</c:v>
                </c:pt>
                <c:pt idx="47">
                  <c:v>201268537</c:v>
                </c:pt>
                <c:pt idx="48">
                  <c:v>208364238</c:v>
                </c:pt>
                <c:pt idx="49">
                  <c:v>215460571</c:v>
                </c:pt>
                <c:pt idx="50">
                  <c:v>222556430</c:v>
                </c:pt>
                <c:pt idx="51">
                  <c:v>229651025</c:v>
                </c:pt>
                <c:pt idx="52">
                  <c:v>236743566</c:v>
                </c:pt>
                <c:pt idx="53">
                  <c:v>243835001</c:v>
                </c:pt>
                <c:pt idx="54">
                  <c:v>250925409</c:v>
                </c:pt>
                <c:pt idx="55">
                  <c:v>258015501</c:v>
                </c:pt>
                <c:pt idx="56">
                  <c:v>265104329</c:v>
                </c:pt>
                <c:pt idx="57">
                  <c:v>272192525</c:v>
                </c:pt>
                <c:pt idx="58">
                  <c:v>279278509</c:v>
                </c:pt>
                <c:pt idx="59">
                  <c:v>286364572</c:v>
                </c:pt>
                <c:pt idx="60">
                  <c:v>293451346</c:v>
                </c:pt>
                <c:pt idx="61">
                  <c:v>300538199</c:v>
                </c:pt>
                <c:pt idx="62">
                  <c:v>307623077</c:v>
                </c:pt>
                <c:pt idx="63">
                  <c:v>314706849</c:v>
                </c:pt>
                <c:pt idx="64">
                  <c:v>321791174</c:v>
                </c:pt>
                <c:pt idx="65">
                  <c:v>328873840</c:v>
                </c:pt>
                <c:pt idx="66">
                  <c:v>335957059</c:v>
                </c:pt>
                <c:pt idx="67">
                  <c:v>343040120</c:v>
                </c:pt>
                <c:pt idx="68">
                  <c:v>350110146</c:v>
                </c:pt>
                <c:pt idx="69">
                  <c:v>357157657</c:v>
                </c:pt>
                <c:pt idx="70">
                  <c:v>364178545</c:v>
                </c:pt>
                <c:pt idx="71">
                  <c:v>371162066</c:v>
                </c:pt>
                <c:pt idx="72">
                  <c:v>378134211</c:v>
                </c:pt>
                <c:pt idx="73">
                  <c:v>385066777</c:v>
                </c:pt>
                <c:pt idx="74">
                  <c:v>391951706</c:v>
                </c:pt>
                <c:pt idx="75">
                  <c:v>398724376</c:v>
                </c:pt>
                <c:pt idx="76">
                  <c:v>405305945</c:v>
                </c:pt>
                <c:pt idx="77">
                  <c:v>411647354</c:v>
                </c:pt>
                <c:pt idx="78">
                  <c:v>417574566</c:v>
                </c:pt>
                <c:pt idx="79">
                  <c:v>422760284</c:v>
                </c:pt>
                <c:pt idx="80">
                  <c:v>427157345</c:v>
                </c:pt>
                <c:pt idx="81">
                  <c:v>430615175</c:v>
                </c:pt>
                <c:pt idx="82">
                  <c:v>432730479</c:v>
                </c:pt>
                <c:pt idx="83">
                  <c:v>433649960</c:v>
                </c:pt>
                <c:pt idx="84">
                  <c:v>434458841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BA-C74A-B794-2CE4B855B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360912"/>
        <c:axId val="416598240"/>
      </c:lineChart>
      <c:catAx>
        <c:axId val="41307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419000768"/>
        <c:crosses val="autoZero"/>
        <c:auto val="1"/>
        <c:lblAlgn val="ctr"/>
        <c:lblOffset val="100"/>
        <c:noMultiLvlLbl val="0"/>
      </c:catAx>
      <c:valAx>
        <c:axId val="41900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41307201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4165982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416360912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4163609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16598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'S04 Product Life Cyle'!$A$10</c:f>
              <c:strCache>
                <c:ptCount val="1"/>
                <c:pt idx="0">
                  <c:v>Profit (A)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Jan-14</c:v>
                </c:pt>
                <c:pt idx="2">
                  <c:v>Feb-14</c:v>
                </c:pt>
                <c:pt idx="3">
                  <c:v>Mar-14</c:v>
                </c:pt>
                <c:pt idx="4">
                  <c:v>Apr-14</c:v>
                </c:pt>
                <c:pt idx="5">
                  <c:v>May-14</c:v>
                </c:pt>
                <c:pt idx="6">
                  <c:v>Jun-14</c:v>
                </c:pt>
                <c:pt idx="7">
                  <c:v>Jul-14</c:v>
                </c:pt>
                <c:pt idx="8">
                  <c:v>Aug-14</c:v>
                </c:pt>
                <c:pt idx="9">
                  <c:v>Sept-14</c:v>
                </c:pt>
                <c:pt idx="10">
                  <c:v>Oct-14</c:v>
                </c:pt>
                <c:pt idx="11">
                  <c:v>Nov-14</c:v>
                </c:pt>
                <c:pt idx="12">
                  <c:v>Dec-14</c:v>
                </c:pt>
                <c:pt idx="13">
                  <c:v>Jan-15</c:v>
                </c:pt>
                <c:pt idx="14">
                  <c:v>Feb-15</c:v>
                </c:pt>
                <c:pt idx="15">
                  <c:v>Mar-15</c:v>
                </c:pt>
                <c:pt idx="16">
                  <c:v>Apr-15</c:v>
                </c:pt>
                <c:pt idx="17">
                  <c:v>May-15</c:v>
                </c:pt>
                <c:pt idx="18">
                  <c:v>Jun-15</c:v>
                </c:pt>
                <c:pt idx="19">
                  <c:v>Jul-15</c:v>
                </c:pt>
                <c:pt idx="20">
                  <c:v>Aug-15</c:v>
                </c:pt>
                <c:pt idx="21">
                  <c:v>Sept-15</c:v>
                </c:pt>
                <c:pt idx="22">
                  <c:v>Oct-15</c:v>
                </c:pt>
                <c:pt idx="23">
                  <c:v>Nov-15</c:v>
                </c:pt>
                <c:pt idx="24">
                  <c:v>Dec-15</c:v>
                </c:pt>
                <c:pt idx="25">
                  <c:v>Jan-16</c:v>
                </c:pt>
                <c:pt idx="26">
                  <c:v>Feb-16</c:v>
                </c:pt>
                <c:pt idx="27">
                  <c:v>Mar-16</c:v>
                </c:pt>
                <c:pt idx="28">
                  <c:v>Apr-16</c:v>
                </c:pt>
                <c:pt idx="29">
                  <c:v>May-16</c:v>
                </c:pt>
                <c:pt idx="30">
                  <c:v>Jun-16</c:v>
                </c:pt>
                <c:pt idx="31">
                  <c:v>Jul-16</c:v>
                </c:pt>
                <c:pt idx="32">
                  <c:v>Aug-16</c:v>
                </c:pt>
                <c:pt idx="33">
                  <c:v>Sept-16</c:v>
                </c:pt>
                <c:pt idx="34">
                  <c:v>Oct-16</c:v>
                </c:pt>
                <c:pt idx="35">
                  <c:v>Nov-16</c:v>
                </c:pt>
                <c:pt idx="36">
                  <c:v>Dec-16</c:v>
                </c:pt>
                <c:pt idx="37">
                  <c:v>Jan-17</c:v>
                </c:pt>
                <c:pt idx="38">
                  <c:v>Feb-17</c:v>
                </c:pt>
                <c:pt idx="39">
                  <c:v>Mar-17</c:v>
                </c:pt>
                <c:pt idx="40">
                  <c:v>Apr-17</c:v>
                </c:pt>
                <c:pt idx="41">
                  <c:v>May-17</c:v>
                </c:pt>
                <c:pt idx="42">
                  <c:v>Jun-17</c:v>
                </c:pt>
                <c:pt idx="43">
                  <c:v>Jul-17</c:v>
                </c:pt>
                <c:pt idx="44">
                  <c:v>Aug-17</c:v>
                </c:pt>
                <c:pt idx="45">
                  <c:v>Sept-17</c:v>
                </c:pt>
                <c:pt idx="46">
                  <c:v>Oct-17</c:v>
                </c:pt>
                <c:pt idx="47">
                  <c:v>Nov-17</c:v>
                </c:pt>
                <c:pt idx="48">
                  <c:v>Dec-17</c:v>
                </c:pt>
                <c:pt idx="49">
                  <c:v>Jan-18</c:v>
                </c:pt>
                <c:pt idx="50">
                  <c:v>Feb-18</c:v>
                </c:pt>
                <c:pt idx="51">
                  <c:v>Mar-18</c:v>
                </c:pt>
                <c:pt idx="52">
                  <c:v>Apr-18</c:v>
                </c:pt>
                <c:pt idx="53">
                  <c:v>May-18</c:v>
                </c:pt>
                <c:pt idx="54">
                  <c:v>Jun-18</c:v>
                </c:pt>
                <c:pt idx="55">
                  <c:v>Jul-18</c:v>
                </c:pt>
                <c:pt idx="56">
                  <c:v>Aug-18</c:v>
                </c:pt>
                <c:pt idx="57">
                  <c:v>Sept-18</c:v>
                </c:pt>
                <c:pt idx="58">
                  <c:v>Oct-18</c:v>
                </c:pt>
                <c:pt idx="59">
                  <c:v>Nov-18</c:v>
                </c:pt>
                <c:pt idx="60">
                  <c:v>Dec-18</c:v>
                </c:pt>
                <c:pt idx="61">
                  <c:v>Jan-19</c:v>
                </c:pt>
                <c:pt idx="62">
                  <c:v>Feb-19</c:v>
                </c:pt>
                <c:pt idx="63">
                  <c:v>Mar-19</c:v>
                </c:pt>
                <c:pt idx="64">
                  <c:v>Apr-19</c:v>
                </c:pt>
                <c:pt idx="65">
                  <c:v>May-19</c:v>
                </c:pt>
                <c:pt idx="66">
                  <c:v>Jun-19</c:v>
                </c:pt>
                <c:pt idx="67">
                  <c:v>Jul-19</c:v>
                </c:pt>
                <c:pt idx="68">
                  <c:v>Aug-19</c:v>
                </c:pt>
                <c:pt idx="69">
                  <c:v>Sept-19</c:v>
                </c:pt>
                <c:pt idx="70">
                  <c:v>Oct-19</c:v>
                </c:pt>
                <c:pt idx="71">
                  <c:v>Nov-19</c:v>
                </c:pt>
                <c:pt idx="72">
                  <c:v>Dec-19</c:v>
                </c:pt>
                <c:pt idx="73">
                  <c:v>Jan-20</c:v>
                </c:pt>
                <c:pt idx="74">
                  <c:v>Feb-20</c:v>
                </c:pt>
                <c:pt idx="75">
                  <c:v>Mar-20</c:v>
                </c:pt>
                <c:pt idx="76">
                  <c:v>Apr-20</c:v>
                </c:pt>
                <c:pt idx="77">
                  <c:v>May-20</c:v>
                </c:pt>
                <c:pt idx="78">
                  <c:v>Jun-20</c:v>
                </c:pt>
                <c:pt idx="79">
                  <c:v>Jul-20</c:v>
                </c:pt>
                <c:pt idx="80">
                  <c:v>Aug-20</c:v>
                </c:pt>
                <c:pt idx="81">
                  <c:v>Sept-20</c:v>
                </c:pt>
                <c:pt idx="82">
                  <c:v>Oct-20</c:v>
                </c:pt>
                <c:pt idx="83">
                  <c:v>Nov-20</c:v>
                </c:pt>
                <c:pt idx="84">
                  <c:v>Dec-20</c:v>
                </c:pt>
              </c:strCache>
            </c:strRef>
          </c:cat>
          <c:val>
            <c:numRef>
              <c:f>'S04 Product Life Cyle'!$B$10:$CH$10</c:f>
              <c:numCache>
                <c:formatCode>General</c:formatCode>
                <c:ptCount val="85"/>
                <c:pt idx="0">
                  <c:v>-4556598</c:v>
                </c:pt>
                <c:pt idx="1">
                  <c:v>-199310.36</c:v>
                </c:pt>
                <c:pt idx="2">
                  <c:v>-202850.6</c:v>
                </c:pt>
                <c:pt idx="3">
                  <c:v>-205953.61</c:v>
                </c:pt>
                <c:pt idx="4">
                  <c:v>-207414.12</c:v>
                </c:pt>
                <c:pt idx="5">
                  <c:v>-206256.772</c:v>
                </c:pt>
                <c:pt idx="6">
                  <c:v>-200529.25064000001</c:v>
                </c:pt>
                <c:pt idx="7">
                  <c:v>-184198.90385280002</c:v>
                </c:pt>
                <c:pt idx="8">
                  <c:v>-147555.03352985601</c:v>
                </c:pt>
                <c:pt idx="9">
                  <c:v>-70082.616200453136</c:v>
                </c:pt>
                <c:pt idx="10">
                  <c:v>89939.766275537811</c:v>
                </c:pt>
                <c:pt idx="11">
                  <c:v>414290.0860010485</c:v>
                </c:pt>
                <c:pt idx="12">
                  <c:v>1067560.5483210695</c:v>
                </c:pt>
                <c:pt idx="13">
                  <c:v>1438785.6710874906</c:v>
                </c:pt>
                <c:pt idx="14">
                  <c:v>1831347.6339092406</c:v>
                </c:pt>
                <c:pt idx="15">
                  <c:v>2197716.7573874253</c:v>
                </c:pt>
                <c:pt idx="16">
                  <c:v>2537258.8423351739</c:v>
                </c:pt>
                <c:pt idx="17">
                  <c:v>2689975.3389818775</c:v>
                </c:pt>
                <c:pt idx="18">
                  <c:v>2849250.6861615148</c:v>
                </c:pt>
                <c:pt idx="19">
                  <c:v>2947900.3004847453</c:v>
                </c:pt>
                <c:pt idx="20">
                  <c:v>3045633.31549444</c:v>
                </c:pt>
                <c:pt idx="21">
                  <c:v>3123597.3308043284</c:v>
                </c:pt>
                <c:pt idx="22">
                  <c:v>3203398.7812204156</c:v>
                </c:pt>
                <c:pt idx="23">
                  <c:v>3277851.5858448241</c:v>
                </c:pt>
                <c:pt idx="24">
                  <c:v>3378619.3371617203</c:v>
                </c:pt>
                <c:pt idx="25">
                  <c:v>3463976.3901049546</c:v>
                </c:pt>
                <c:pt idx="26">
                  <c:v>3522598.6811070535</c:v>
                </c:pt>
                <c:pt idx="27">
                  <c:v>3618045.5071291947</c:v>
                </c:pt>
                <c:pt idx="28">
                  <c:v>3723245.9246717785</c:v>
                </c:pt>
                <c:pt idx="29">
                  <c:v>3829174.5187652144</c:v>
                </c:pt>
                <c:pt idx="30">
                  <c:v>3882553.9219405181</c:v>
                </c:pt>
                <c:pt idx="31">
                  <c:v>3983609.0831793295</c:v>
                </c:pt>
                <c:pt idx="32">
                  <c:v>4046362.0968429148</c:v>
                </c:pt>
                <c:pt idx="33">
                  <c:v>4142992.4415797736</c:v>
                </c:pt>
                <c:pt idx="34">
                  <c:v>4241428.95921137</c:v>
                </c:pt>
                <c:pt idx="35">
                  <c:v>4345864.0035955971</c:v>
                </c:pt>
                <c:pt idx="36">
                  <c:v>4438766.2094675088</c:v>
                </c:pt>
                <c:pt idx="37">
                  <c:v>4532201.2012568591</c:v>
                </c:pt>
                <c:pt idx="38">
                  <c:v>4600649.1618819954</c:v>
                </c:pt>
                <c:pt idx="39">
                  <c:v>4653417.0315196365</c:v>
                </c:pt>
                <c:pt idx="40">
                  <c:v>4694466.9763500281</c:v>
                </c:pt>
                <c:pt idx="41">
                  <c:v>4728565.6772770286</c:v>
                </c:pt>
                <c:pt idx="42">
                  <c:v>4715308.3286225703</c:v>
                </c:pt>
                <c:pt idx="43">
                  <c:v>4702506.5067950217</c:v>
                </c:pt>
                <c:pt idx="44">
                  <c:v>4694294.5189309213</c:v>
                </c:pt>
                <c:pt idx="45">
                  <c:v>4685381.5215095403</c:v>
                </c:pt>
                <c:pt idx="46">
                  <c:v>4674327.0889397301</c:v>
                </c:pt>
                <c:pt idx="47">
                  <c:v>4664345.7921185251</c:v>
                </c:pt>
                <c:pt idx="48">
                  <c:v>4654629.2269608956</c:v>
                </c:pt>
                <c:pt idx="49">
                  <c:v>4644943.6129001137</c:v>
                </c:pt>
                <c:pt idx="50">
                  <c:v>4634250.5113581158</c:v>
                </c:pt>
                <c:pt idx="51">
                  <c:v>4622775.7441852782</c:v>
                </c:pt>
                <c:pt idx="52">
                  <c:v>4610515.1720689842</c:v>
                </c:pt>
                <c:pt idx="53">
                  <c:v>4598728.9129103636</c:v>
                </c:pt>
                <c:pt idx="54">
                  <c:v>4586780.4901685705</c:v>
                </c:pt>
                <c:pt idx="55">
                  <c:v>4575125.2711719424</c:v>
                </c:pt>
                <c:pt idx="56">
                  <c:v>4562551.9053953812</c:v>
                </c:pt>
                <c:pt idx="57">
                  <c:v>4550205.2227032883</c:v>
                </c:pt>
                <c:pt idx="58">
                  <c:v>4536471.4015573543</c:v>
                </c:pt>
                <c:pt idx="59">
                  <c:v>4524161.7171885017</c:v>
                </c:pt>
                <c:pt idx="60">
                  <c:v>4512064.449732272</c:v>
                </c:pt>
                <c:pt idx="61">
                  <c:v>4499255.1323269168</c:v>
                </c:pt>
                <c:pt idx="62">
                  <c:v>4484694.2591734556</c:v>
                </c:pt>
                <c:pt idx="63">
                  <c:v>4470503.0735569242</c:v>
                </c:pt>
                <c:pt idx="64">
                  <c:v>4457251.0258280626</c:v>
                </c:pt>
                <c:pt idx="65">
                  <c:v>4442116.7313446244</c:v>
                </c:pt>
                <c:pt idx="66">
                  <c:v>4428313.0483715162</c:v>
                </c:pt>
                <c:pt idx="67">
                  <c:v>4413708.015938947</c:v>
                </c:pt>
                <c:pt idx="68">
                  <c:v>4389445.5716577256</c:v>
                </c:pt>
                <c:pt idx="69">
                  <c:v>4357991.1294908812</c:v>
                </c:pt>
                <c:pt idx="70">
                  <c:v>4323246.7374806982</c:v>
                </c:pt>
                <c:pt idx="71">
                  <c:v>4280378.8854303118</c:v>
                </c:pt>
                <c:pt idx="72">
                  <c:v>4256104.9725389183</c:v>
                </c:pt>
                <c:pt idx="73">
                  <c:v>4210994.3049896965</c:v>
                </c:pt>
                <c:pt idx="74">
                  <c:v>4159695.3334894902</c:v>
                </c:pt>
                <c:pt idx="75">
                  <c:v>4061053.0107592796</c:v>
                </c:pt>
                <c:pt idx="76">
                  <c:v>3904716.0789744658</c:v>
                </c:pt>
                <c:pt idx="77">
                  <c:v>3712343.937153955</c:v>
                </c:pt>
                <c:pt idx="78">
                  <c:v>3393012.1184970341</c:v>
                </c:pt>
                <c:pt idx="79">
                  <c:v>2835221.7576669748</c:v>
                </c:pt>
                <c:pt idx="80">
                  <c:v>2242754.2680203142</c:v>
                </c:pt>
                <c:pt idx="81">
                  <c:v>1540374.0687807202</c:v>
                </c:pt>
                <c:pt idx="82">
                  <c:v>544227.13215633482</c:v>
                </c:pt>
                <c:pt idx="83">
                  <c:v>-345588.04960053856</c:v>
                </c:pt>
                <c:pt idx="84">
                  <c:v>-446335.67719254934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0B-BB46-80EF-3FA4D068B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8959664"/>
        <c:axId val="418563952"/>
      </c:lineChart>
      <c:lineChart>
        <c:grouping val="standard"/>
        <c:varyColors val="0"/>
        <c:ser>
          <c:idx val="0"/>
          <c:order val="0"/>
          <c:tx>
            <c:strRef>
              <c:f>'S04 Product Life Cyle'!$A$6</c:f>
              <c:strCache>
                <c:ptCount val="1"/>
                <c:pt idx="0">
                  <c:v>Sales (A)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'S04 Product Life Cyle'!$B$1:$CH$1</c:f>
              <c:strCache>
                <c:ptCount val="85"/>
                <c:pt idx="0">
                  <c:v>Initial</c:v>
                </c:pt>
                <c:pt idx="1">
                  <c:v>Jan-14</c:v>
                </c:pt>
                <c:pt idx="2">
                  <c:v>Feb-14</c:v>
                </c:pt>
                <c:pt idx="3">
                  <c:v>Mar-14</c:v>
                </c:pt>
                <c:pt idx="4">
                  <c:v>Apr-14</c:v>
                </c:pt>
                <c:pt idx="5">
                  <c:v>May-14</c:v>
                </c:pt>
                <c:pt idx="6">
                  <c:v>Jun-14</c:v>
                </c:pt>
                <c:pt idx="7">
                  <c:v>Jul-14</c:v>
                </c:pt>
                <c:pt idx="8">
                  <c:v>Aug-14</c:v>
                </c:pt>
                <c:pt idx="9">
                  <c:v>Sept-14</c:v>
                </c:pt>
                <c:pt idx="10">
                  <c:v>Oct-14</c:v>
                </c:pt>
                <c:pt idx="11">
                  <c:v>Nov-14</c:v>
                </c:pt>
                <c:pt idx="12">
                  <c:v>Dec-14</c:v>
                </c:pt>
                <c:pt idx="13">
                  <c:v>Jan-15</c:v>
                </c:pt>
                <c:pt idx="14">
                  <c:v>Feb-15</c:v>
                </c:pt>
                <c:pt idx="15">
                  <c:v>Mar-15</c:v>
                </c:pt>
                <c:pt idx="16">
                  <c:v>Apr-15</c:v>
                </c:pt>
                <c:pt idx="17">
                  <c:v>May-15</c:v>
                </c:pt>
                <c:pt idx="18">
                  <c:v>Jun-15</c:v>
                </c:pt>
                <c:pt idx="19">
                  <c:v>Jul-15</c:v>
                </c:pt>
                <c:pt idx="20">
                  <c:v>Aug-15</c:v>
                </c:pt>
                <c:pt idx="21">
                  <c:v>Sept-15</c:v>
                </c:pt>
                <c:pt idx="22">
                  <c:v>Oct-15</c:v>
                </c:pt>
                <c:pt idx="23">
                  <c:v>Nov-15</c:v>
                </c:pt>
                <c:pt idx="24">
                  <c:v>Dec-15</c:v>
                </c:pt>
                <c:pt idx="25">
                  <c:v>Jan-16</c:v>
                </c:pt>
                <c:pt idx="26">
                  <c:v>Feb-16</c:v>
                </c:pt>
                <c:pt idx="27">
                  <c:v>Mar-16</c:v>
                </c:pt>
                <c:pt idx="28">
                  <c:v>Apr-16</c:v>
                </c:pt>
                <c:pt idx="29">
                  <c:v>May-16</c:v>
                </c:pt>
                <c:pt idx="30">
                  <c:v>Jun-16</c:v>
                </c:pt>
                <c:pt idx="31">
                  <c:v>Jul-16</c:v>
                </c:pt>
                <c:pt idx="32">
                  <c:v>Aug-16</c:v>
                </c:pt>
                <c:pt idx="33">
                  <c:v>Sept-16</c:v>
                </c:pt>
                <c:pt idx="34">
                  <c:v>Oct-16</c:v>
                </c:pt>
                <c:pt idx="35">
                  <c:v>Nov-16</c:v>
                </c:pt>
                <c:pt idx="36">
                  <c:v>Dec-16</c:v>
                </c:pt>
                <c:pt idx="37">
                  <c:v>Jan-17</c:v>
                </c:pt>
                <c:pt idx="38">
                  <c:v>Feb-17</c:v>
                </c:pt>
                <c:pt idx="39">
                  <c:v>Mar-17</c:v>
                </c:pt>
                <c:pt idx="40">
                  <c:v>Apr-17</c:v>
                </c:pt>
                <c:pt idx="41">
                  <c:v>May-17</c:v>
                </c:pt>
                <c:pt idx="42">
                  <c:v>Jun-17</c:v>
                </c:pt>
                <c:pt idx="43">
                  <c:v>Jul-17</c:v>
                </c:pt>
                <c:pt idx="44">
                  <c:v>Aug-17</c:v>
                </c:pt>
                <c:pt idx="45">
                  <c:v>Sept-17</c:v>
                </c:pt>
                <c:pt idx="46">
                  <c:v>Oct-17</c:v>
                </c:pt>
                <c:pt idx="47">
                  <c:v>Nov-17</c:v>
                </c:pt>
                <c:pt idx="48">
                  <c:v>Dec-17</c:v>
                </c:pt>
                <c:pt idx="49">
                  <c:v>Jan-18</c:v>
                </c:pt>
                <c:pt idx="50">
                  <c:v>Feb-18</c:v>
                </c:pt>
                <c:pt idx="51">
                  <c:v>Mar-18</c:v>
                </c:pt>
                <c:pt idx="52">
                  <c:v>Apr-18</c:v>
                </c:pt>
                <c:pt idx="53">
                  <c:v>May-18</c:v>
                </c:pt>
                <c:pt idx="54">
                  <c:v>Jun-18</c:v>
                </c:pt>
                <c:pt idx="55">
                  <c:v>Jul-18</c:v>
                </c:pt>
                <c:pt idx="56">
                  <c:v>Aug-18</c:v>
                </c:pt>
                <c:pt idx="57">
                  <c:v>Sept-18</c:v>
                </c:pt>
                <c:pt idx="58">
                  <c:v>Oct-18</c:v>
                </c:pt>
                <c:pt idx="59">
                  <c:v>Nov-18</c:v>
                </c:pt>
                <c:pt idx="60">
                  <c:v>Dec-18</c:v>
                </c:pt>
                <c:pt idx="61">
                  <c:v>Jan-19</c:v>
                </c:pt>
                <c:pt idx="62">
                  <c:v>Feb-19</c:v>
                </c:pt>
                <c:pt idx="63">
                  <c:v>Mar-19</c:v>
                </c:pt>
                <c:pt idx="64">
                  <c:v>Apr-19</c:v>
                </c:pt>
                <c:pt idx="65">
                  <c:v>May-19</c:v>
                </c:pt>
                <c:pt idx="66">
                  <c:v>Jun-19</c:v>
                </c:pt>
                <c:pt idx="67">
                  <c:v>Jul-19</c:v>
                </c:pt>
                <c:pt idx="68">
                  <c:v>Aug-19</c:v>
                </c:pt>
                <c:pt idx="69">
                  <c:v>Sept-19</c:v>
                </c:pt>
                <c:pt idx="70">
                  <c:v>Oct-19</c:v>
                </c:pt>
                <c:pt idx="71">
                  <c:v>Nov-19</c:v>
                </c:pt>
                <c:pt idx="72">
                  <c:v>Dec-19</c:v>
                </c:pt>
                <c:pt idx="73">
                  <c:v>Jan-20</c:v>
                </c:pt>
                <c:pt idx="74">
                  <c:v>Feb-20</c:v>
                </c:pt>
                <c:pt idx="75">
                  <c:v>Mar-20</c:v>
                </c:pt>
                <c:pt idx="76">
                  <c:v>Apr-20</c:v>
                </c:pt>
                <c:pt idx="77">
                  <c:v>May-20</c:v>
                </c:pt>
                <c:pt idx="78">
                  <c:v>Jun-20</c:v>
                </c:pt>
                <c:pt idx="79">
                  <c:v>Jul-20</c:v>
                </c:pt>
                <c:pt idx="80">
                  <c:v>Aug-20</c:v>
                </c:pt>
                <c:pt idx="81">
                  <c:v>Sept-20</c:v>
                </c:pt>
                <c:pt idx="82">
                  <c:v>Oct-20</c:v>
                </c:pt>
                <c:pt idx="83">
                  <c:v>Nov-20</c:v>
                </c:pt>
                <c:pt idx="84">
                  <c:v>Dec-20</c:v>
                </c:pt>
              </c:strCache>
            </c:strRef>
          </c:cat>
          <c:val>
            <c:numRef>
              <c:f>'S04 Product Life Cyle'!$B$6:$CH$6</c:f>
              <c:numCache>
                <c:formatCode>General</c:formatCode>
                <c:ptCount val="85"/>
                <c:pt idx="0">
                  <c:v>0</c:v>
                </c:pt>
                <c:pt idx="1">
                  <c:v>12</c:v>
                </c:pt>
                <c:pt idx="2">
                  <c:v>20</c:v>
                </c:pt>
                <c:pt idx="3">
                  <c:v>37</c:v>
                </c:pt>
                <c:pt idx="4">
                  <c:v>84</c:v>
                </c:pt>
                <c:pt idx="5">
                  <c:v>178</c:v>
                </c:pt>
                <c:pt idx="6">
                  <c:v>353</c:v>
                </c:pt>
                <c:pt idx="7">
                  <c:v>714</c:v>
                </c:pt>
                <c:pt idx="8">
                  <c:v>1430</c:v>
                </c:pt>
                <c:pt idx="9">
                  <c:v>2858</c:v>
                </c:pt>
                <c:pt idx="10">
                  <c:v>5724</c:v>
                </c:pt>
                <c:pt idx="11">
                  <c:v>11451</c:v>
                </c:pt>
                <c:pt idx="12">
                  <c:v>22903</c:v>
                </c:pt>
                <c:pt idx="13">
                  <c:v>29449</c:v>
                </c:pt>
                <c:pt idx="14">
                  <c:v>36368</c:v>
                </c:pt>
                <c:pt idx="15">
                  <c:v>42833</c:v>
                </c:pt>
                <c:pt idx="16">
                  <c:v>48833</c:v>
                </c:pt>
                <c:pt idx="17">
                  <c:v>51584</c:v>
                </c:pt>
                <c:pt idx="18">
                  <c:v>54451</c:v>
                </c:pt>
                <c:pt idx="19">
                  <c:v>56265</c:v>
                </c:pt>
                <c:pt idx="20">
                  <c:v>58065</c:v>
                </c:pt>
                <c:pt idx="21">
                  <c:v>59523</c:v>
                </c:pt>
                <c:pt idx="22">
                  <c:v>61015</c:v>
                </c:pt>
                <c:pt idx="23">
                  <c:v>62416</c:v>
                </c:pt>
                <c:pt idx="24">
                  <c:v>64277</c:v>
                </c:pt>
                <c:pt idx="25">
                  <c:v>65872</c:v>
                </c:pt>
                <c:pt idx="26">
                  <c:v>67004</c:v>
                </c:pt>
                <c:pt idx="27">
                  <c:v>68779</c:v>
                </c:pt>
                <c:pt idx="28">
                  <c:v>70726</c:v>
                </c:pt>
                <c:pt idx="29">
                  <c:v>72688</c:v>
                </c:pt>
                <c:pt idx="30">
                  <c:v>73738</c:v>
                </c:pt>
                <c:pt idx="31">
                  <c:v>75620</c:v>
                </c:pt>
                <c:pt idx="32">
                  <c:v>76838</c:v>
                </c:pt>
                <c:pt idx="33">
                  <c:v>78648</c:v>
                </c:pt>
                <c:pt idx="34">
                  <c:v>80492</c:v>
                </c:pt>
                <c:pt idx="35">
                  <c:v>82443</c:v>
                </c:pt>
                <c:pt idx="36">
                  <c:v>84196</c:v>
                </c:pt>
                <c:pt idx="37">
                  <c:v>85961</c:v>
                </c:pt>
                <c:pt idx="38">
                  <c:v>87294</c:v>
                </c:pt>
                <c:pt idx="39">
                  <c:v>88357</c:v>
                </c:pt>
                <c:pt idx="40">
                  <c:v>89219</c:v>
                </c:pt>
                <c:pt idx="41">
                  <c:v>89963</c:v>
                </c:pt>
                <c:pt idx="42">
                  <c:v>89886</c:v>
                </c:pt>
                <c:pt idx="43">
                  <c:v>89820</c:v>
                </c:pt>
                <c:pt idx="44">
                  <c:v>89837</c:v>
                </c:pt>
                <c:pt idx="45">
                  <c:v>89845</c:v>
                </c:pt>
                <c:pt idx="46">
                  <c:v>89819</c:v>
                </c:pt>
                <c:pt idx="47">
                  <c:v>89815</c:v>
                </c:pt>
                <c:pt idx="48">
                  <c:v>89819</c:v>
                </c:pt>
                <c:pt idx="49">
                  <c:v>89827</c:v>
                </c:pt>
                <c:pt idx="50">
                  <c:v>89821</c:v>
                </c:pt>
                <c:pt idx="51">
                  <c:v>89805</c:v>
                </c:pt>
                <c:pt idx="52">
                  <c:v>89779</c:v>
                </c:pt>
                <c:pt idx="53">
                  <c:v>89765</c:v>
                </c:pt>
                <c:pt idx="54">
                  <c:v>89752</c:v>
                </c:pt>
                <c:pt idx="55">
                  <c:v>89748</c:v>
                </c:pt>
                <c:pt idx="56">
                  <c:v>89732</c:v>
                </c:pt>
                <c:pt idx="57">
                  <c:v>89724</c:v>
                </c:pt>
                <c:pt idx="58">
                  <c:v>89696</c:v>
                </c:pt>
                <c:pt idx="59">
                  <c:v>89697</c:v>
                </c:pt>
                <c:pt idx="60">
                  <c:v>89706</c:v>
                </c:pt>
                <c:pt idx="61">
                  <c:v>89707</c:v>
                </c:pt>
                <c:pt idx="62">
                  <c:v>89682</c:v>
                </c:pt>
                <c:pt idx="63">
                  <c:v>89668</c:v>
                </c:pt>
                <c:pt idx="64">
                  <c:v>89675</c:v>
                </c:pt>
                <c:pt idx="65">
                  <c:v>89654</c:v>
                </c:pt>
                <c:pt idx="66">
                  <c:v>89661</c:v>
                </c:pt>
                <c:pt idx="67">
                  <c:v>89659</c:v>
                </c:pt>
                <c:pt idx="68">
                  <c:v>89494</c:v>
                </c:pt>
                <c:pt idx="69">
                  <c:v>89209</c:v>
                </c:pt>
                <c:pt idx="70">
                  <c:v>88872</c:v>
                </c:pt>
                <c:pt idx="71">
                  <c:v>88399</c:v>
                </c:pt>
                <c:pt idx="72">
                  <c:v>88255</c:v>
                </c:pt>
                <c:pt idx="73">
                  <c:v>87754</c:v>
                </c:pt>
                <c:pt idx="74">
                  <c:v>87151</c:v>
                </c:pt>
                <c:pt idx="75">
                  <c:v>85730</c:v>
                </c:pt>
                <c:pt idx="76">
                  <c:v>83311</c:v>
                </c:pt>
                <c:pt idx="77">
                  <c:v>80271</c:v>
                </c:pt>
                <c:pt idx="78">
                  <c:v>75028</c:v>
                </c:pt>
                <c:pt idx="79">
                  <c:v>65642</c:v>
                </c:pt>
                <c:pt idx="80">
                  <c:v>55659</c:v>
                </c:pt>
                <c:pt idx="81">
                  <c:v>43770</c:v>
                </c:pt>
                <c:pt idx="82">
                  <c:v>26776</c:v>
                </c:pt>
                <c:pt idx="83">
                  <c:v>11639</c:v>
                </c:pt>
                <c:pt idx="84">
                  <c:v>10239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B-BB46-80EF-3FA4D068B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6864544"/>
        <c:axId val="432267392"/>
      </c:lineChart>
      <c:catAx>
        <c:axId val="418959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418563952"/>
        <c:crosses val="autoZero"/>
        <c:auto val="1"/>
        <c:lblAlgn val="ctr"/>
        <c:lblOffset val="100"/>
        <c:noMultiLvlLbl val="0"/>
      </c:catAx>
      <c:valAx>
        <c:axId val="41856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418959664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valAx>
        <c:axId val="432267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45686454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</c:dispUnitsLbl>
        </c:dispUnits>
      </c:valAx>
      <c:catAx>
        <c:axId val="4568645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322673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02919699362393E-2"/>
          <c:y val="2.3060796645702299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127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09-A948-B8BB-B61FE2BD6284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09-A948-B8BB-B61FE2BD6284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09-A948-B8BB-B61FE2BD6284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009-A948-B8BB-B61FE2BD6284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009-A948-B8BB-B61FE2BD6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12608235002830273"/>
          <c:y val="0.8162348779912858"/>
          <c:w val="0.75563976871370864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004861050533464E-2"/>
          <c:y val="4.1836823198629594E-2"/>
          <c:w val="0.83109788220090153"/>
          <c:h val="0.95387840670859592"/>
        </c:manualLayout>
      </c:layout>
      <c:scatterChart>
        <c:scatterStyle val="lineMarker"/>
        <c:varyColors val="0"/>
        <c:ser>
          <c:idx val="1"/>
          <c:order val="0"/>
          <c:tx>
            <c:v>Our Product</c:v>
          </c:tx>
          <c:spPr>
            <a:ln w="63500">
              <a:solidFill>
                <a:srgbClr val="FF0000"/>
              </a:solidFill>
            </a:ln>
          </c:spPr>
          <c:marker>
            <c:symbol val="plus"/>
            <c:size val="12"/>
            <c:spPr>
              <a:ln w="12700">
                <a:solidFill>
                  <a:srgbClr val="FF0000"/>
                </a:solidFill>
              </a:ln>
            </c:spPr>
          </c:marker>
          <c:xVal>
            <c:numRef>
              <c:f>'S06 Requirements HoQ'!$BT$37:$BT$52</c:f>
              <c:numCache>
                <c:formatCode>General</c:formatCode>
                <c:ptCount val="16"/>
                <c:pt idx="0">
                  <c:v>5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3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6-D648-A00D-8BDCBA2F82CE}"/>
            </c:ext>
          </c:extLst>
        </c:ser>
        <c:ser>
          <c:idx val="0"/>
          <c:order val="1"/>
          <c:tx>
            <c:v>Competitor #1</c:v>
          </c:tx>
          <c:spPr>
            <a:ln w="12700">
              <a:solidFill>
                <a:srgbClr val="002060"/>
              </a:solidFill>
            </a:ln>
          </c:spPr>
          <c:marker>
            <c:symbol val="star"/>
            <c:size val="10"/>
            <c:spPr>
              <a:ln w="12700">
                <a:solidFill>
                  <a:srgbClr val="002060"/>
                </a:solidFill>
              </a:ln>
            </c:spPr>
          </c:marker>
          <c:xVal>
            <c:numRef>
              <c:f>'S06 Requirements HoQ'!$BU$37:$BU$52</c:f>
              <c:numCache>
                <c:formatCode>General</c:formatCode>
                <c:ptCount val="16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76-D648-A00D-8BDCBA2F82CE}"/>
            </c:ext>
          </c:extLst>
        </c:ser>
        <c:ser>
          <c:idx val="2"/>
          <c:order val="2"/>
          <c:tx>
            <c:v>Competitor #2</c:v>
          </c:tx>
          <c:spPr>
            <a:ln w="12700">
              <a:solidFill>
                <a:srgbClr val="00CC00"/>
              </a:solidFill>
            </a:ln>
          </c:spPr>
          <c:marker>
            <c:symbol val="circle"/>
            <c:size val="8"/>
            <c:spPr>
              <a:noFill/>
              <a:ln w="12700">
                <a:solidFill>
                  <a:srgbClr val="00CC00"/>
                </a:solidFill>
              </a:ln>
            </c:spPr>
          </c:marker>
          <c:xVal>
            <c:numRef>
              <c:f>'S06 Requirements HoQ'!$BV$37:$BV$52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  <c:pt idx="14">
                  <c:v>2</c:v>
                </c:pt>
                <c:pt idx="15">
                  <c:v>1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76-D648-A00D-8BDCBA2F82CE}"/>
            </c:ext>
          </c:extLst>
        </c:ser>
        <c:ser>
          <c:idx val="3"/>
          <c:order val="3"/>
          <c:tx>
            <c:v>Competitor #3</c:v>
          </c:tx>
          <c:spPr>
            <a:ln w="12700">
              <a:solidFill>
                <a:srgbClr val="FF9900"/>
              </a:solidFill>
            </a:ln>
          </c:spPr>
          <c:marker>
            <c:symbol val="x"/>
            <c:size val="8"/>
            <c:spPr>
              <a:ln>
                <a:solidFill>
                  <a:srgbClr val="FF9900"/>
                </a:solidFill>
              </a:ln>
            </c:spPr>
          </c:marker>
          <c:xVal>
            <c:numRef>
              <c:f>'S06 Requirements HoQ'!$BW$37:$BW$52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4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76-D648-A00D-8BDCBA2F82CE}"/>
            </c:ext>
          </c:extLst>
        </c:ser>
        <c:ser>
          <c:idx val="4"/>
          <c:order val="4"/>
          <c:tx>
            <c:v>Competitor #4</c:v>
          </c:tx>
          <c:spPr>
            <a:ln w="12700">
              <a:solidFill>
                <a:srgbClr val="7030A0"/>
              </a:solidFill>
            </a:ln>
          </c:spPr>
          <c:marker>
            <c:symbol val="diamond"/>
            <c:size val="10"/>
            <c:spPr>
              <a:noFill/>
              <a:ln>
                <a:solidFill>
                  <a:srgbClr val="7030A0"/>
                </a:solidFill>
              </a:ln>
            </c:spPr>
          </c:marker>
          <c:xVal>
            <c:numRef>
              <c:f>'S06 Requirements HoQ'!$BX$37:$BX$52</c:f>
              <c:numCache>
                <c:formatCode>General</c:formatCode>
                <c:ptCount val="16"/>
                <c:pt idx="0">
                  <c:v>3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</c:numCache>
            </c:numRef>
          </c:xVal>
          <c:yVal>
            <c:numRef>
              <c:f>'S06 Requirements HoQ'!$B$37:$B$52</c:f>
              <c:numCache>
                <c:formatCode>General</c:formatCode>
                <c:ptCount val="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376-D648-A00D-8BDCBA2F8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326336"/>
        <c:axId val="167637760"/>
      </c:scatterChart>
      <c:valAx>
        <c:axId val="131326336"/>
        <c:scaling>
          <c:orientation val="minMax"/>
          <c:max val="5"/>
          <c:min val="0"/>
        </c:scaling>
        <c:delete val="1"/>
        <c:axPos val="t"/>
        <c:numFmt formatCode="General" sourceLinked="1"/>
        <c:majorTickMark val="out"/>
        <c:minorTickMark val="none"/>
        <c:tickLblPos val="none"/>
        <c:crossAx val="167637760"/>
        <c:crossesAt val="1"/>
        <c:crossBetween val="midCat"/>
        <c:majorUnit val="1"/>
      </c:valAx>
      <c:valAx>
        <c:axId val="167637760"/>
        <c:scaling>
          <c:orientation val="maxMin"/>
          <c:max val="16"/>
          <c:min val="1"/>
        </c:scaling>
        <c:delete val="1"/>
        <c:axPos val="l"/>
        <c:numFmt formatCode="General" sourceLinked="1"/>
        <c:majorTickMark val="out"/>
        <c:minorTickMark val="none"/>
        <c:tickLblPos val="none"/>
        <c:crossAx val="131326336"/>
        <c:crossesAt val="0"/>
        <c:crossBetween val="midCat"/>
      </c:valAx>
    </c:plotArea>
    <c:legend>
      <c:legendPos val="r"/>
      <c:layout>
        <c:manualLayout>
          <c:xMode val="edge"/>
          <c:yMode val="edge"/>
          <c:x val="1.7108074453903922E-2"/>
          <c:y val="1.2990486128040102E-2"/>
          <c:w val="0.35019097021551093"/>
          <c:h val="0.16422738914491294"/>
        </c:manualLayout>
      </c:layout>
      <c:overlay val="1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Figure of Merit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'S11 Material FOM'!$A$2:$A$6</c:f>
              <c:strCache>
                <c:ptCount val="5"/>
                <c:pt idx="0">
                  <c:v>Steel 1020</c:v>
                </c:pt>
                <c:pt idx="1">
                  <c:v>Aluminum AW-1200</c:v>
                </c:pt>
                <c:pt idx="2">
                  <c:v>CFRP</c:v>
                </c:pt>
                <c:pt idx="3">
                  <c:v>BFRP</c:v>
                </c:pt>
                <c:pt idx="4">
                  <c:v>GFRP</c:v>
                </c:pt>
              </c:strCache>
            </c:strRef>
          </c:cat>
          <c:val>
            <c:numRef>
              <c:f>'S11 Material FOM'!$E$2:$E$6</c:f>
              <c:numCache>
                <c:formatCode>0.00</c:formatCode>
                <c:ptCount val="5"/>
                <c:pt idx="0">
                  <c:v>0.25101834077336721</c:v>
                </c:pt>
                <c:pt idx="1">
                  <c:v>6.926318907581408E-2</c:v>
                </c:pt>
                <c:pt idx="2">
                  <c:v>4.1766144710889659</c:v>
                </c:pt>
                <c:pt idx="3">
                  <c:v>1.5010377395243382</c:v>
                </c:pt>
                <c:pt idx="4">
                  <c:v>0.11913243856868294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52-1E4C-B307-DD5F04D99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94005856"/>
        <c:axId val="1894289904"/>
      </c:barChart>
      <c:catAx>
        <c:axId val="189400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894289904"/>
        <c:crosses val="autoZero"/>
        <c:auto val="1"/>
        <c:lblAlgn val="ctr"/>
        <c:lblOffset val="100"/>
        <c:noMultiLvlLbl val="0"/>
      </c:catAx>
      <c:valAx>
        <c:axId val="189428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89400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'S14 ABC Output'!$F$1</c:f>
              <c:strCache>
                <c:ptCount val="1"/>
                <c:pt idx="0">
                  <c:v>Cum. Share 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'S14 ABC Output'!$A$2:$A$202</c:f>
              <c:strCache>
                <c:ptCount val="201"/>
                <c:pt idx="1">
                  <c:v>I-010</c:v>
                </c:pt>
                <c:pt idx="2">
                  <c:v>I-004</c:v>
                </c:pt>
                <c:pt idx="3">
                  <c:v>I-037</c:v>
                </c:pt>
                <c:pt idx="4">
                  <c:v>I-064</c:v>
                </c:pt>
                <c:pt idx="5">
                  <c:v>I-052</c:v>
                </c:pt>
                <c:pt idx="6">
                  <c:v>I-068</c:v>
                </c:pt>
                <c:pt idx="7">
                  <c:v>I-053</c:v>
                </c:pt>
                <c:pt idx="8">
                  <c:v>I-012</c:v>
                </c:pt>
                <c:pt idx="9">
                  <c:v>I-066</c:v>
                </c:pt>
                <c:pt idx="10">
                  <c:v>I-069</c:v>
                </c:pt>
                <c:pt idx="11">
                  <c:v>I-070</c:v>
                </c:pt>
                <c:pt idx="12">
                  <c:v>I-006</c:v>
                </c:pt>
                <c:pt idx="13">
                  <c:v>I-073</c:v>
                </c:pt>
                <c:pt idx="14">
                  <c:v>I-071</c:v>
                </c:pt>
                <c:pt idx="15">
                  <c:v>I-007</c:v>
                </c:pt>
                <c:pt idx="16">
                  <c:v>I-074</c:v>
                </c:pt>
                <c:pt idx="17">
                  <c:v>I-025</c:v>
                </c:pt>
                <c:pt idx="18">
                  <c:v>I-031</c:v>
                </c:pt>
                <c:pt idx="19">
                  <c:v>I-033</c:v>
                </c:pt>
                <c:pt idx="20">
                  <c:v>I-034</c:v>
                </c:pt>
                <c:pt idx="21">
                  <c:v>I-060</c:v>
                </c:pt>
                <c:pt idx="22">
                  <c:v>I-067</c:v>
                </c:pt>
                <c:pt idx="23">
                  <c:v>I-051</c:v>
                </c:pt>
                <c:pt idx="24">
                  <c:v>I-045</c:v>
                </c:pt>
                <c:pt idx="25">
                  <c:v>I-048</c:v>
                </c:pt>
                <c:pt idx="26">
                  <c:v>I-039</c:v>
                </c:pt>
                <c:pt idx="27">
                  <c:v>I-057</c:v>
                </c:pt>
                <c:pt idx="28">
                  <c:v>I-049</c:v>
                </c:pt>
                <c:pt idx="29">
                  <c:v>I-021</c:v>
                </c:pt>
                <c:pt idx="30">
                  <c:v>I-011</c:v>
                </c:pt>
                <c:pt idx="31">
                  <c:v>I-002</c:v>
                </c:pt>
                <c:pt idx="32">
                  <c:v>I-062</c:v>
                </c:pt>
                <c:pt idx="33">
                  <c:v>I-016</c:v>
                </c:pt>
                <c:pt idx="34">
                  <c:v>I-009</c:v>
                </c:pt>
                <c:pt idx="35">
                  <c:v>I-047</c:v>
                </c:pt>
                <c:pt idx="36">
                  <c:v>I-023</c:v>
                </c:pt>
                <c:pt idx="37">
                  <c:v>I-059</c:v>
                </c:pt>
                <c:pt idx="38">
                  <c:v>I-032</c:v>
                </c:pt>
                <c:pt idx="39">
                  <c:v>I-029</c:v>
                </c:pt>
                <c:pt idx="40">
                  <c:v>I-046</c:v>
                </c:pt>
                <c:pt idx="41">
                  <c:v>I-035</c:v>
                </c:pt>
                <c:pt idx="42">
                  <c:v>I-024</c:v>
                </c:pt>
                <c:pt idx="43">
                  <c:v>I-055</c:v>
                </c:pt>
                <c:pt idx="44">
                  <c:v>I-058</c:v>
                </c:pt>
                <c:pt idx="45">
                  <c:v>I-056</c:v>
                </c:pt>
                <c:pt idx="46">
                  <c:v>I-061</c:v>
                </c:pt>
                <c:pt idx="47">
                  <c:v>I-044</c:v>
                </c:pt>
                <c:pt idx="48">
                  <c:v>I-065</c:v>
                </c:pt>
                <c:pt idx="49">
                  <c:v>I-050</c:v>
                </c:pt>
                <c:pt idx="50">
                  <c:v>I-054</c:v>
                </c:pt>
                <c:pt idx="51">
                  <c:v>I-043</c:v>
                </c:pt>
                <c:pt idx="52">
                  <c:v>I-040</c:v>
                </c:pt>
                <c:pt idx="53">
                  <c:v>I-042</c:v>
                </c:pt>
                <c:pt idx="54">
                  <c:v>I-063</c:v>
                </c:pt>
                <c:pt idx="55">
                  <c:v>I-028</c:v>
                </c:pt>
                <c:pt idx="56">
                  <c:v>I-041</c:v>
                </c:pt>
                <c:pt idx="57">
                  <c:v>I-008</c:v>
                </c:pt>
                <c:pt idx="58">
                  <c:v>I-038</c:v>
                </c:pt>
                <c:pt idx="59">
                  <c:v>I-072</c:v>
                </c:pt>
                <c:pt idx="60">
                  <c:v>I-015</c:v>
                </c:pt>
                <c:pt idx="61">
                  <c:v>I-013</c:v>
                </c:pt>
                <c:pt idx="62">
                  <c:v>I-001</c:v>
                </c:pt>
                <c:pt idx="63">
                  <c:v>I-019</c:v>
                </c:pt>
                <c:pt idx="64">
                  <c:v>I-036</c:v>
                </c:pt>
                <c:pt idx="65">
                  <c:v>I-022</c:v>
                </c:pt>
                <c:pt idx="66">
                  <c:v>I-005</c:v>
                </c:pt>
                <c:pt idx="67">
                  <c:v>I-030</c:v>
                </c:pt>
                <c:pt idx="68">
                  <c:v>I-026</c:v>
                </c:pt>
                <c:pt idx="69">
                  <c:v>I-018</c:v>
                </c:pt>
                <c:pt idx="70">
                  <c:v>I-017</c:v>
                </c:pt>
                <c:pt idx="71">
                  <c:v>I-003</c:v>
                </c:pt>
                <c:pt idx="72">
                  <c:v>I-014</c:v>
                </c:pt>
                <c:pt idx="73">
                  <c:v>I-020</c:v>
                </c:pt>
                <c:pt idx="74">
                  <c:v>I-104</c:v>
                </c:pt>
                <c:pt idx="75">
                  <c:v>I-105</c:v>
                </c:pt>
                <c:pt idx="76">
                  <c:v>I-106</c:v>
                </c:pt>
                <c:pt idx="77">
                  <c:v>I-107</c:v>
                </c:pt>
                <c:pt idx="78">
                  <c:v>I-108</c:v>
                </c:pt>
                <c:pt idx="79">
                  <c:v>I-109</c:v>
                </c:pt>
                <c:pt idx="80">
                  <c:v>I-110</c:v>
                </c:pt>
                <c:pt idx="81">
                  <c:v>I-076</c:v>
                </c:pt>
                <c:pt idx="82">
                  <c:v>I-111</c:v>
                </c:pt>
                <c:pt idx="83">
                  <c:v>I-112</c:v>
                </c:pt>
                <c:pt idx="84">
                  <c:v>I-113</c:v>
                </c:pt>
                <c:pt idx="85">
                  <c:v>I-114</c:v>
                </c:pt>
                <c:pt idx="86">
                  <c:v>I-115</c:v>
                </c:pt>
                <c:pt idx="87">
                  <c:v>I-116</c:v>
                </c:pt>
                <c:pt idx="88">
                  <c:v>I-117</c:v>
                </c:pt>
                <c:pt idx="89">
                  <c:v>I-118</c:v>
                </c:pt>
                <c:pt idx="90">
                  <c:v>I-119</c:v>
                </c:pt>
                <c:pt idx="91">
                  <c:v>I-120</c:v>
                </c:pt>
                <c:pt idx="92">
                  <c:v>I-121</c:v>
                </c:pt>
                <c:pt idx="93">
                  <c:v>I-122</c:v>
                </c:pt>
                <c:pt idx="94">
                  <c:v>I-123</c:v>
                </c:pt>
                <c:pt idx="95">
                  <c:v>I-124</c:v>
                </c:pt>
                <c:pt idx="96">
                  <c:v>I-125</c:v>
                </c:pt>
                <c:pt idx="97">
                  <c:v>I-079</c:v>
                </c:pt>
                <c:pt idx="98">
                  <c:v>I-126</c:v>
                </c:pt>
                <c:pt idx="99">
                  <c:v>I-085</c:v>
                </c:pt>
                <c:pt idx="100">
                  <c:v>I-127</c:v>
                </c:pt>
                <c:pt idx="101">
                  <c:v>I-128</c:v>
                </c:pt>
                <c:pt idx="102">
                  <c:v>I-129</c:v>
                </c:pt>
                <c:pt idx="103">
                  <c:v>I-130</c:v>
                </c:pt>
                <c:pt idx="104">
                  <c:v>I-078</c:v>
                </c:pt>
                <c:pt idx="105">
                  <c:v>I-131</c:v>
                </c:pt>
                <c:pt idx="106">
                  <c:v>I-132</c:v>
                </c:pt>
                <c:pt idx="107">
                  <c:v>I-133</c:v>
                </c:pt>
                <c:pt idx="108">
                  <c:v>I-080</c:v>
                </c:pt>
                <c:pt idx="109">
                  <c:v>I-027</c:v>
                </c:pt>
                <c:pt idx="110">
                  <c:v>I-075</c:v>
                </c:pt>
                <c:pt idx="111">
                  <c:v>I-086</c:v>
                </c:pt>
                <c:pt idx="112">
                  <c:v>I-087</c:v>
                </c:pt>
                <c:pt idx="113">
                  <c:v>I-077</c:v>
                </c:pt>
                <c:pt idx="114">
                  <c:v>I-081</c:v>
                </c:pt>
                <c:pt idx="115">
                  <c:v>I-083</c:v>
                </c:pt>
                <c:pt idx="116">
                  <c:v>I-088</c:v>
                </c:pt>
                <c:pt idx="117">
                  <c:v>I-134</c:v>
                </c:pt>
                <c:pt idx="118">
                  <c:v>I-135</c:v>
                </c:pt>
                <c:pt idx="119">
                  <c:v>I-089</c:v>
                </c:pt>
                <c:pt idx="120">
                  <c:v>I-136</c:v>
                </c:pt>
                <c:pt idx="121">
                  <c:v>I-137</c:v>
                </c:pt>
                <c:pt idx="122">
                  <c:v>I-138</c:v>
                </c:pt>
                <c:pt idx="123">
                  <c:v>I-139</c:v>
                </c:pt>
                <c:pt idx="124">
                  <c:v>I-140</c:v>
                </c:pt>
                <c:pt idx="125">
                  <c:v>I-141</c:v>
                </c:pt>
                <c:pt idx="126">
                  <c:v>I-142</c:v>
                </c:pt>
                <c:pt idx="127">
                  <c:v>I-143</c:v>
                </c:pt>
                <c:pt idx="128">
                  <c:v>I-144</c:v>
                </c:pt>
                <c:pt idx="129">
                  <c:v>I-145</c:v>
                </c:pt>
                <c:pt idx="130">
                  <c:v>I-146</c:v>
                </c:pt>
                <c:pt idx="131">
                  <c:v>I-090</c:v>
                </c:pt>
                <c:pt idx="132">
                  <c:v>I-147</c:v>
                </c:pt>
                <c:pt idx="133">
                  <c:v>I-148</c:v>
                </c:pt>
                <c:pt idx="134">
                  <c:v>I-149</c:v>
                </c:pt>
                <c:pt idx="135">
                  <c:v>I-150</c:v>
                </c:pt>
                <c:pt idx="136">
                  <c:v>I-151</c:v>
                </c:pt>
                <c:pt idx="137">
                  <c:v>I-152</c:v>
                </c:pt>
                <c:pt idx="138">
                  <c:v>I-153</c:v>
                </c:pt>
                <c:pt idx="139">
                  <c:v>I-154</c:v>
                </c:pt>
                <c:pt idx="140">
                  <c:v>I-155</c:v>
                </c:pt>
                <c:pt idx="141">
                  <c:v>I-156</c:v>
                </c:pt>
                <c:pt idx="142">
                  <c:v>I-157</c:v>
                </c:pt>
                <c:pt idx="143">
                  <c:v>I-091</c:v>
                </c:pt>
                <c:pt idx="144">
                  <c:v>I-158</c:v>
                </c:pt>
                <c:pt idx="145">
                  <c:v>I-159</c:v>
                </c:pt>
                <c:pt idx="146">
                  <c:v>I-160</c:v>
                </c:pt>
                <c:pt idx="147">
                  <c:v>I-161</c:v>
                </c:pt>
                <c:pt idx="148">
                  <c:v>I-162</c:v>
                </c:pt>
                <c:pt idx="149">
                  <c:v>I-163</c:v>
                </c:pt>
                <c:pt idx="150">
                  <c:v>I-164</c:v>
                </c:pt>
                <c:pt idx="151">
                  <c:v>I-165</c:v>
                </c:pt>
                <c:pt idx="152">
                  <c:v>I-166</c:v>
                </c:pt>
                <c:pt idx="153">
                  <c:v>I-167</c:v>
                </c:pt>
                <c:pt idx="154">
                  <c:v>I-168</c:v>
                </c:pt>
                <c:pt idx="155">
                  <c:v>I-092</c:v>
                </c:pt>
                <c:pt idx="156">
                  <c:v>I-169</c:v>
                </c:pt>
                <c:pt idx="157">
                  <c:v>I-170</c:v>
                </c:pt>
                <c:pt idx="158">
                  <c:v>I-171</c:v>
                </c:pt>
                <c:pt idx="159">
                  <c:v>I-172</c:v>
                </c:pt>
                <c:pt idx="160">
                  <c:v>I-173</c:v>
                </c:pt>
                <c:pt idx="161">
                  <c:v>I-174</c:v>
                </c:pt>
                <c:pt idx="162">
                  <c:v>I-175</c:v>
                </c:pt>
                <c:pt idx="163">
                  <c:v>I-176</c:v>
                </c:pt>
                <c:pt idx="164">
                  <c:v>I-177</c:v>
                </c:pt>
                <c:pt idx="165">
                  <c:v>I-178</c:v>
                </c:pt>
                <c:pt idx="166">
                  <c:v>I-093</c:v>
                </c:pt>
                <c:pt idx="167">
                  <c:v>I-179</c:v>
                </c:pt>
                <c:pt idx="168">
                  <c:v>I-180</c:v>
                </c:pt>
                <c:pt idx="169">
                  <c:v>I-181</c:v>
                </c:pt>
                <c:pt idx="170">
                  <c:v>I-182</c:v>
                </c:pt>
                <c:pt idx="171">
                  <c:v>I-183</c:v>
                </c:pt>
                <c:pt idx="172">
                  <c:v>I-184</c:v>
                </c:pt>
                <c:pt idx="173">
                  <c:v>I-185</c:v>
                </c:pt>
                <c:pt idx="174">
                  <c:v>I-186</c:v>
                </c:pt>
                <c:pt idx="175">
                  <c:v>I-187</c:v>
                </c:pt>
                <c:pt idx="176">
                  <c:v>I-188</c:v>
                </c:pt>
                <c:pt idx="177">
                  <c:v>I-189</c:v>
                </c:pt>
                <c:pt idx="178">
                  <c:v>I-094</c:v>
                </c:pt>
                <c:pt idx="179">
                  <c:v>I-190</c:v>
                </c:pt>
                <c:pt idx="180">
                  <c:v>I-191</c:v>
                </c:pt>
                <c:pt idx="181">
                  <c:v>I-192</c:v>
                </c:pt>
                <c:pt idx="182">
                  <c:v>I-193</c:v>
                </c:pt>
                <c:pt idx="183">
                  <c:v>I-194</c:v>
                </c:pt>
                <c:pt idx="184">
                  <c:v>I-195</c:v>
                </c:pt>
                <c:pt idx="185">
                  <c:v>I-196</c:v>
                </c:pt>
                <c:pt idx="186">
                  <c:v>I-197</c:v>
                </c:pt>
                <c:pt idx="187">
                  <c:v>I-198</c:v>
                </c:pt>
                <c:pt idx="188">
                  <c:v>I-199</c:v>
                </c:pt>
                <c:pt idx="189">
                  <c:v>I-200</c:v>
                </c:pt>
                <c:pt idx="190">
                  <c:v>I-095</c:v>
                </c:pt>
                <c:pt idx="191">
                  <c:v>I-096</c:v>
                </c:pt>
                <c:pt idx="192">
                  <c:v>I-097</c:v>
                </c:pt>
                <c:pt idx="193">
                  <c:v>I-084</c:v>
                </c:pt>
                <c:pt idx="194">
                  <c:v>I-098</c:v>
                </c:pt>
                <c:pt idx="195">
                  <c:v>I-099</c:v>
                </c:pt>
                <c:pt idx="196">
                  <c:v>I-100</c:v>
                </c:pt>
                <c:pt idx="197">
                  <c:v>I-101</c:v>
                </c:pt>
                <c:pt idx="198">
                  <c:v>I-102</c:v>
                </c:pt>
                <c:pt idx="199">
                  <c:v>I-103</c:v>
                </c:pt>
                <c:pt idx="200">
                  <c:v>I-082</c:v>
                </c:pt>
              </c:strCache>
            </c:strRef>
          </c:cat>
          <c:val>
            <c:numRef>
              <c:f>'S14 ABC Output'!$F$2:$F$202</c:f>
              <c:numCache>
                <c:formatCode>0.00%</c:formatCode>
                <c:ptCount val="201"/>
                <c:pt idx="0" formatCode="General">
                  <c:v>0</c:v>
                </c:pt>
                <c:pt idx="1">
                  <c:v>0.17084365467684812</c:v>
                </c:pt>
                <c:pt idx="2">
                  <c:v>0.31785029445684143</c:v>
                </c:pt>
                <c:pt idx="3">
                  <c:v>0.40317522058673</c:v>
                </c:pt>
                <c:pt idx="4">
                  <c:v>0.46223173036897525</c:v>
                </c:pt>
                <c:pt idx="5">
                  <c:v>0.52065360547560069</c:v>
                </c:pt>
                <c:pt idx="6">
                  <c:v>0.56517902839478373</c:v>
                </c:pt>
                <c:pt idx="7">
                  <c:v>0.60249418251547349</c:v>
                </c:pt>
                <c:pt idx="8">
                  <c:v>0.63708450194826027</c:v>
                </c:pt>
                <c:pt idx="9">
                  <c:v>0.66840406439153555</c:v>
                </c:pt>
                <c:pt idx="10">
                  <c:v>0.69332814707146817</c:v>
                </c:pt>
                <c:pt idx="11">
                  <c:v>0.71823721688810649</c:v>
                </c:pt>
                <c:pt idx="12">
                  <c:v>0.73576746439563001</c:v>
                </c:pt>
                <c:pt idx="13">
                  <c:v>0.75329771190315353</c:v>
                </c:pt>
                <c:pt idx="14">
                  <c:v>0.7708006632955966</c:v>
                </c:pt>
                <c:pt idx="15">
                  <c:v>0.78829679065926961</c:v>
                </c:pt>
                <c:pt idx="16">
                  <c:v>0.80567622713097375</c:v>
                </c:pt>
                <c:pt idx="17">
                  <c:v>0.81401791989955041</c:v>
                </c:pt>
                <c:pt idx="18">
                  <c:v>0.82223132092724915</c:v>
                </c:pt>
                <c:pt idx="19">
                  <c:v>0.82929828512157022</c:v>
                </c:pt>
                <c:pt idx="20">
                  <c:v>0.83629564422243619</c:v>
                </c:pt>
                <c:pt idx="21">
                  <c:v>0.84314560430186791</c:v>
                </c:pt>
                <c:pt idx="22">
                  <c:v>0.84979766754696651</c:v>
                </c:pt>
                <c:pt idx="23">
                  <c:v>0.85610716454780589</c:v>
                </c:pt>
                <c:pt idx="24">
                  <c:v>0.86207818972164807</c:v>
                </c:pt>
                <c:pt idx="25">
                  <c:v>0.86769436539944478</c:v>
                </c:pt>
                <c:pt idx="26">
                  <c:v>0.87320135661691978</c:v>
                </c:pt>
                <c:pt idx="27">
                  <c:v>0.87842446823755838</c:v>
                </c:pt>
                <c:pt idx="28">
                  <c:v>0.88324564456363774</c:v>
                </c:pt>
                <c:pt idx="29">
                  <c:v>0.88795627162364144</c:v>
                </c:pt>
                <c:pt idx="30">
                  <c:v>0.89238574869831677</c:v>
                </c:pt>
                <c:pt idx="31">
                  <c:v>0.89657160794589941</c:v>
                </c:pt>
                <c:pt idx="32">
                  <c:v>0.90066807241659363</c:v>
                </c:pt>
                <c:pt idx="33">
                  <c:v>0.90455230959253752</c:v>
                </c:pt>
                <c:pt idx="34">
                  <c:v>0.90780395930149271</c:v>
                </c:pt>
                <c:pt idx="35">
                  <c:v>0.91103172490975248</c:v>
                </c:pt>
                <c:pt idx="36">
                  <c:v>0.91388212172702543</c:v>
                </c:pt>
                <c:pt idx="37">
                  <c:v>0.91666905507673646</c:v>
                </c:pt>
                <c:pt idx="38">
                  <c:v>0.91921782982237077</c:v>
                </c:pt>
                <c:pt idx="39">
                  <c:v>0.92164854887028225</c:v>
                </c:pt>
                <c:pt idx="40">
                  <c:v>0.92400283879596856</c:v>
                </c:pt>
                <c:pt idx="41">
                  <c:v>0.9261019100456529</c:v>
                </c:pt>
                <c:pt idx="42">
                  <c:v>0.92802696856169964</c:v>
                </c:pt>
                <c:pt idx="43">
                  <c:v>0.92977323752396956</c:v>
                </c:pt>
                <c:pt idx="44">
                  <c:v>0.93151268245746943</c:v>
                </c:pt>
                <c:pt idx="45">
                  <c:v>0.93325076258521522</c:v>
                </c:pt>
                <c:pt idx="46">
                  <c:v>0.93497382984966682</c:v>
                </c:pt>
                <c:pt idx="47">
                  <c:v>0.93665117612135873</c:v>
                </c:pt>
                <c:pt idx="48">
                  <c:v>0.93832852239305065</c:v>
                </c:pt>
                <c:pt idx="49">
                  <c:v>0.94000450385898848</c:v>
                </c:pt>
                <c:pt idx="50">
                  <c:v>0.94168048532492632</c:v>
                </c:pt>
                <c:pt idx="51">
                  <c:v>0.94335510198511019</c:v>
                </c:pt>
                <c:pt idx="52">
                  <c:v>0.9449532895230689</c:v>
                </c:pt>
                <c:pt idx="53">
                  <c:v>0.94647231832729428</c:v>
                </c:pt>
                <c:pt idx="54">
                  <c:v>0.94796609822507039</c:v>
                </c:pt>
                <c:pt idx="55">
                  <c:v>0.94943735882790514</c:v>
                </c:pt>
                <c:pt idx="56">
                  <c:v>0.9509086194307399</c:v>
                </c:pt>
                <c:pt idx="57">
                  <c:v>0.95237851522782058</c:v>
                </c:pt>
                <c:pt idx="58">
                  <c:v>0.95384841102490125</c:v>
                </c:pt>
                <c:pt idx="59">
                  <c:v>0.95531830682198193</c:v>
                </c:pt>
                <c:pt idx="60">
                  <c:v>0.95669266621628113</c:v>
                </c:pt>
                <c:pt idx="61">
                  <c:v>0.9580486007329011</c:v>
                </c:pt>
                <c:pt idx="62">
                  <c:v>0.95937587432868654</c:v>
                </c:pt>
                <c:pt idx="63">
                  <c:v>0.96057007936345495</c:v>
                </c:pt>
                <c:pt idx="64">
                  <c:v>0.96168717287312122</c:v>
                </c:pt>
                <c:pt idx="65">
                  <c:v>0.96280017196552536</c:v>
                </c:pt>
                <c:pt idx="66">
                  <c:v>0.96390020540326637</c:v>
                </c:pt>
                <c:pt idx="67">
                  <c:v>0.96496065947414078</c:v>
                </c:pt>
                <c:pt idx="68">
                  <c:v>0.96600678308459798</c:v>
                </c:pt>
                <c:pt idx="69">
                  <c:v>0.96704676506916198</c:v>
                </c:pt>
                <c:pt idx="70">
                  <c:v>0.96806900457892375</c:v>
                </c:pt>
                <c:pt idx="71">
                  <c:v>0.96904142867866372</c:v>
                </c:pt>
                <c:pt idx="72">
                  <c:v>0.97000566394387955</c:v>
                </c:pt>
                <c:pt idx="73">
                  <c:v>0.97092554302208978</c:v>
                </c:pt>
                <c:pt idx="74">
                  <c:v>0.97160589869046932</c:v>
                </c:pt>
                <c:pt idx="75">
                  <c:v>0.97228079513583276</c:v>
                </c:pt>
                <c:pt idx="76">
                  <c:v>0.97295023235818012</c:v>
                </c:pt>
                <c:pt idx="77">
                  <c:v>0.97361421035751139</c:v>
                </c:pt>
                <c:pt idx="78">
                  <c:v>0.97427272913382656</c:v>
                </c:pt>
                <c:pt idx="79">
                  <c:v>0.97492578868712565</c:v>
                </c:pt>
                <c:pt idx="80">
                  <c:v>0.97557338901740864</c:v>
                </c:pt>
                <c:pt idx="81">
                  <c:v>0.97621553012467555</c:v>
                </c:pt>
                <c:pt idx="82">
                  <c:v>0.97685767123194245</c:v>
                </c:pt>
                <c:pt idx="83">
                  <c:v>0.97749435311619326</c:v>
                </c:pt>
                <c:pt idx="84">
                  <c:v>0.97812557577742798</c:v>
                </c:pt>
                <c:pt idx="85">
                  <c:v>0.97875133921564661</c:v>
                </c:pt>
                <c:pt idx="86">
                  <c:v>0.97937164343084915</c:v>
                </c:pt>
                <c:pt idx="87">
                  <c:v>0.9799864884230356</c:v>
                </c:pt>
                <c:pt idx="88">
                  <c:v>0.98059587419220595</c:v>
                </c:pt>
                <c:pt idx="89">
                  <c:v>0.98119980073836022</c:v>
                </c:pt>
                <c:pt idx="90">
                  <c:v>0.9817982680614985</c:v>
                </c:pt>
                <c:pt idx="91">
                  <c:v>0.9823912761616207</c:v>
                </c:pt>
                <c:pt idx="92">
                  <c:v>0.9829788250387268</c:v>
                </c:pt>
                <c:pt idx="93">
                  <c:v>0.98356091469281681</c:v>
                </c:pt>
                <c:pt idx="94">
                  <c:v>0.98413754512389073</c:v>
                </c:pt>
                <c:pt idx="95">
                  <c:v>0.98470871633194856</c:v>
                </c:pt>
                <c:pt idx="96">
                  <c:v>0.9852744283169903</c:v>
                </c:pt>
                <c:pt idx="97">
                  <c:v>0.98580056093516544</c:v>
                </c:pt>
                <c:pt idx="98">
                  <c:v>0.9863000798411371</c:v>
                </c:pt>
                <c:pt idx="99">
                  <c:v>0.98675592496298015</c:v>
                </c:pt>
                <c:pt idx="100">
                  <c:v>0.98721040527906911</c:v>
                </c:pt>
                <c:pt idx="101">
                  <c:v>0.98761984700527539</c:v>
                </c:pt>
                <c:pt idx="102">
                  <c:v>0.98798425014159896</c:v>
                </c:pt>
                <c:pt idx="103">
                  <c:v>0.98830361468803984</c:v>
                </c:pt>
                <c:pt idx="104">
                  <c:v>0.98858135265898317</c:v>
                </c:pt>
                <c:pt idx="105">
                  <c:v>0.98885567861554136</c:v>
                </c:pt>
                <c:pt idx="106">
                  <c:v>0.98908496598221685</c:v>
                </c:pt>
                <c:pt idx="107">
                  <c:v>0.98926921475900964</c:v>
                </c:pt>
                <c:pt idx="108">
                  <c:v>0.98944527470127841</c:v>
                </c:pt>
                <c:pt idx="109">
                  <c:v>0.98961246340614595</c:v>
                </c:pt>
                <c:pt idx="110">
                  <c:v>0.98977282808224343</c:v>
                </c:pt>
                <c:pt idx="111">
                  <c:v>0.98993182795258683</c:v>
                </c:pt>
                <c:pt idx="112">
                  <c:v>0.99008468619703716</c:v>
                </c:pt>
                <c:pt idx="113">
                  <c:v>0.99023481482997944</c:v>
                </c:pt>
                <c:pt idx="114">
                  <c:v>0.99038153144853669</c:v>
                </c:pt>
                <c:pt idx="115">
                  <c:v>0.99052688326133997</c:v>
                </c:pt>
                <c:pt idx="116">
                  <c:v>0.99067223507414326</c:v>
                </c:pt>
                <c:pt idx="117">
                  <c:v>0.99081144526105336</c:v>
                </c:pt>
                <c:pt idx="118">
                  <c:v>0.99094997304508647</c:v>
                </c:pt>
                <c:pt idx="119">
                  <c:v>0.99108781842624261</c:v>
                </c:pt>
                <c:pt idx="120">
                  <c:v>0.99122566380739874</c:v>
                </c:pt>
                <c:pt idx="121">
                  <c:v>0.99136282678567789</c:v>
                </c:pt>
                <c:pt idx="122">
                  <c:v>0.99149930736107994</c:v>
                </c:pt>
                <c:pt idx="123">
                  <c:v>0.99163510553360501</c:v>
                </c:pt>
                <c:pt idx="124">
                  <c:v>0.9917702213032531</c:v>
                </c:pt>
                <c:pt idx="125">
                  <c:v>0.9919046546700242</c:v>
                </c:pt>
                <c:pt idx="126">
                  <c:v>0.99203840563391832</c:v>
                </c:pt>
                <c:pt idx="127">
                  <c:v>0.99217147419493534</c:v>
                </c:pt>
                <c:pt idx="128">
                  <c:v>0.99230386035307538</c:v>
                </c:pt>
                <c:pt idx="129">
                  <c:v>0.99243556410833844</c:v>
                </c:pt>
                <c:pt idx="130">
                  <c:v>0.99256658546072452</c:v>
                </c:pt>
                <c:pt idx="131">
                  <c:v>0.99269692441023349</c:v>
                </c:pt>
                <c:pt idx="132">
                  <c:v>0.99282726335974247</c:v>
                </c:pt>
                <c:pt idx="133">
                  <c:v>0.99295691990637447</c:v>
                </c:pt>
                <c:pt idx="134">
                  <c:v>0.99308589405012948</c:v>
                </c:pt>
                <c:pt idx="135">
                  <c:v>0.99321418579100751</c:v>
                </c:pt>
                <c:pt idx="136">
                  <c:v>0.99334179512900844</c:v>
                </c:pt>
                <c:pt idx="137">
                  <c:v>0.99346872206413239</c:v>
                </c:pt>
                <c:pt idx="138">
                  <c:v>0.99359496659637936</c:v>
                </c:pt>
                <c:pt idx="139">
                  <c:v>0.99372052872574934</c:v>
                </c:pt>
                <c:pt idx="140">
                  <c:v>0.99384540845224223</c:v>
                </c:pt>
                <c:pt idx="141">
                  <c:v>0.99396960577585813</c:v>
                </c:pt>
                <c:pt idx="142">
                  <c:v>0.99409312069659705</c:v>
                </c:pt>
                <c:pt idx="143">
                  <c:v>0.99421595321445899</c:v>
                </c:pt>
                <c:pt idx="144">
                  <c:v>0.99433878573232093</c:v>
                </c:pt>
                <c:pt idx="145">
                  <c:v>0.99446093584730577</c:v>
                </c:pt>
                <c:pt idx="146">
                  <c:v>0.99458240355941363</c:v>
                </c:pt>
                <c:pt idx="147">
                  <c:v>0.99470318886864451</c:v>
                </c:pt>
                <c:pt idx="148">
                  <c:v>0.9948232917749984</c:v>
                </c:pt>
                <c:pt idx="149">
                  <c:v>0.99494271227847519</c:v>
                </c:pt>
                <c:pt idx="150">
                  <c:v>0.99506145037907501</c:v>
                </c:pt>
                <c:pt idx="151">
                  <c:v>0.99517950607679784</c:v>
                </c:pt>
                <c:pt idx="152">
                  <c:v>0.99529687937164368</c:v>
                </c:pt>
                <c:pt idx="153">
                  <c:v>0.99541357026361243</c:v>
                </c:pt>
                <c:pt idx="154">
                  <c:v>0.9955295787527042</c:v>
                </c:pt>
                <c:pt idx="155">
                  <c:v>0.99564490483891899</c:v>
                </c:pt>
                <c:pt idx="156">
                  <c:v>0.99576023092513377</c:v>
                </c:pt>
                <c:pt idx="157">
                  <c:v>0.99587487460847157</c:v>
                </c:pt>
                <c:pt idx="158">
                  <c:v>0.99598883588893228</c:v>
                </c:pt>
                <c:pt idx="159">
                  <c:v>0.996102114766516</c:v>
                </c:pt>
                <c:pt idx="160">
                  <c:v>0.99621471124122274</c:v>
                </c:pt>
                <c:pt idx="161">
                  <c:v>0.99632662531305249</c:v>
                </c:pt>
                <c:pt idx="162">
                  <c:v>0.99643785698200527</c:v>
                </c:pt>
                <c:pt idx="163">
                  <c:v>0.99654840624808094</c:v>
                </c:pt>
                <c:pt idx="164">
                  <c:v>0.99665827311127964</c:v>
                </c:pt>
                <c:pt idx="165">
                  <c:v>0.99676745757160135</c:v>
                </c:pt>
                <c:pt idx="166">
                  <c:v>0.99687595962904607</c:v>
                </c:pt>
                <c:pt idx="167">
                  <c:v>0.9969844616864908</c:v>
                </c:pt>
                <c:pt idx="168">
                  <c:v>0.99709228134105843</c:v>
                </c:pt>
                <c:pt idx="169">
                  <c:v>0.99719941859274908</c:v>
                </c:pt>
                <c:pt idx="170">
                  <c:v>0.99730587344156274</c:v>
                </c:pt>
                <c:pt idx="171">
                  <c:v>0.99741164588749942</c:v>
                </c:pt>
                <c:pt idx="172">
                  <c:v>0.99751673593055901</c:v>
                </c:pt>
                <c:pt idx="173">
                  <c:v>0.99762114357074161</c:v>
                </c:pt>
                <c:pt idx="174">
                  <c:v>0.99772486880804723</c:v>
                </c:pt>
                <c:pt idx="175">
                  <c:v>0.99782791164247586</c:v>
                </c:pt>
                <c:pt idx="176">
                  <c:v>0.9979302720740274</c:v>
                </c:pt>
                <c:pt idx="177">
                  <c:v>0.99803195010270196</c:v>
                </c:pt>
                <c:pt idx="178">
                  <c:v>0.99813294572849953</c:v>
                </c:pt>
                <c:pt idx="179">
                  <c:v>0.99823394135429711</c:v>
                </c:pt>
                <c:pt idx="180">
                  <c:v>0.99833425457721769</c:v>
                </c:pt>
                <c:pt idx="181">
                  <c:v>0.99843388539726119</c:v>
                </c:pt>
                <c:pt idx="182">
                  <c:v>0.9985328338144277</c:v>
                </c:pt>
                <c:pt idx="183">
                  <c:v>0.99863109982871723</c:v>
                </c:pt>
                <c:pt idx="184">
                  <c:v>0.99872868344012977</c:v>
                </c:pt>
                <c:pt idx="185">
                  <c:v>0.99882558464866522</c:v>
                </c:pt>
                <c:pt idx="186">
                  <c:v>0.99892180345432369</c:v>
                </c:pt>
                <c:pt idx="187">
                  <c:v>0.99901733985710517</c:v>
                </c:pt>
                <c:pt idx="188">
                  <c:v>0.99911219385700967</c:v>
                </c:pt>
                <c:pt idx="189">
                  <c:v>0.99920636545403707</c:v>
                </c:pt>
                <c:pt idx="190">
                  <c:v>0.99929985464818749</c:v>
                </c:pt>
                <c:pt idx="191">
                  <c:v>0.99938583741069087</c:v>
                </c:pt>
                <c:pt idx="192">
                  <c:v>0.99946431374154709</c:v>
                </c:pt>
                <c:pt idx="193">
                  <c:v>0.99953528364075617</c:v>
                </c:pt>
                <c:pt idx="194">
                  <c:v>0.99960625353996524</c:v>
                </c:pt>
                <c:pt idx="195">
                  <c:v>0.99967654103629733</c:v>
                </c:pt>
                <c:pt idx="196">
                  <c:v>0.99974614612975243</c:v>
                </c:pt>
                <c:pt idx="197">
                  <c:v>0.99981575122320754</c:v>
                </c:pt>
                <c:pt idx="198">
                  <c:v>0.99988467391378555</c:v>
                </c:pt>
                <c:pt idx="199">
                  <c:v>0.99995291420148658</c:v>
                </c:pt>
                <c:pt idx="200">
                  <c:v>1.0000000000000002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9-9A45-A977-FECE15BB3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261376"/>
        <c:axId val="149263104"/>
      </c:lineChart>
      <c:catAx>
        <c:axId val="14926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49263104"/>
        <c:crosses val="autoZero"/>
        <c:auto val="1"/>
        <c:lblAlgn val="ctr"/>
        <c:lblOffset val="100"/>
        <c:noMultiLvlLbl val="0"/>
      </c:catAx>
      <c:valAx>
        <c:axId val="14926310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4926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'S25 Space Coefficient'!$B$1</c:f>
              <c:strCache>
                <c:ptCount val="1"/>
                <c:pt idx="0">
                  <c:v>Space Coefficient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'S25 Space Coefficient'!$A$2:$A$149</c:f>
              <c:numCache>
                <c:formatCode>0.0</c:formatCode>
                <c:ptCount val="148"/>
                <c:pt idx="0">
                  <c:v>0.3</c:v>
                </c:pt>
                <c:pt idx="1">
                  <c:v>0.4</c:v>
                </c:pt>
                <c:pt idx="2">
                  <c:v>0.5</c:v>
                </c:pt>
                <c:pt idx="3">
                  <c:v>0.6</c:v>
                </c:pt>
                <c:pt idx="4">
                  <c:v>0.7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1.1000000000000001</c:v>
                </c:pt>
                <c:pt idx="9">
                  <c:v>1.2</c:v>
                </c:pt>
                <c:pt idx="10">
                  <c:v>1.3</c:v>
                </c:pt>
                <c:pt idx="11">
                  <c:v>1.4</c:v>
                </c:pt>
                <c:pt idx="12">
                  <c:v>1.5</c:v>
                </c:pt>
                <c:pt idx="13">
                  <c:v>1.6</c:v>
                </c:pt>
                <c:pt idx="14">
                  <c:v>1.7</c:v>
                </c:pt>
                <c:pt idx="15">
                  <c:v>1.8</c:v>
                </c:pt>
                <c:pt idx="16">
                  <c:v>1.9</c:v>
                </c:pt>
                <c:pt idx="17">
                  <c:v>2</c:v>
                </c:pt>
                <c:pt idx="18">
                  <c:v>2.1</c:v>
                </c:pt>
                <c:pt idx="19">
                  <c:v>2.2000000000000002</c:v>
                </c:pt>
                <c:pt idx="20">
                  <c:v>2.2999999999999998</c:v>
                </c:pt>
                <c:pt idx="21">
                  <c:v>2.4</c:v>
                </c:pt>
                <c:pt idx="22">
                  <c:v>2.5</c:v>
                </c:pt>
                <c:pt idx="23">
                  <c:v>2.6</c:v>
                </c:pt>
                <c:pt idx="24">
                  <c:v>2.7</c:v>
                </c:pt>
                <c:pt idx="25">
                  <c:v>2.8</c:v>
                </c:pt>
                <c:pt idx="26">
                  <c:v>2.9</c:v>
                </c:pt>
                <c:pt idx="27">
                  <c:v>3</c:v>
                </c:pt>
                <c:pt idx="28">
                  <c:v>3.1</c:v>
                </c:pt>
                <c:pt idx="29">
                  <c:v>3.2</c:v>
                </c:pt>
                <c:pt idx="30">
                  <c:v>3.3</c:v>
                </c:pt>
                <c:pt idx="31">
                  <c:v>3.4</c:v>
                </c:pt>
                <c:pt idx="32">
                  <c:v>3.5</c:v>
                </c:pt>
                <c:pt idx="33">
                  <c:v>3.6</c:v>
                </c:pt>
                <c:pt idx="34">
                  <c:v>3.7</c:v>
                </c:pt>
                <c:pt idx="35">
                  <c:v>3.8</c:v>
                </c:pt>
                <c:pt idx="36">
                  <c:v>3.9</c:v>
                </c:pt>
                <c:pt idx="37">
                  <c:v>4</c:v>
                </c:pt>
                <c:pt idx="38">
                  <c:v>4.0999999999999996</c:v>
                </c:pt>
                <c:pt idx="39">
                  <c:v>4.2</c:v>
                </c:pt>
                <c:pt idx="40">
                  <c:v>4.3</c:v>
                </c:pt>
                <c:pt idx="41">
                  <c:v>4.4000000000000004</c:v>
                </c:pt>
                <c:pt idx="42">
                  <c:v>4.5</c:v>
                </c:pt>
                <c:pt idx="43">
                  <c:v>4.5999999999999996</c:v>
                </c:pt>
                <c:pt idx="44">
                  <c:v>4.7</c:v>
                </c:pt>
                <c:pt idx="45">
                  <c:v>4.8</c:v>
                </c:pt>
                <c:pt idx="46">
                  <c:v>4.9000000000000004</c:v>
                </c:pt>
                <c:pt idx="47">
                  <c:v>5</c:v>
                </c:pt>
                <c:pt idx="48">
                  <c:v>5.0999999999999996</c:v>
                </c:pt>
                <c:pt idx="49">
                  <c:v>5.2</c:v>
                </c:pt>
                <c:pt idx="50">
                  <c:v>5.3</c:v>
                </c:pt>
                <c:pt idx="51">
                  <c:v>5.4</c:v>
                </c:pt>
                <c:pt idx="52">
                  <c:v>5.4999999999999902</c:v>
                </c:pt>
                <c:pt idx="53">
                  <c:v>5.5999999999999899</c:v>
                </c:pt>
                <c:pt idx="54">
                  <c:v>5.7</c:v>
                </c:pt>
                <c:pt idx="55">
                  <c:v>5.7999999999999901</c:v>
                </c:pt>
                <c:pt idx="56">
                  <c:v>5.8999999999999897</c:v>
                </c:pt>
                <c:pt idx="57">
                  <c:v>5.9999999999999902</c:v>
                </c:pt>
                <c:pt idx="58">
                  <c:v>6.0999999999999899</c:v>
                </c:pt>
                <c:pt idx="59">
                  <c:v>6.1999999999999904</c:v>
                </c:pt>
                <c:pt idx="60">
                  <c:v>6.2999999999999901</c:v>
                </c:pt>
                <c:pt idx="61">
                  <c:v>6.3999999999999897</c:v>
                </c:pt>
                <c:pt idx="62">
                  <c:v>6.4999999999999902</c:v>
                </c:pt>
                <c:pt idx="63">
                  <c:v>6.5999999999999899</c:v>
                </c:pt>
                <c:pt idx="64">
                  <c:v>6.6999999999999904</c:v>
                </c:pt>
                <c:pt idx="65">
                  <c:v>6.7999999999999901</c:v>
                </c:pt>
                <c:pt idx="66">
                  <c:v>6.8999999999999897</c:v>
                </c:pt>
                <c:pt idx="67">
                  <c:v>6.9999999999999902</c:v>
                </c:pt>
                <c:pt idx="68">
                  <c:v>7.0999999999999899</c:v>
                </c:pt>
                <c:pt idx="69">
                  <c:v>7.1999999999999904</c:v>
                </c:pt>
                <c:pt idx="70">
                  <c:v>7.2999999999999901</c:v>
                </c:pt>
                <c:pt idx="71">
                  <c:v>7.3999999999999897</c:v>
                </c:pt>
                <c:pt idx="72">
                  <c:v>7.4999999999999902</c:v>
                </c:pt>
                <c:pt idx="73">
                  <c:v>7.5999999999999899</c:v>
                </c:pt>
                <c:pt idx="74">
                  <c:v>7.6999999999999904</c:v>
                </c:pt>
                <c:pt idx="75">
                  <c:v>7.7999999999999901</c:v>
                </c:pt>
                <c:pt idx="76">
                  <c:v>7.8999999999999897</c:v>
                </c:pt>
                <c:pt idx="77">
                  <c:v>7.9999999999999902</c:v>
                </c:pt>
                <c:pt idx="78">
                  <c:v>8.0999999999999908</c:v>
                </c:pt>
                <c:pt idx="79">
                  <c:v>8.1999999999999904</c:v>
                </c:pt>
                <c:pt idx="80">
                  <c:v>8.2999999999999901</c:v>
                </c:pt>
                <c:pt idx="81">
                  <c:v>8.3999999999999897</c:v>
                </c:pt>
                <c:pt idx="82">
                  <c:v>8.4999999999999893</c:v>
                </c:pt>
                <c:pt idx="83">
                  <c:v>8.5999999999999908</c:v>
                </c:pt>
                <c:pt idx="84">
                  <c:v>8.6999999999999904</c:v>
                </c:pt>
                <c:pt idx="85">
                  <c:v>8.7999999999999901</c:v>
                </c:pt>
                <c:pt idx="86">
                  <c:v>8.8999999999999897</c:v>
                </c:pt>
                <c:pt idx="87">
                  <c:v>8.9999999999999893</c:v>
                </c:pt>
                <c:pt idx="88">
                  <c:v>9.0999999999999908</c:v>
                </c:pt>
                <c:pt idx="89">
                  <c:v>9.1999999999999904</c:v>
                </c:pt>
                <c:pt idx="90">
                  <c:v>9.2999999999999901</c:v>
                </c:pt>
                <c:pt idx="91">
                  <c:v>9.3999999999999897</c:v>
                </c:pt>
                <c:pt idx="92">
                  <c:v>9.4999999999999893</c:v>
                </c:pt>
                <c:pt idx="93">
                  <c:v>9.5999999999999908</c:v>
                </c:pt>
                <c:pt idx="94">
                  <c:v>9.6999999999999904</c:v>
                </c:pt>
                <c:pt idx="95">
                  <c:v>9.7999999999999901</c:v>
                </c:pt>
                <c:pt idx="96">
                  <c:v>9.8999999999999897</c:v>
                </c:pt>
                <c:pt idx="97">
                  <c:v>9.9999999999999893</c:v>
                </c:pt>
                <c:pt idx="98">
                  <c:v>10.1</c:v>
                </c:pt>
                <c:pt idx="99">
                  <c:v>10.199999999999999</c:v>
                </c:pt>
                <c:pt idx="100">
                  <c:v>10.3</c:v>
                </c:pt>
                <c:pt idx="101">
                  <c:v>10.4</c:v>
                </c:pt>
                <c:pt idx="102">
                  <c:v>10.5</c:v>
                </c:pt>
                <c:pt idx="103">
                  <c:v>10.6</c:v>
                </c:pt>
                <c:pt idx="104">
                  <c:v>10.7</c:v>
                </c:pt>
                <c:pt idx="105">
                  <c:v>10.8</c:v>
                </c:pt>
                <c:pt idx="106">
                  <c:v>10.9</c:v>
                </c:pt>
                <c:pt idx="107">
                  <c:v>11</c:v>
                </c:pt>
                <c:pt idx="108">
                  <c:v>11.1</c:v>
                </c:pt>
                <c:pt idx="109">
                  <c:v>11.2</c:v>
                </c:pt>
                <c:pt idx="110">
                  <c:v>11.3</c:v>
                </c:pt>
                <c:pt idx="111">
                  <c:v>11.4</c:v>
                </c:pt>
                <c:pt idx="112">
                  <c:v>11.5</c:v>
                </c:pt>
                <c:pt idx="113">
                  <c:v>11.6</c:v>
                </c:pt>
                <c:pt idx="114">
                  <c:v>11.7</c:v>
                </c:pt>
                <c:pt idx="115">
                  <c:v>11.8</c:v>
                </c:pt>
                <c:pt idx="116">
                  <c:v>11.9</c:v>
                </c:pt>
                <c:pt idx="117">
                  <c:v>12</c:v>
                </c:pt>
                <c:pt idx="118">
                  <c:v>12.1</c:v>
                </c:pt>
                <c:pt idx="119">
                  <c:v>12.2</c:v>
                </c:pt>
                <c:pt idx="120">
                  <c:v>12.3</c:v>
                </c:pt>
                <c:pt idx="121">
                  <c:v>12.4</c:v>
                </c:pt>
                <c:pt idx="122">
                  <c:v>12.5</c:v>
                </c:pt>
                <c:pt idx="123">
                  <c:v>12.6</c:v>
                </c:pt>
                <c:pt idx="124">
                  <c:v>12.7</c:v>
                </c:pt>
                <c:pt idx="125">
                  <c:v>12.8</c:v>
                </c:pt>
                <c:pt idx="126">
                  <c:v>12.9</c:v>
                </c:pt>
                <c:pt idx="127">
                  <c:v>13</c:v>
                </c:pt>
                <c:pt idx="128">
                  <c:v>13.1</c:v>
                </c:pt>
                <c:pt idx="129">
                  <c:v>13.2</c:v>
                </c:pt>
                <c:pt idx="130">
                  <c:v>13.3</c:v>
                </c:pt>
                <c:pt idx="131">
                  <c:v>13.4</c:v>
                </c:pt>
                <c:pt idx="132">
                  <c:v>13.5</c:v>
                </c:pt>
                <c:pt idx="133">
                  <c:v>13.6</c:v>
                </c:pt>
                <c:pt idx="134">
                  <c:v>13.7</c:v>
                </c:pt>
                <c:pt idx="135">
                  <c:v>13.8</c:v>
                </c:pt>
                <c:pt idx="136">
                  <c:v>13.9</c:v>
                </c:pt>
                <c:pt idx="137">
                  <c:v>14</c:v>
                </c:pt>
                <c:pt idx="138">
                  <c:v>14.1</c:v>
                </c:pt>
                <c:pt idx="139">
                  <c:v>14.2</c:v>
                </c:pt>
                <c:pt idx="140">
                  <c:v>14.3</c:v>
                </c:pt>
                <c:pt idx="141">
                  <c:v>14.4</c:v>
                </c:pt>
                <c:pt idx="142">
                  <c:v>14.5</c:v>
                </c:pt>
                <c:pt idx="143">
                  <c:v>14.6</c:v>
                </c:pt>
                <c:pt idx="144">
                  <c:v>14.7</c:v>
                </c:pt>
                <c:pt idx="145">
                  <c:v>14.8</c:v>
                </c:pt>
                <c:pt idx="146">
                  <c:v>14.9</c:v>
                </c:pt>
                <c:pt idx="147">
                  <c:v>15</c:v>
                </c:pt>
              </c:numCache>
            </c:numRef>
          </c:cat>
          <c:val>
            <c:numRef>
              <c:f>'S25 Space Coefficient'!$B$2:$B$149</c:f>
              <c:numCache>
                <c:formatCode>0.00</c:formatCode>
                <c:ptCount val="148"/>
                <c:pt idx="0">
                  <c:v>13.175674306073333</c:v>
                </c:pt>
                <c:pt idx="1">
                  <c:v>12.583089166764376</c:v>
                </c:pt>
                <c:pt idx="2">
                  <c:v>12.025013499434122</c:v>
                </c:pt>
                <c:pt idx="3">
                  <c:v>11.499437628886124</c:v>
                </c:pt>
                <c:pt idx="4">
                  <c:v>11.004468914296353</c:v>
                </c:pt>
                <c:pt idx="5">
                  <c:v>10.538324933661922</c:v>
                </c:pt>
                <c:pt idx="6">
                  <c:v>10.099327065156633</c:v>
                </c:pt>
                <c:pt idx="7">
                  <c:v>9.6858944422792685</c:v>
                </c:pt>
                <c:pt idx="8">
                  <c:v>9.2965382610266563</c:v>
                </c:pt>
                <c:pt idx="9">
                  <c:v>8.9298564185911466</c:v>
                </c:pt>
                <c:pt idx="10">
                  <c:v>8.5845284642760546</c:v>
                </c:pt>
                <c:pt idx="11">
                  <c:v>8.2593108444468992</c:v>
                </c:pt>
                <c:pt idx="12">
                  <c:v>7.9530324243951149</c:v>
                </c:pt>
                <c:pt idx="13">
                  <c:v>7.6645902709881257</c:v>
                </c:pt>
                <c:pt idx="14">
                  <c:v>7.392945680918757</c:v>
                </c:pt>
                <c:pt idx="15">
                  <c:v>7.1371204402513921</c:v>
                </c:pt>
                <c:pt idx="16">
                  <c:v>6.8961933017952148</c:v>
                </c:pt>
                <c:pt idx="17">
                  <c:v>6.6692966676192444</c:v>
                </c:pt>
                <c:pt idx="18">
                  <c:v>6.4556134647626759</c:v>
                </c:pt>
                <c:pt idx="19">
                  <c:v>6.2543742028896707</c:v>
                </c:pt>
                <c:pt idx="20">
                  <c:v>6.0648542032930024</c:v>
                </c:pt>
                <c:pt idx="21">
                  <c:v>5.8863709892679585</c:v>
                </c:pt>
                <c:pt idx="22">
                  <c:v>5.7182818284590446</c:v>
                </c:pt>
                <c:pt idx="23">
                  <c:v>5.5599814183292713</c:v>
                </c:pt>
                <c:pt idx="24">
                  <c:v>5.4108997064172097</c:v>
                </c:pt>
                <c:pt idx="25">
                  <c:v>5.2704998375324061</c:v>
                </c:pt>
                <c:pt idx="26">
                  <c:v>5.1382762204968184</c:v>
                </c:pt>
                <c:pt idx="27">
                  <c:v>5.0137527074704771</c:v>
                </c:pt>
                <c:pt idx="28">
                  <c:v>4.8964808793049519</c:v>
                </c:pt>
                <c:pt idx="29">
                  <c:v>4.7860384307500734</c:v>
                </c:pt>
                <c:pt idx="30">
                  <c:v>4.6820276496988864</c:v>
                </c:pt>
                <c:pt idx="31">
                  <c:v>4.5840739849944816</c:v>
                </c:pt>
                <c:pt idx="32">
                  <c:v>4.4918246976412703</c:v>
                </c:pt>
                <c:pt idx="33">
                  <c:v>4.4049475905635935</c:v>
                </c:pt>
                <c:pt idx="34">
                  <c:v>4.3231298123374362</c:v>
                </c:pt>
                <c:pt idx="35">
                  <c:v>4.2460767305873812</c:v>
                </c:pt>
                <c:pt idx="36">
                  <c:v>4.1735108709918105</c:v>
                </c:pt>
                <c:pt idx="37">
                  <c:v>4.1051709180756477</c:v>
                </c:pt>
                <c:pt idx="38">
                  <c:v>4.0408107741923889</c:v>
                </c:pt>
                <c:pt idx="39">
                  <c:v>3.9801986733067554</c:v>
                </c:pt>
                <c:pt idx="40">
                  <c:v>3.9231163463866361</c:v>
                </c:pt>
                <c:pt idx="41">
                  <c:v>3.8693582353988059</c:v>
                </c:pt>
                <c:pt idx="42">
                  <c:v>3.8187307530779822</c:v>
                </c:pt>
                <c:pt idx="43">
                  <c:v>3.7710515858035665</c:v>
                </c:pt>
                <c:pt idx="44">
                  <c:v>3.7261490370736912</c:v>
                </c:pt>
                <c:pt idx="45">
                  <c:v>3.6838614092123558</c:v>
                </c:pt>
                <c:pt idx="46">
                  <c:v>3.6440364210831415</c:v>
                </c:pt>
                <c:pt idx="47">
                  <c:v>3.6065306597126332</c:v>
                </c:pt>
                <c:pt idx="48">
                  <c:v>3.5712090638488152</c:v>
                </c:pt>
                <c:pt idx="49">
                  <c:v>3.5379444375946747</c:v>
                </c:pt>
                <c:pt idx="50">
                  <c:v>3.5066169923655899</c:v>
                </c:pt>
                <c:pt idx="51">
                  <c:v>3.4771139155210342</c:v>
                </c:pt>
                <c:pt idx="52">
                  <c:v>3.4493289641172242</c:v>
                </c:pt>
                <c:pt idx="53">
                  <c:v>3.4231620823177513</c:v>
                </c:pt>
                <c:pt idx="54">
                  <c:v>3.3985190410845143</c:v>
                </c:pt>
                <c:pt idx="55">
                  <c:v>3.3753110988514017</c:v>
                </c:pt>
                <c:pt idx="56">
                  <c:v>3.3534546819587825</c:v>
                </c:pt>
                <c:pt idx="57">
                  <c:v>3.3328710836980817</c:v>
                </c:pt>
                <c:pt idx="58">
                  <c:v>3.3134861808826073</c:v>
                </c:pt>
                <c:pt idx="59">
                  <c:v>3.295230166924016</c:v>
                </c:pt>
                <c:pt idx="60">
                  <c:v>3.278037300453196</c:v>
                </c:pt>
                <c:pt idx="61">
                  <c:v>3.2618456685803277</c:v>
                </c:pt>
                <c:pt idx="62">
                  <c:v>3.2465969639416081</c:v>
                </c:pt>
                <c:pt idx="63">
                  <c:v>3.2322362747297602</c:v>
                </c:pt>
                <c:pt idx="64">
                  <c:v>3.218711886952216</c:v>
                </c:pt>
                <c:pt idx="65">
                  <c:v>3.2059750982048847</c:v>
                </c:pt>
                <c:pt idx="66">
                  <c:v>3.1939800422908933</c:v>
                </c:pt>
                <c:pt idx="67">
                  <c:v>3.1826835240527358</c:v>
                </c:pt>
                <c:pt idx="68">
                  <c:v>3.1720448638230518</c:v>
                </c:pt>
                <c:pt idx="69">
                  <c:v>3.1620257509338816</c:v>
                </c:pt>
                <c:pt idx="70">
                  <c:v>3.152590105756885</c:v>
                </c:pt>
                <c:pt idx="71">
                  <c:v>3.143703949777704</c:v>
                </c:pt>
                <c:pt idx="72">
                  <c:v>3.1353352832366137</c:v>
                </c:pt>
                <c:pt idx="73">
                  <c:v>3.1274539698948214</c:v>
                </c:pt>
                <c:pt idx="74">
                  <c:v>3.1200316285114575</c:v>
                </c:pt>
                <c:pt idx="75">
                  <c:v>3.1130415306404506</c:v>
                </c:pt>
                <c:pt idx="76">
                  <c:v>3.1064585043792534</c:v>
                </c:pt>
                <c:pt idx="77">
                  <c:v>3.1002588437228042</c:v>
                </c:pt>
                <c:pt idx="78">
                  <c:v>3.0944202231963027</c:v>
                </c:pt>
                <c:pt idx="79">
                  <c:v>3.0889216174593868</c:v>
                </c:pt>
                <c:pt idx="80">
                  <c:v>3.0837432255921966</c:v>
                </c:pt>
                <c:pt idx="81">
                  <c:v>3.0788663997906753</c:v>
                </c:pt>
                <c:pt idx="82">
                  <c:v>3.0742735782143344</c:v>
                </c:pt>
                <c:pt idx="83">
                  <c:v>3.0699482217446556</c:v>
                </c:pt>
                <c:pt idx="84">
                  <c:v>3.0658747544264031</c:v>
                </c:pt>
                <c:pt idx="85">
                  <c:v>3.0620385073773586</c:v>
                </c:pt>
                <c:pt idx="86">
                  <c:v>3.0584256659645011</c:v>
                </c:pt>
                <c:pt idx="87">
                  <c:v>3.0550232200564076</c:v>
                </c:pt>
                <c:pt idx="88">
                  <c:v>3.0518189171727261</c:v>
                </c:pt>
                <c:pt idx="89">
                  <c:v>3.0488012183620135</c:v>
                </c:pt>
                <c:pt idx="90">
                  <c:v>3.0459592566490445</c:v>
                </c:pt>
                <c:pt idx="91">
                  <c:v>3.0432827979019663</c:v>
                </c:pt>
                <c:pt idx="92">
                  <c:v>3.0407622039783666</c:v>
                </c:pt>
                <c:pt idx="93">
                  <c:v>3.0383883980175521</c:v>
                </c:pt>
                <c:pt idx="94">
                  <c:v>3.0361528317540465</c:v>
                </c:pt>
                <c:pt idx="95">
                  <c:v>3.0340474547345995</c:v>
                </c:pt>
                <c:pt idx="96">
                  <c:v>3.0320646853278608</c:v>
                </c:pt>
                <c:pt idx="97">
                  <c:v>3.0301973834223186</c:v>
                </c:pt>
                <c:pt idx="98">
                  <c:v>3.0284388247141845</c:v>
                </c:pt>
                <c:pt idx="99">
                  <c:v>3.0267826764926382</c:v>
                </c:pt>
                <c:pt idx="100">
                  <c:v>3.0252229748352271</c:v>
                </c:pt>
                <c:pt idx="101">
                  <c:v>3.0237541031313051</c:v>
                </c:pt>
                <c:pt idx="102">
                  <c:v>3.0223707718561656</c:v>
                </c:pt>
                <c:pt idx="103">
                  <c:v>3.0210679995230416</c:v>
                </c:pt>
                <c:pt idx="104">
                  <c:v>3.0198410947443701</c:v>
                </c:pt>
                <c:pt idx="105">
                  <c:v>3.0186856393377326</c:v>
                </c:pt>
                <c:pt idx="106">
                  <c:v>3.0175974724156234</c:v>
                </c:pt>
                <c:pt idx="107">
                  <c:v>3.0165726754017612</c:v>
                </c:pt>
                <c:pt idx="108">
                  <c:v>3.0156075579199828</c:v>
                </c:pt>
                <c:pt idx="109">
                  <c:v>3.014698644504902</c:v>
                </c:pt>
                <c:pt idx="110">
                  <c:v>3.0138426620864793</c:v>
                </c:pt>
                <c:pt idx="111">
                  <c:v>3.0130365282034379</c:v>
                </c:pt>
                <c:pt idx="112">
                  <c:v>3.0122773399030685</c:v>
                </c:pt>
                <c:pt idx="113">
                  <c:v>3.0115623632874686</c:v>
                </c:pt>
                <c:pt idx="114">
                  <c:v>3.0108890236685544</c:v>
                </c:pt>
                <c:pt idx="115">
                  <c:v>3.010254896296404</c:v>
                </c:pt>
                <c:pt idx="116">
                  <c:v>3.0096576976275378</c:v>
                </c:pt>
                <c:pt idx="117">
                  <c:v>3.0090952771016957</c:v>
                </c:pt>
                <c:pt idx="118">
                  <c:v>3.0085656093974982</c:v>
                </c:pt>
                <c:pt idx="119">
                  <c:v>3.0080667871390996</c:v>
                </c:pt>
                <c:pt idx="120">
                  <c:v>3.0075970140275774</c:v>
                </c:pt>
                <c:pt idx="121">
                  <c:v>3.0071545983723147</c:v>
                </c:pt>
                <c:pt idx="122">
                  <c:v>3.0067379469990856</c:v>
                </c:pt>
                <c:pt idx="123">
                  <c:v>3.0063455595129089</c:v>
                </c:pt>
                <c:pt idx="124">
                  <c:v>3.0059760228950059</c:v>
                </c:pt>
                <c:pt idx="125">
                  <c:v>3.0056280064144039</c:v>
                </c:pt>
                <c:pt idx="126">
                  <c:v>3.0053002568358704</c:v>
                </c:pt>
                <c:pt idx="127">
                  <c:v>3.0049915939069103</c:v>
                </c:pt>
                <c:pt idx="128">
                  <c:v>3.0047009061075833</c:v>
                </c:pt>
                <c:pt idx="129">
                  <c:v>3.0044271466478314</c:v>
                </c:pt>
                <c:pt idx="130">
                  <c:v>3.0041693296979042</c:v>
                </c:pt>
                <c:pt idx="131">
                  <c:v>3.0039265268383057</c:v>
                </c:pt>
                <c:pt idx="132">
                  <c:v>3.0036978637164831</c:v>
                </c:pt>
                <c:pt idx="133">
                  <c:v>3.0034825168982118</c:v>
                </c:pt>
                <c:pt idx="134">
                  <c:v>3.0032797109023437</c:v>
                </c:pt>
                <c:pt idx="135">
                  <c:v>3.0030887154082366</c:v>
                </c:pt>
                <c:pt idx="136">
                  <c:v>3.0029088426258124</c:v>
                </c:pt>
                <c:pt idx="137">
                  <c:v>3.0027394448187685</c:v>
                </c:pt>
                <c:pt idx="138">
                  <c:v>3.0025799119720271</c:v>
                </c:pt>
                <c:pt idx="139">
                  <c:v>3.0024296695950246</c:v>
                </c:pt>
                <c:pt idx="140">
                  <c:v>3.0022881766529221</c:v>
                </c:pt>
                <c:pt idx="141">
                  <c:v>3.0021549236182978</c:v>
                </c:pt>
                <c:pt idx="142">
                  <c:v>3.0020294306362958</c:v>
                </c:pt>
                <c:pt idx="143">
                  <c:v>3.0019112457966326</c:v>
                </c:pt>
                <c:pt idx="144">
                  <c:v>3.0017999435062306</c:v>
                </c:pt>
                <c:pt idx="145">
                  <c:v>3.0016951229566233</c:v>
                </c:pt>
                <c:pt idx="146">
                  <c:v>3.0015964066806124</c:v>
                </c:pt>
                <c:pt idx="147">
                  <c:v>3.0015034391929776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E6-3E4A-BFEE-C4F28EE3A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6521999"/>
        <c:axId val="1175910207"/>
      </c:lineChart>
      <c:catAx>
        <c:axId val="13365219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Projected Machine Footprint in m2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175910207"/>
        <c:crosses val="autoZero"/>
        <c:auto val="1"/>
        <c:lblAlgn val="ctr"/>
        <c:lblOffset val="100"/>
        <c:noMultiLvlLbl val="0"/>
      </c:catAx>
      <c:valAx>
        <c:axId val="1175910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Space Coefficient (dimensionless)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336521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234950</xdr:colOff>
      <xdr:row>10</xdr:row>
      <xdr:rowOff>88900</xdr:rowOff>
    </xdr:from>
    <xdr:to>
      <xdr:col>23</xdr:col>
      <xdr:colOff>482600</xdr:colOff>
      <xdr:row>44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889000</xdr:colOff>
      <xdr:row>23</xdr:row>
      <xdr:rowOff>101600</xdr:rowOff>
    </xdr:from>
    <xdr:to>
      <xdr:col>9</xdr:col>
      <xdr:colOff>266700</xdr:colOff>
      <xdr:row>45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927100</xdr:colOff>
      <xdr:row>47</xdr:row>
      <xdr:rowOff>63500</xdr:rowOff>
    </xdr:from>
    <xdr:to>
      <xdr:col>18</xdr:col>
      <xdr:colOff>647700</xdr:colOff>
      <xdr:row>91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663557</xdr:colOff>
      <xdr:row>33</xdr:row>
      <xdr:rowOff>44938</xdr:rowOff>
    </xdr:from>
    <xdr:to>
      <xdr:col>4</xdr:col>
      <xdr:colOff>824374</xdr:colOff>
      <xdr:row>46</xdr:row>
      <xdr:rowOff>150446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317875</xdr:colOff>
      <xdr:row>33</xdr:row>
      <xdr:rowOff>22394</xdr:rowOff>
    </xdr:from>
    <xdr:to>
      <xdr:col>10</xdr:col>
      <xdr:colOff>230704</xdr:colOff>
      <xdr:row>46</xdr:row>
      <xdr:rowOff>127902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603436</xdr:colOff>
      <xdr:row>33</xdr:row>
      <xdr:rowOff>29908</xdr:rowOff>
    </xdr:from>
    <xdr:to>
      <xdr:col>15</xdr:col>
      <xdr:colOff>628986</xdr:colOff>
      <xdr:row>46</xdr:row>
      <xdr:rowOff>135416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686102</xdr:colOff>
      <xdr:row>47</xdr:row>
      <xdr:rowOff>112570</xdr:rowOff>
    </xdr:from>
    <xdr:to>
      <xdr:col>5</xdr:col>
      <xdr:colOff>20291</xdr:colOff>
      <xdr:row>61</xdr:row>
      <xdr:rowOff>15179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652287</xdr:colOff>
      <xdr:row>61</xdr:row>
      <xdr:rowOff>142629</xdr:rowOff>
    </xdr:from>
    <xdr:to>
      <xdr:col>6</xdr:col>
      <xdr:colOff>127751</xdr:colOff>
      <xdr:row>79</xdr:row>
      <xdr:rowOff>202898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2</xdr:colOff>
      <xdr:row>36</xdr:row>
      <xdr:rowOff>0</xdr:rowOff>
    </xdr:from>
    <xdr:to>
      <xdr:col>82</xdr:col>
      <xdr:colOff>0</xdr:colOff>
      <xdr:row>51</xdr:row>
      <xdr:rowOff>380999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2</xdr:colOff>
      <xdr:row>36</xdr:row>
      <xdr:rowOff>12700</xdr:rowOff>
    </xdr:from>
    <xdr:to>
      <xdr:col>82</xdr:col>
      <xdr:colOff>0</xdr:colOff>
      <xdr:row>52</xdr:row>
      <xdr:rowOff>4232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850900</xdr:colOff>
      <xdr:row>12</xdr:row>
      <xdr:rowOff>165100</xdr:rowOff>
    </xdr:from>
    <xdr:to>
      <xdr:col>13</xdr:col>
      <xdr:colOff>266700</xdr:colOff>
      <xdr:row>44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352777</xdr:colOff>
      <xdr:row>2</xdr:row>
      <xdr:rowOff>28222</xdr:rowOff>
    </xdr:from>
    <xdr:to>
      <xdr:col>22</xdr:col>
      <xdr:colOff>479778</xdr:colOff>
      <xdr:row>40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254000</xdr:colOff>
          <xdr:row>1</xdr:row>
          <xdr:rowOff>12700</xdr:rowOff>
        </xdr:from>
        <xdr:to>
          <xdr:col>28</xdr:col>
          <xdr:colOff>431800</xdr:colOff>
          <xdr:row>2</xdr:row>
          <xdr:rowOff>177800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330200</xdr:colOff>
          <xdr:row>0</xdr:row>
          <xdr:rowOff>25400</xdr:rowOff>
        </xdr:from>
        <xdr:to>
          <xdr:col>10</xdr:col>
          <xdr:colOff>1524000</xdr:colOff>
          <xdr:row>2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WS &amp;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8</xdr:row>
      <xdr:rowOff>12700</xdr:rowOff>
    </xdr:from>
    <xdr:to>
      <xdr:col>17</xdr:col>
      <xdr:colOff>812800</xdr:colOff>
      <xdr:row>42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0</xdr:colOff>
          <xdr:row>3</xdr:row>
          <xdr:rowOff>88900</xdr:rowOff>
        </xdr:from>
        <xdr:to>
          <xdr:col>56</xdr:col>
          <xdr:colOff>685800</xdr:colOff>
          <xdr:row>5</xdr:row>
          <xdr:rowOff>63500</xdr:rowOff>
        </xdr:to>
        <xdr:sp macro="" textlink="">
          <xdr:nvSpPr>
            <xdr:cNvPr id="58369" name="Button 1" descr="Fill Ou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out matrices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685800</xdr:colOff>
      <xdr:row>59</xdr:row>
      <xdr:rowOff>12700</xdr:rowOff>
    </xdr:from>
    <xdr:to>
      <xdr:col>40</xdr:col>
      <xdr:colOff>656800</xdr:colOff>
      <xdr:row>68</xdr:row>
      <xdr:rowOff>59900</xdr:rowOff>
    </xdr:to>
    <xdr:sp macro="" textlink="">
      <xdr:nvSpPr>
        <xdr:cNvPr id="39" name="Inv">
          <a:extLst>
            <a:ext uri="{FF2B5EF4-FFF2-40B4-BE49-F238E27FC236}">
              <a16:creationId xmlns:a16="http://schemas.microsoft.com/office/drawing/2014/main" id="{00000000-0008-0000-1E00-000027000000}"/>
            </a:ext>
          </a:extLst>
        </xdr:cNvPr>
        <xdr:cNvSpPr/>
      </xdr:nvSpPr>
      <xdr:spPr>
        <a:xfrm>
          <a:off x="32054800" y="12319000"/>
          <a:ext cx="1622000" cy="1876000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Inv</a:t>
          </a:r>
        </a:p>
      </xdr:txBody>
    </xdr:sp>
    <xdr:clientData/>
  </xdr:twoCellAnchor>
  <xdr:twoCellAnchor>
    <xdr:from>
      <xdr:col>35</xdr:col>
      <xdr:colOff>609600</xdr:colOff>
      <xdr:row>59</xdr:row>
      <xdr:rowOff>12700</xdr:rowOff>
    </xdr:from>
    <xdr:to>
      <xdr:col>36</xdr:col>
      <xdr:colOff>686101</xdr:colOff>
      <xdr:row>64</xdr:row>
      <xdr:rowOff>152701</xdr:rowOff>
    </xdr:to>
    <xdr:sp macro="" textlink="">
      <xdr:nvSpPr>
        <xdr:cNvPr id="37" name="Temp">
          <a:extLst>
            <a:ext uri="{FF2B5EF4-FFF2-40B4-BE49-F238E27FC236}">
              <a16:creationId xmlns:a16="http://schemas.microsoft.com/office/drawing/2014/main" id="{00000000-0008-0000-1E00-000025000000}"/>
            </a:ext>
          </a:extLst>
        </xdr:cNvPr>
        <xdr:cNvSpPr/>
      </xdr:nvSpPr>
      <xdr:spPr>
        <a:xfrm>
          <a:off x="29502100" y="12319000"/>
          <a:ext cx="902001" cy="1156001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Temp</a:t>
          </a:r>
        </a:p>
      </xdr:txBody>
    </xdr:sp>
    <xdr:clientData/>
  </xdr:twoCellAnchor>
  <xdr:twoCellAnchor>
    <xdr:from>
      <xdr:col>29</xdr:col>
      <xdr:colOff>203200</xdr:colOff>
      <xdr:row>59</xdr:row>
      <xdr:rowOff>12700</xdr:rowOff>
    </xdr:from>
    <xdr:to>
      <xdr:col>33</xdr:col>
      <xdr:colOff>611200</xdr:colOff>
      <xdr:row>109</xdr:row>
      <xdr:rowOff>166700</xdr:rowOff>
    </xdr:to>
    <xdr:sp macro="" textlink="">
      <xdr:nvSpPr>
        <xdr:cNvPr id="35" name="Sawing">
          <a:extLst>
            <a:ext uri="{FF2B5EF4-FFF2-40B4-BE49-F238E27FC236}">
              <a16:creationId xmlns:a16="http://schemas.microsoft.com/office/drawing/2014/main" id="{00000000-0008-0000-1E00-000023000000}"/>
            </a:ext>
          </a:extLst>
        </xdr:cNvPr>
        <xdr:cNvSpPr/>
      </xdr:nvSpPr>
      <xdr:spPr>
        <a:xfrm>
          <a:off x="24142700" y="12319000"/>
          <a:ext cx="3710000" cy="10314000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Sawing</a:t>
          </a:r>
        </a:p>
      </xdr:txBody>
    </xdr:sp>
    <xdr:clientData/>
  </xdr:twoCellAnchor>
  <xdr:twoCellAnchor>
    <xdr:from>
      <xdr:col>24</xdr:col>
      <xdr:colOff>558800</xdr:colOff>
      <xdr:row>59</xdr:row>
      <xdr:rowOff>12700</xdr:rowOff>
    </xdr:from>
    <xdr:to>
      <xdr:col>27</xdr:col>
      <xdr:colOff>208300</xdr:colOff>
      <xdr:row>86</xdr:row>
      <xdr:rowOff>81300</xdr:rowOff>
    </xdr:to>
    <xdr:sp macro="" textlink="">
      <xdr:nvSpPr>
        <xdr:cNvPr id="31" name="Grinding">
          <a:extLst>
            <a:ext uri="{FF2B5EF4-FFF2-40B4-BE49-F238E27FC236}">
              <a16:creationId xmlns:a16="http://schemas.microsoft.com/office/drawing/2014/main" id="{00000000-0008-0000-1E00-00001F000000}"/>
            </a:ext>
          </a:extLst>
        </xdr:cNvPr>
        <xdr:cNvSpPr/>
      </xdr:nvSpPr>
      <xdr:spPr>
        <a:xfrm>
          <a:off x="20370800" y="12319000"/>
          <a:ext cx="2126000" cy="5555000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Grinding</a:t>
          </a:r>
        </a:p>
      </xdr:txBody>
    </xdr:sp>
    <xdr:clientData/>
  </xdr:twoCellAnchor>
  <xdr:twoCellAnchor>
    <xdr:from>
      <xdr:col>19</xdr:col>
      <xdr:colOff>762000</xdr:colOff>
      <xdr:row>59</xdr:row>
      <xdr:rowOff>12700</xdr:rowOff>
    </xdr:from>
    <xdr:to>
      <xdr:col>22</xdr:col>
      <xdr:colOff>555501</xdr:colOff>
      <xdr:row>112</xdr:row>
      <xdr:rowOff>140100</xdr:rowOff>
    </xdr:to>
    <xdr:sp macro="" textlink="">
      <xdr:nvSpPr>
        <xdr:cNvPr id="28" name="Drilling"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16446500" y="12319000"/>
          <a:ext cx="2270001" cy="10897000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Drilling</a:t>
          </a:r>
        </a:p>
      </xdr:txBody>
    </xdr:sp>
    <xdr:clientData/>
  </xdr:twoCellAnchor>
  <xdr:twoCellAnchor>
    <xdr:from>
      <xdr:col>14</xdr:col>
      <xdr:colOff>609600</xdr:colOff>
      <xdr:row>59</xdr:row>
      <xdr:rowOff>12700</xdr:rowOff>
    </xdr:from>
    <xdr:to>
      <xdr:col>17</xdr:col>
      <xdr:colOff>763101</xdr:colOff>
      <xdr:row>180</xdr:row>
      <xdr:rowOff>102499</xdr:rowOff>
    </xdr:to>
    <xdr:sp macro="" textlink="">
      <xdr:nvSpPr>
        <xdr:cNvPr id="23" name="Milling">
          <a:extLst>
            <a:ext uri="{FF2B5EF4-FFF2-40B4-BE49-F238E27FC236}">
              <a16:creationId xmlns:a16="http://schemas.microsoft.com/office/drawing/2014/main" id="{00000000-0008-0000-1E00-000017000000}"/>
            </a:ext>
          </a:extLst>
        </xdr:cNvPr>
        <xdr:cNvSpPr/>
      </xdr:nvSpPr>
      <xdr:spPr>
        <a:xfrm>
          <a:off x="12166600" y="12319000"/>
          <a:ext cx="2630001" cy="24676999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Milling</a:t>
          </a:r>
        </a:p>
      </xdr:txBody>
    </xdr:sp>
    <xdr:clientData/>
  </xdr:twoCellAnchor>
  <xdr:twoCellAnchor>
    <xdr:from>
      <xdr:col>10</xdr:col>
      <xdr:colOff>139700</xdr:colOff>
      <xdr:row>59</xdr:row>
      <xdr:rowOff>12700</xdr:rowOff>
    </xdr:from>
    <xdr:to>
      <xdr:col>12</xdr:col>
      <xdr:colOff>614700</xdr:colOff>
      <xdr:row>102</xdr:row>
      <xdr:rowOff>5100</xdr:rowOff>
    </xdr:to>
    <xdr:sp macro="" textlink="">
      <xdr:nvSpPr>
        <xdr:cNvPr id="14" name="Turning">
          <a:extLst>
            <a:ext uri="{FF2B5EF4-FFF2-40B4-BE49-F238E27FC236}">
              <a16:creationId xmlns:a16="http://schemas.microsoft.com/office/drawing/2014/main" id="{00000000-0008-0000-1E00-00000E000000}"/>
            </a:ext>
          </a:extLst>
        </xdr:cNvPr>
        <xdr:cNvSpPr/>
      </xdr:nvSpPr>
      <xdr:spPr>
        <a:xfrm>
          <a:off x="8394700" y="12319000"/>
          <a:ext cx="2126000" cy="8730000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Turning</a:t>
          </a:r>
        </a:p>
      </xdr:txBody>
    </xdr:sp>
    <xdr:clientData/>
  </xdr:twoCellAnchor>
  <xdr:twoCellAnchor>
    <xdr:from>
      <xdr:col>6</xdr:col>
      <xdr:colOff>101600</xdr:colOff>
      <xdr:row>59</xdr:row>
      <xdr:rowOff>12700</xdr:rowOff>
    </xdr:from>
    <xdr:to>
      <xdr:col>8</xdr:col>
      <xdr:colOff>144600</xdr:colOff>
      <xdr:row>99</xdr:row>
      <xdr:rowOff>182700</xdr:rowOff>
    </xdr:to>
    <xdr:sp macro="" textlink="">
      <xdr:nvSpPr>
        <xdr:cNvPr id="10" name="Sawing">
          <a:extLst>
            <a:ext uri="{FF2B5EF4-FFF2-40B4-BE49-F238E27FC236}">
              <a16:creationId xmlns:a16="http://schemas.microsoft.com/office/drawing/2014/main" id="{00000000-0008-0000-1E00-00000A000000}"/>
            </a:ext>
          </a:extLst>
        </xdr:cNvPr>
        <xdr:cNvSpPr/>
      </xdr:nvSpPr>
      <xdr:spPr>
        <a:xfrm>
          <a:off x="5054600" y="12319000"/>
          <a:ext cx="1694000" cy="8298000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Sawing</a:t>
          </a:r>
        </a:p>
      </xdr:txBody>
    </xdr:sp>
    <xdr:clientData/>
  </xdr:twoCellAnchor>
  <xdr:twoCellAnchor>
    <xdr:from>
      <xdr:col>2</xdr:col>
      <xdr:colOff>127000</xdr:colOff>
      <xdr:row>59</xdr:row>
      <xdr:rowOff>12700</xdr:rowOff>
    </xdr:from>
    <xdr:to>
      <xdr:col>4</xdr:col>
      <xdr:colOff>98000</xdr:colOff>
      <xdr:row>68</xdr:row>
      <xdr:rowOff>59900</xdr:rowOff>
    </xdr:to>
    <xdr:sp macro="" textlink="">
      <xdr:nvSpPr>
        <xdr:cNvPr id="6" name="Inv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1778000" y="12319000"/>
          <a:ext cx="1622000" cy="1876000"/>
        </a:xfrm>
        <a:prstGeom prst="rect">
          <a:avLst/>
        </a:prstGeom>
        <a:solidFill>
          <a:srgbClr val="E3D6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</a:rPr>
            <a:t>Inv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88</xdr:col>
          <xdr:colOff>38100</xdr:colOff>
          <xdr:row>4</xdr:row>
          <xdr:rowOff>12700</xdr:rowOff>
        </xdr:from>
        <xdr:to>
          <xdr:col>89</xdr:col>
          <xdr:colOff>736600</xdr:colOff>
          <xdr:row>5</xdr:row>
          <xdr:rowOff>165100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1E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87</xdr:col>
          <xdr:colOff>812800</xdr:colOff>
          <xdr:row>7</xdr:row>
          <xdr:rowOff>127000</xdr:rowOff>
        </xdr:from>
        <xdr:to>
          <xdr:col>89</xdr:col>
          <xdr:colOff>685800</xdr:colOff>
          <xdr:row>9</xdr:row>
          <xdr:rowOff>101600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1E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54</xdr:col>
          <xdr:colOff>558800</xdr:colOff>
          <xdr:row>6</xdr:row>
          <xdr:rowOff>152400</xdr:rowOff>
        </xdr:from>
        <xdr:to>
          <xdr:col>56</xdr:col>
          <xdr:colOff>431800</xdr:colOff>
          <xdr:row>8</xdr:row>
          <xdr:rowOff>101600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1E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 Matrix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796500</xdr:colOff>
      <xdr:row>63</xdr:row>
      <xdr:rowOff>120901</xdr:rowOff>
    </xdr:from>
    <xdr:to>
      <xdr:col>6</xdr:col>
      <xdr:colOff>228600</xdr:colOff>
      <xdr:row>64</xdr:row>
      <xdr:rowOff>61700</xdr:rowOff>
    </xdr:to>
    <xdr:cxnSp macro="">
      <xdr:nvCxnSpPr>
        <xdr:cNvPr id="40" name="Curved Connector 39">
          <a:extLst>
            <a:ext uri="{FF2B5EF4-FFF2-40B4-BE49-F238E27FC236}">
              <a16:creationId xmlns:a16="http://schemas.microsoft.com/office/drawing/2014/main" id="{00000000-0008-0000-1E00-000028000000}"/>
            </a:ext>
          </a:extLst>
        </xdr:cNvPr>
        <xdr:cNvCxnSpPr>
          <a:stCxn id="5" idx="3"/>
          <a:endCxn id="7" idx="1"/>
        </xdr:cNvCxnSpPr>
      </xdr:nvCxnSpPr>
      <xdr:spPr>
        <a:xfrm flipV="1">
          <a:off x="3273000" y="13240001"/>
          <a:ext cx="1908600" cy="143999"/>
        </a:xfrm>
        <a:prstGeom prst="curvedConnector3">
          <a:avLst>
            <a:gd name="adj1" fmla="val 50000"/>
          </a:avLst>
        </a:prstGeom>
        <a:ln w="270510">
          <a:solidFill>
            <a:srgbClr val="B4889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796500</xdr:colOff>
      <xdr:row>64</xdr:row>
      <xdr:rowOff>61700</xdr:rowOff>
    </xdr:from>
    <xdr:to>
      <xdr:col>6</xdr:col>
      <xdr:colOff>228600</xdr:colOff>
      <xdr:row>78</xdr:row>
      <xdr:rowOff>103900</xdr:rowOff>
    </xdr:to>
    <xdr:cxnSp macro="">
      <xdr:nvCxnSpPr>
        <xdr:cNvPr id="41" name="Curved Connector 40">
          <a:extLst>
            <a:ext uri="{FF2B5EF4-FFF2-40B4-BE49-F238E27FC236}">
              <a16:creationId xmlns:a16="http://schemas.microsoft.com/office/drawing/2014/main" id="{00000000-0008-0000-1E00-000029000000}"/>
            </a:ext>
          </a:extLst>
        </xdr:cNvPr>
        <xdr:cNvCxnSpPr>
          <a:stCxn id="5" idx="3"/>
          <a:endCxn id="8" idx="1"/>
        </xdr:cNvCxnSpPr>
      </xdr:nvCxnSpPr>
      <xdr:spPr>
        <a:xfrm>
          <a:off x="3273000" y="13384000"/>
          <a:ext cx="1908600" cy="2887000"/>
        </a:xfrm>
        <a:prstGeom prst="curvedConnector3">
          <a:avLst>
            <a:gd name="adj1" fmla="val 50000"/>
          </a:avLst>
        </a:prstGeom>
        <a:ln w="113030">
          <a:solidFill>
            <a:srgbClr val="B4889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796500</xdr:colOff>
      <xdr:row>64</xdr:row>
      <xdr:rowOff>61700</xdr:rowOff>
    </xdr:from>
    <xdr:to>
      <xdr:col>6</xdr:col>
      <xdr:colOff>228600</xdr:colOff>
      <xdr:row>95</xdr:row>
      <xdr:rowOff>148500</xdr:rowOff>
    </xdr:to>
    <xdr:cxnSp macro="">
      <xdr:nvCxnSpPr>
        <xdr:cNvPr id="42" name="Curved Connector 41">
          <a:extLst>
            <a:ext uri="{FF2B5EF4-FFF2-40B4-BE49-F238E27FC236}">
              <a16:creationId xmlns:a16="http://schemas.microsoft.com/office/drawing/2014/main" id="{00000000-0008-0000-1E00-00002A000000}"/>
            </a:ext>
          </a:extLst>
        </xdr:cNvPr>
        <xdr:cNvCxnSpPr>
          <a:stCxn id="5" idx="3"/>
          <a:endCxn id="9" idx="1"/>
        </xdr:cNvCxnSpPr>
      </xdr:nvCxnSpPr>
      <xdr:spPr>
        <a:xfrm>
          <a:off x="3273000" y="13384000"/>
          <a:ext cx="1908600" cy="6386000"/>
        </a:xfrm>
        <a:prstGeom prst="curvedConnector3">
          <a:avLst>
            <a:gd name="adj1" fmla="val 50000"/>
          </a:avLst>
        </a:prstGeom>
        <a:ln w="368300">
          <a:solidFill>
            <a:srgbClr val="B48894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483100</xdr:colOff>
      <xdr:row>63</xdr:row>
      <xdr:rowOff>120901</xdr:rowOff>
    </xdr:from>
    <xdr:to>
      <xdr:col>14</xdr:col>
      <xdr:colOff>692039</xdr:colOff>
      <xdr:row>66</xdr:row>
      <xdr:rowOff>127663</xdr:rowOff>
    </xdr:to>
    <xdr:cxnSp macro="">
      <xdr:nvCxnSpPr>
        <xdr:cNvPr id="43" name="Curved Connector 42">
          <a:extLst>
            <a:ext uri="{FF2B5EF4-FFF2-40B4-BE49-F238E27FC236}">
              <a16:creationId xmlns:a16="http://schemas.microsoft.com/office/drawing/2014/main" id="{00000000-0008-0000-1E00-00002B000000}"/>
            </a:ext>
          </a:extLst>
        </xdr:cNvPr>
        <xdr:cNvCxnSpPr>
          <a:stCxn id="7" idx="3"/>
          <a:endCxn id="16" idx="1"/>
        </xdr:cNvCxnSpPr>
      </xdr:nvCxnSpPr>
      <xdr:spPr>
        <a:xfrm>
          <a:off x="6253802" y="13177392"/>
          <a:ext cx="5979641" cy="608341"/>
        </a:xfrm>
        <a:prstGeom prst="curvedConnector3">
          <a:avLst>
            <a:gd name="adj1" fmla="val 50000"/>
          </a:avLst>
        </a:prstGeom>
        <a:ln w="270510">
          <a:solidFill>
            <a:srgbClr val="4A4DC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195100</xdr:colOff>
      <xdr:row>78</xdr:row>
      <xdr:rowOff>103900</xdr:rowOff>
    </xdr:from>
    <xdr:to>
      <xdr:col>10</xdr:col>
      <xdr:colOff>266700</xdr:colOff>
      <xdr:row>96</xdr:row>
      <xdr:rowOff>161300</xdr:rowOff>
    </xdr:to>
    <xdr:cxnSp macro="">
      <xdr:nvCxnSpPr>
        <xdr:cNvPr id="44" name="Curved Connector 43">
          <a:extLst>
            <a:ext uri="{FF2B5EF4-FFF2-40B4-BE49-F238E27FC236}">
              <a16:creationId xmlns:a16="http://schemas.microsoft.com/office/drawing/2014/main" id="{00000000-0008-0000-1E00-00002C000000}"/>
            </a:ext>
          </a:extLst>
        </xdr:cNvPr>
        <xdr:cNvCxnSpPr>
          <a:stCxn id="8" idx="3"/>
          <a:endCxn id="13" idx="1"/>
        </xdr:cNvCxnSpPr>
      </xdr:nvCxnSpPr>
      <xdr:spPr>
        <a:xfrm>
          <a:off x="5973600" y="16271000"/>
          <a:ext cx="2548100" cy="3715000"/>
        </a:xfrm>
        <a:prstGeom prst="curvedConnector3">
          <a:avLst>
            <a:gd name="adj1" fmla="val 50000"/>
          </a:avLst>
        </a:prstGeom>
        <a:ln w="113030">
          <a:solidFill>
            <a:srgbClr val="4A4DC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17600</xdr:colOff>
      <xdr:row>95</xdr:row>
      <xdr:rowOff>147164</xdr:rowOff>
    </xdr:from>
    <xdr:to>
      <xdr:col>10</xdr:col>
      <xdr:colOff>422664</xdr:colOff>
      <xdr:row>107</xdr:row>
      <xdr:rowOff>115241</xdr:rowOff>
    </xdr:to>
    <xdr:cxnSp macro="">
      <xdr:nvCxnSpPr>
        <xdr:cNvPr id="45" name="Curved Connector 44">
          <a:extLst>
            <a:ext uri="{FF2B5EF4-FFF2-40B4-BE49-F238E27FC236}">
              <a16:creationId xmlns:a16="http://schemas.microsoft.com/office/drawing/2014/main" id="{00000000-0008-0000-1E00-00002D000000}"/>
            </a:ext>
          </a:extLst>
        </xdr:cNvPr>
        <xdr:cNvCxnSpPr>
          <a:stCxn id="9" idx="3"/>
          <a:endCxn id="11" idx="1"/>
        </xdr:cNvCxnSpPr>
      </xdr:nvCxnSpPr>
      <xdr:spPr>
        <a:xfrm>
          <a:off x="6612688" y="19620497"/>
          <a:ext cx="2053836" cy="2374393"/>
        </a:xfrm>
        <a:prstGeom prst="curvedConnector3">
          <a:avLst>
            <a:gd name="adj1" fmla="val 50000"/>
          </a:avLst>
        </a:prstGeom>
        <a:ln w="191770">
          <a:solidFill>
            <a:srgbClr val="4A4DC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17600</xdr:colOff>
      <xdr:row>95</xdr:row>
      <xdr:rowOff>147164</xdr:rowOff>
    </xdr:from>
    <xdr:to>
      <xdr:col>10</xdr:col>
      <xdr:colOff>444945</xdr:colOff>
      <xdr:row>116</xdr:row>
      <xdr:rowOff>170742</xdr:rowOff>
    </xdr:to>
    <xdr:cxnSp macro="">
      <xdr:nvCxnSpPr>
        <xdr:cNvPr id="46" name="Curved Connector 45">
          <a:extLst>
            <a:ext uri="{FF2B5EF4-FFF2-40B4-BE49-F238E27FC236}">
              <a16:creationId xmlns:a16="http://schemas.microsoft.com/office/drawing/2014/main" id="{00000000-0008-0000-1E00-00002E000000}"/>
            </a:ext>
          </a:extLst>
        </xdr:cNvPr>
        <xdr:cNvCxnSpPr>
          <a:stCxn id="9" idx="3"/>
          <a:endCxn id="12" idx="1"/>
        </xdr:cNvCxnSpPr>
      </xdr:nvCxnSpPr>
      <xdr:spPr>
        <a:xfrm>
          <a:off x="6612688" y="19620497"/>
          <a:ext cx="2076117" cy="4234631"/>
        </a:xfrm>
        <a:prstGeom prst="curvedConnector3">
          <a:avLst>
            <a:gd name="adj1" fmla="val 50000"/>
          </a:avLst>
        </a:prstGeom>
        <a:ln w="90170">
          <a:solidFill>
            <a:srgbClr val="4A4DC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17600</xdr:colOff>
      <xdr:row>95</xdr:row>
      <xdr:rowOff>148500</xdr:rowOff>
    </xdr:from>
    <xdr:to>
      <xdr:col>10</xdr:col>
      <xdr:colOff>266700</xdr:colOff>
      <xdr:row>96</xdr:row>
      <xdr:rowOff>161300</xdr:rowOff>
    </xdr:to>
    <xdr:cxnSp macro="">
      <xdr:nvCxnSpPr>
        <xdr:cNvPr id="47" name="Curved Connector 46">
          <a:extLst>
            <a:ext uri="{FF2B5EF4-FFF2-40B4-BE49-F238E27FC236}">
              <a16:creationId xmlns:a16="http://schemas.microsoft.com/office/drawing/2014/main" id="{00000000-0008-0000-1E00-00002F000000}"/>
            </a:ext>
          </a:extLst>
        </xdr:cNvPr>
        <xdr:cNvCxnSpPr>
          <a:stCxn id="9" idx="3"/>
          <a:endCxn id="13" idx="1"/>
        </xdr:cNvCxnSpPr>
      </xdr:nvCxnSpPr>
      <xdr:spPr>
        <a:xfrm>
          <a:off x="6621600" y="19770000"/>
          <a:ext cx="1900100" cy="216000"/>
        </a:xfrm>
        <a:prstGeom prst="curvedConnector3">
          <a:avLst>
            <a:gd name="adj1" fmla="val 50000"/>
          </a:avLst>
        </a:prstGeom>
        <a:ln w="87630">
          <a:solidFill>
            <a:srgbClr val="4A4DC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427664</xdr:colOff>
      <xdr:row>107</xdr:row>
      <xdr:rowOff>115241</xdr:rowOff>
    </xdr:from>
    <xdr:to>
      <xdr:col>14</xdr:col>
      <xdr:colOff>736600</xdr:colOff>
      <xdr:row>112</xdr:row>
      <xdr:rowOff>50437</xdr:rowOff>
    </xdr:to>
    <xdr:cxnSp macro="">
      <xdr:nvCxnSpPr>
        <xdr:cNvPr id="48" name="Curved Connector 47">
          <a:extLst>
            <a:ext uri="{FF2B5EF4-FFF2-40B4-BE49-F238E27FC236}">
              <a16:creationId xmlns:a16="http://schemas.microsoft.com/office/drawing/2014/main" id="{00000000-0008-0000-1E00-000030000000}"/>
            </a:ext>
          </a:extLst>
        </xdr:cNvPr>
        <xdr:cNvCxnSpPr>
          <a:stCxn id="11" idx="3"/>
          <a:endCxn id="18" idx="1"/>
        </xdr:cNvCxnSpPr>
      </xdr:nvCxnSpPr>
      <xdr:spPr>
        <a:xfrm>
          <a:off x="10320296" y="21994890"/>
          <a:ext cx="1957708" cy="937828"/>
        </a:xfrm>
        <a:prstGeom prst="curvedConnector3">
          <a:avLst>
            <a:gd name="adj1" fmla="val 50000"/>
          </a:avLst>
        </a:prstGeom>
        <a:ln w="191770">
          <a:solidFill>
            <a:srgbClr val="03C2D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411445</xdr:colOff>
      <xdr:row>116</xdr:row>
      <xdr:rowOff>170742</xdr:rowOff>
    </xdr:from>
    <xdr:to>
      <xdr:col>15</xdr:col>
      <xdr:colOff>90461</xdr:colOff>
      <xdr:row>121</xdr:row>
      <xdr:rowOff>36516</xdr:rowOff>
    </xdr:to>
    <xdr:cxnSp macro="">
      <xdr:nvCxnSpPr>
        <xdr:cNvPr id="49" name="Curved Connector 48">
          <a:extLst>
            <a:ext uri="{FF2B5EF4-FFF2-40B4-BE49-F238E27FC236}">
              <a16:creationId xmlns:a16="http://schemas.microsoft.com/office/drawing/2014/main" id="{00000000-0008-0000-1E00-000031000000}"/>
            </a:ext>
          </a:extLst>
        </xdr:cNvPr>
        <xdr:cNvCxnSpPr>
          <a:stCxn id="12" idx="3"/>
          <a:endCxn id="15" idx="1"/>
        </xdr:cNvCxnSpPr>
      </xdr:nvCxnSpPr>
      <xdr:spPr>
        <a:xfrm>
          <a:off x="9479691" y="23855128"/>
          <a:ext cx="2976559" cy="868406"/>
        </a:xfrm>
        <a:prstGeom prst="curvedConnector3">
          <a:avLst>
            <a:gd name="adj1" fmla="val 50000"/>
          </a:avLst>
        </a:prstGeom>
        <a:ln w="90170">
          <a:solidFill>
            <a:srgbClr val="03C2D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487700</xdr:colOff>
      <xdr:row>94</xdr:row>
      <xdr:rowOff>135700</xdr:rowOff>
    </xdr:from>
    <xdr:to>
      <xdr:col>14</xdr:col>
      <xdr:colOff>736600</xdr:colOff>
      <xdr:row>96</xdr:row>
      <xdr:rowOff>161300</xdr:rowOff>
    </xdr:to>
    <xdr:cxnSp macro="">
      <xdr:nvCxnSpPr>
        <xdr:cNvPr id="50" name="Curved Connector 49">
          <a:extLst>
            <a:ext uri="{FF2B5EF4-FFF2-40B4-BE49-F238E27FC236}">
              <a16:creationId xmlns:a16="http://schemas.microsoft.com/office/drawing/2014/main" id="{00000000-0008-0000-1E00-000032000000}"/>
            </a:ext>
          </a:extLst>
        </xdr:cNvPr>
        <xdr:cNvCxnSpPr>
          <a:stCxn id="13" idx="3"/>
          <a:endCxn id="17" idx="1"/>
        </xdr:cNvCxnSpPr>
      </xdr:nvCxnSpPr>
      <xdr:spPr>
        <a:xfrm flipV="1">
          <a:off x="10393700" y="19554000"/>
          <a:ext cx="1899900" cy="432000"/>
        </a:xfrm>
        <a:prstGeom prst="curvedConnector3">
          <a:avLst>
            <a:gd name="adj1" fmla="val 50000"/>
          </a:avLst>
        </a:prstGeom>
        <a:ln w="87630">
          <a:solidFill>
            <a:srgbClr val="03C2D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487700</xdr:colOff>
      <xdr:row>96</xdr:row>
      <xdr:rowOff>161300</xdr:rowOff>
    </xdr:from>
    <xdr:to>
      <xdr:col>14</xdr:col>
      <xdr:colOff>736600</xdr:colOff>
      <xdr:row>142</xdr:row>
      <xdr:rowOff>159101</xdr:rowOff>
    </xdr:to>
    <xdr:cxnSp macro="">
      <xdr:nvCxnSpPr>
        <xdr:cNvPr id="51" name="Curved Connector 50">
          <a:extLst>
            <a:ext uri="{FF2B5EF4-FFF2-40B4-BE49-F238E27FC236}">
              <a16:creationId xmlns:a16="http://schemas.microsoft.com/office/drawing/2014/main" id="{00000000-0008-0000-1E00-000033000000}"/>
            </a:ext>
          </a:extLst>
        </xdr:cNvPr>
        <xdr:cNvCxnSpPr>
          <a:stCxn id="13" idx="3"/>
          <a:endCxn id="20" idx="1"/>
        </xdr:cNvCxnSpPr>
      </xdr:nvCxnSpPr>
      <xdr:spPr>
        <a:xfrm>
          <a:off x="10393700" y="19986000"/>
          <a:ext cx="1899900" cy="9345001"/>
        </a:xfrm>
        <a:prstGeom prst="curvedConnector3">
          <a:avLst>
            <a:gd name="adj1" fmla="val 50000"/>
          </a:avLst>
        </a:prstGeom>
        <a:ln w="113030">
          <a:solidFill>
            <a:srgbClr val="03C2D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736600</xdr:colOff>
      <xdr:row>121</xdr:row>
      <xdr:rowOff>36516</xdr:rowOff>
    </xdr:from>
    <xdr:to>
      <xdr:col>16</xdr:col>
      <xdr:colOff>128960</xdr:colOff>
      <xdr:row>157</xdr:row>
      <xdr:rowOff>70100</xdr:rowOff>
    </xdr:to>
    <xdr:cxnSp macro="">
      <xdr:nvCxnSpPr>
        <xdr:cNvPr id="52" name="Curved Connector 51">
          <a:extLst>
            <a:ext uri="{FF2B5EF4-FFF2-40B4-BE49-F238E27FC236}">
              <a16:creationId xmlns:a16="http://schemas.microsoft.com/office/drawing/2014/main" id="{00000000-0008-0000-1E00-000034000000}"/>
            </a:ext>
          </a:extLst>
        </xdr:cNvPr>
        <xdr:cNvCxnSpPr>
          <a:stCxn id="15" idx="3"/>
          <a:endCxn id="21" idx="1"/>
        </xdr:cNvCxnSpPr>
      </xdr:nvCxnSpPr>
      <xdr:spPr>
        <a:xfrm flipH="1">
          <a:off x="12278004" y="24723534"/>
          <a:ext cx="1041131" cy="7252531"/>
        </a:xfrm>
        <a:prstGeom prst="curvedConnector5">
          <a:avLst>
            <a:gd name="adj1" fmla="val -21957"/>
            <a:gd name="adj2" fmla="val 49265"/>
            <a:gd name="adj3" fmla="val 121957"/>
          </a:avLst>
        </a:prstGeom>
        <a:ln w="90170">
          <a:solidFill>
            <a:srgbClr val="B50B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591540</xdr:colOff>
      <xdr:row>65</xdr:row>
      <xdr:rowOff>182500</xdr:rowOff>
    </xdr:from>
    <xdr:to>
      <xdr:col>20</xdr:col>
      <xdr:colOff>63500</xdr:colOff>
      <xdr:row>66</xdr:row>
      <xdr:rowOff>127663</xdr:rowOff>
    </xdr:to>
    <xdr:cxnSp macro="">
      <xdr:nvCxnSpPr>
        <xdr:cNvPr id="53" name="Curved Connector 52">
          <a:extLst>
            <a:ext uri="{FF2B5EF4-FFF2-40B4-BE49-F238E27FC236}">
              <a16:creationId xmlns:a16="http://schemas.microsoft.com/office/drawing/2014/main" id="{00000000-0008-0000-1E00-000035000000}"/>
            </a:ext>
          </a:extLst>
        </xdr:cNvPr>
        <xdr:cNvCxnSpPr>
          <a:stCxn id="16" idx="3"/>
          <a:endCxn id="24" idx="1"/>
        </xdr:cNvCxnSpPr>
      </xdr:nvCxnSpPr>
      <xdr:spPr>
        <a:xfrm flipV="1">
          <a:off x="14606101" y="13640044"/>
          <a:ext cx="1945118" cy="145689"/>
        </a:xfrm>
        <a:prstGeom prst="curvedConnector3">
          <a:avLst>
            <a:gd name="adj1" fmla="val 50000"/>
          </a:avLst>
        </a:prstGeom>
        <a:ln w="270510">
          <a:solidFill>
            <a:srgbClr val="B50B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736600</xdr:colOff>
      <xdr:row>94</xdr:row>
      <xdr:rowOff>135700</xdr:rowOff>
    </xdr:from>
    <xdr:to>
      <xdr:col>16</xdr:col>
      <xdr:colOff>93600</xdr:colOff>
      <xdr:row>127</xdr:row>
      <xdr:rowOff>104101</xdr:rowOff>
    </xdr:to>
    <xdr:cxnSp macro="">
      <xdr:nvCxnSpPr>
        <xdr:cNvPr id="54" name="Curved Connector 53">
          <a:extLst>
            <a:ext uri="{FF2B5EF4-FFF2-40B4-BE49-F238E27FC236}">
              <a16:creationId xmlns:a16="http://schemas.microsoft.com/office/drawing/2014/main" id="{00000000-0008-0000-1E00-000036000000}"/>
            </a:ext>
          </a:extLst>
        </xdr:cNvPr>
        <xdr:cNvCxnSpPr>
          <a:stCxn id="17" idx="3"/>
          <a:endCxn id="19" idx="1"/>
        </xdr:cNvCxnSpPr>
      </xdr:nvCxnSpPr>
      <xdr:spPr>
        <a:xfrm flipH="1">
          <a:off x="12293600" y="19554000"/>
          <a:ext cx="1008000" cy="6674001"/>
        </a:xfrm>
        <a:prstGeom prst="curvedConnector5">
          <a:avLst>
            <a:gd name="adj1" fmla="val -22679"/>
            <a:gd name="adj2" fmla="val 47573"/>
            <a:gd name="adj3" fmla="val 122679"/>
          </a:avLst>
        </a:prstGeom>
        <a:ln w="87630">
          <a:solidFill>
            <a:srgbClr val="B50B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736600</xdr:colOff>
      <xdr:row>112</xdr:row>
      <xdr:rowOff>49100</xdr:rowOff>
    </xdr:from>
    <xdr:to>
      <xdr:col>17</xdr:col>
      <xdr:colOff>60100</xdr:colOff>
      <xdr:row>175</xdr:row>
      <xdr:rowOff>19500</xdr:rowOff>
    </xdr:to>
    <xdr:cxnSp macro="">
      <xdr:nvCxnSpPr>
        <xdr:cNvPr id="55" name="Curved Connector 54">
          <a:extLst>
            <a:ext uri="{FF2B5EF4-FFF2-40B4-BE49-F238E27FC236}">
              <a16:creationId xmlns:a16="http://schemas.microsoft.com/office/drawing/2014/main" id="{00000000-0008-0000-1E00-000037000000}"/>
            </a:ext>
          </a:extLst>
        </xdr:cNvPr>
        <xdr:cNvCxnSpPr>
          <a:stCxn id="18" idx="3"/>
          <a:endCxn id="22" idx="1"/>
        </xdr:cNvCxnSpPr>
      </xdr:nvCxnSpPr>
      <xdr:spPr>
        <a:xfrm flipH="1">
          <a:off x="12293600" y="23125000"/>
          <a:ext cx="1800000" cy="12772000"/>
        </a:xfrm>
        <a:prstGeom prst="curvedConnector5">
          <a:avLst>
            <a:gd name="adj1" fmla="val -12700"/>
            <a:gd name="adj2" fmla="val 49718"/>
            <a:gd name="adj3" fmla="val 112700"/>
          </a:avLst>
        </a:prstGeom>
        <a:ln w="191770">
          <a:solidFill>
            <a:srgbClr val="B50B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741600</xdr:colOff>
      <xdr:row>78</xdr:row>
      <xdr:rowOff>67900</xdr:rowOff>
    </xdr:from>
    <xdr:to>
      <xdr:col>20</xdr:col>
      <xdr:colOff>63500</xdr:colOff>
      <xdr:row>127</xdr:row>
      <xdr:rowOff>104101</xdr:rowOff>
    </xdr:to>
    <xdr:cxnSp macro="">
      <xdr:nvCxnSpPr>
        <xdr:cNvPr id="56" name="Curved Connector 55">
          <a:extLst>
            <a:ext uri="{FF2B5EF4-FFF2-40B4-BE49-F238E27FC236}">
              <a16:creationId xmlns:a16="http://schemas.microsoft.com/office/drawing/2014/main" id="{00000000-0008-0000-1E00-000038000000}"/>
            </a:ext>
          </a:extLst>
        </xdr:cNvPr>
        <xdr:cNvCxnSpPr>
          <a:stCxn id="19" idx="3"/>
          <a:endCxn id="25" idx="1"/>
        </xdr:cNvCxnSpPr>
      </xdr:nvCxnSpPr>
      <xdr:spPr>
        <a:xfrm flipV="1">
          <a:off x="13949600" y="16235000"/>
          <a:ext cx="2623900" cy="9993001"/>
        </a:xfrm>
        <a:prstGeom prst="curvedConnector3">
          <a:avLst>
            <a:gd name="adj1" fmla="val 50000"/>
          </a:avLst>
        </a:prstGeom>
        <a:ln w="87630">
          <a:solidFill>
            <a:srgbClr val="B50B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597601</xdr:colOff>
      <xdr:row>96</xdr:row>
      <xdr:rowOff>17300</xdr:rowOff>
    </xdr:from>
    <xdr:to>
      <xdr:col>20</xdr:col>
      <xdr:colOff>63500</xdr:colOff>
      <xdr:row>142</xdr:row>
      <xdr:rowOff>159101</xdr:rowOff>
    </xdr:to>
    <xdr:cxnSp macro="">
      <xdr:nvCxnSpPr>
        <xdr:cNvPr id="57" name="Curved Connector 56">
          <a:extLst>
            <a:ext uri="{FF2B5EF4-FFF2-40B4-BE49-F238E27FC236}">
              <a16:creationId xmlns:a16="http://schemas.microsoft.com/office/drawing/2014/main" id="{00000000-0008-0000-1E00-000039000000}"/>
            </a:ext>
          </a:extLst>
        </xdr:cNvPr>
        <xdr:cNvCxnSpPr>
          <a:stCxn id="20" idx="3"/>
          <a:endCxn id="26" idx="1"/>
        </xdr:cNvCxnSpPr>
      </xdr:nvCxnSpPr>
      <xdr:spPr>
        <a:xfrm flipV="1">
          <a:off x="13805601" y="19842000"/>
          <a:ext cx="2767899" cy="9489001"/>
        </a:xfrm>
        <a:prstGeom prst="curvedConnector3">
          <a:avLst>
            <a:gd name="adj1" fmla="val 50000"/>
          </a:avLst>
        </a:prstGeom>
        <a:ln w="113030">
          <a:solidFill>
            <a:srgbClr val="B50B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165601</xdr:colOff>
      <xdr:row>109</xdr:row>
      <xdr:rowOff>190700</xdr:rowOff>
    </xdr:from>
    <xdr:to>
      <xdr:col>20</xdr:col>
      <xdr:colOff>63500</xdr:colOff>
      <xdr:row>157</xdr:row>
      <xdr:rowOff>70100</xdr:rowOff>
    </xdr:to>
    <xdr:cxnSp macro="">
      <xdr:nvCxnSpPr>
        <xdr:cNvPr id="58" name="Curved Connector 57">
          <a:extLst>
            <a:ext uri="{FF2B5EF4-FFF2-40B4-BE49-F238E27FC236}">
              <a16:creationId xmlns:a16="http://schemas.microsoft.com/office/drawing/2014/main" id="{00000000-0008-0000-1E00-00003A000000}"/>
            </a:ext>
          </a:extLst>
        </xdr:cNvPr>
        <xdr:cNvCxnSpPr>
          <a:stCxn id="21" idx="3"/>
          <a:endCxn id="27" idx="1"/>
        </xdr:cNvCxnSpPr>
      </xdr:nvCxnSpPr>
      <xdr:spPr>
        <a:xfrm flipV="1">
          <a:off x="13373601" y="22657000"/>
          <a:ext cx="3199899" cy="9633000"/>
        </a:xfrm>
        <a:prstGeom prst="curvedConnector3">
          <a:avLst>
            <a:gd name="adj1" fmla="val 50000"/>
          </a:avLst>
        </a:prstGeom>
        <a:ln w="90170">
          <a:solidFill>
            <a:srgbClr val="B50B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204101</xdr:colOff>
      <xdr:row>82</xdr:row>
      <xdr:rowOff>124761</xdr:rowOff>
    </xdr:from>
    <xdr:to>
      <xdr:col>24</xdr:col>
      <xdr:colOff>596677</xdr:colOff>
      <xdr:row>175</xdr:row>
      <xdr:rowOff>20836</xdr:rowOff>
    </xdr:to>
    <xdr:cxnSp macro="">
      <xdr:nvCxnSpPr>
        <xdr:cNvPr id="59" name="Curved Connector 58">
          <a:extLst>
            <a:ext uri="{FF2B5EF4-FFF2-40B4-BE49-F238E27FC236}">
              <a16:creationId xmlns:a16="http://schemas.microsoft.com/office/drawing/2014/main" id="{00000000-0008-0000-1E00-00003B000000}"/>
            </a:ext>
          </a:extLst>
        </xdr:cNvPr>
        <xdr:cNvCxnSpPr>
          <a:stCxn id="22" idx="3"/>
          <a:endCxn id="30" idx="1"/>
        </xdr:cNvCxnSpPr>
      </xdr:nvCxnSpPr>
      <xdr:spPr>
        <a:xfrm flipV="1">
          <a:off x="14218662" y="16991252"/>
          <a:ext cx="6163278" cy="18545023"/>
        </a:xfrm>
        <a:prstGeom prst="curvedConnector3">
          <a:avLst>
            <a:gd name="adj1" fmla="val 50000"/>
          </a:avLst>
        </a:prstGeom>
        <a:ln w="191770">
          <a:solidFill>
            <a:srgbClr val="B50B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428501</xdr:colOff>
      <xdr:row>65</xdr:row>
      <xdr:rowOff>182500</xdr:rowOff>
    </xdr:from>
    <xdr:to>
      <xdr:col>29</xdr:col>
      <xdr:colOff>419322</xdr:colOff>
      <xdr:row>68</xdr:row>
      <xdr:rowOff>161443</xdr:rowOff>
    </xdr:to>
    <xdr:cxnSp macro="">
      <xdr:nvCxnSpPr>
        <xdr:cNvPr id="60" name="Curved Connector 59">
          <a:extLst>
            <a:ext uri="{FF2B5EF4-FFF2-40B4-BE49-F238E27FC236}">
              <a16:creationId xmlns:a16="http://schemas.microsoft.com/office/drawing/2014/main" id="{00000000-0008-0000-1E00-00003C000000}"/>
            </a:ext>
          </a:extLst>
        </xdr:cNvPr>
        <xdr:cNvCxnSpPr>
          <a:stCxn id="24" idx="3"/>
          <a:endCxn id="34" idx="1"/>
        </xdr:cNvCxnSpPr>
      </xdr:nvCxnSpPr>
      <xdr:spPr>
        <a:xfrm>
          <a:off x="18564992" y="13640044"/>
          <a:ext cx="5761523" cy="580522"/>
        </a:xfrm>
        <a:prstGeom prst="curvedConnector3">
          <a:avLst>
            <a:gd name="adj1" fmla="val 50000"/>
          </a:avLst>
        </a:prstGeom>
        <a:ln w="270510">
          <a:solidFill>
            <a:srgbClr val="DCCA5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783499</xdr:colOff>
      <xdr:row>78</xdr:row>
      <xdr:rowOff>67900</xdr:rowOff>
    </xdr:from>
    <xdr:to>
      <xdr:col>29</xdr:col>
      <xdr:colOff>798095</xdr:colOff>
      <xdr:row>87</xdr:row>
      <xdr:rowOff>132278</xdr:rowOff>
    </xdr:to>
    <xdr:cxnSp macro="">
      <xdr:nvCxnSpPr>
        <xdr:cNvPr id="61" name="Curved Connector 60">
          <a:extLst>
            <a:ext uri="{FF2B5EF4-FFF2-40B4-BE49-F238E27FC236}">
              <a16:creationId xmlns:a16="http://schemas.microsoft.com/office/drawing/2014/main" id="{00000000-0008-0000-1E00-00003D000000}"/>
            </a:ext>
          </a:extLst>
        </xdr:cNvPr>
        <xdr:cNvCxnSpPr>
          <a:stCxn id="25" idx="3"/>
          <a:endCxn id="32" idx="1"/>
        </xdr:cNvCxnSpPr>
      </xdr:nvCxnSpPr>
      <xdr:spPr>
        <a:xfrm>
          <a:off x="17271218" y="16132286"/>
          <a:ext cx="7434070" cy="1869115"/>
        </a:xfrm>
        <a:prstGeom prst="curvedConnector3">
          <a:avLst>
            <a:gd name="adj1" fmla="val 50000"/>
          </a:avLst>
        </a:prstGeom>
        <a:ln w="87630">
          <a:solidFill>
            <a:srgbClr val="DCCA5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821999</xdr:colOff>
      <xdr:row>72</xdr:row>
      <xdr:rowOff>196721</xdr:rowOff>
    </xdr:from>
    <xdr:to>
      <xdr:col>24</xdr:col>
      <xdr:colOff>685800</xdr:colOff>
      <xdr:row>96</xdr:row>
      <xdr:rowOff>18636</xdr:rowOff>
    </xdr:to>
    <xdr:cxnSp macro="">
      <xdr:nvCxnSpPr>
        <xdr:cNvPr id="62" name="Curved Connector 61">
          <a:extLst>
            <a:ext uri="{FF2B5EF4-FFF2-40B4-BE49-F238E27FC236}">
              <a16:creationId xmlns:a16="http://schemas.microsoft.com/office/drawing/2014/main" id="{00000000-0008-0000-1E00-00003E000000}"/>
            </a:ext>
          </a:extLst>
        </xdr:cNvPr>
        <xdr:cNvCxnSpPr>
          <a:stCxn id="26" idx="3"/>
          <a:endCxn id="29" idx="1"/>
        </xdr:cNvCxnSpPr>
      </xdr:nvCxnSpPr>
      <xdr:spPr>
        <a:xfrm flipV="1">
          <a:off x="18134104" y="15057949"/>
          <a:ext cx="2336959" cy="4634547"/>
        </a:xfrm>
        <a:prstGeom prst="curvedConnector3">
          <a:avLst>
            <a:gd name="adj1" fmla="val 50000"/>
          </a:avLst>
        </a:prstGeom>
        <a:ln w="113030">
          <a:solidFill>
            <a:srgbClr val="DCCA5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102000</xdr:colOff>
      <xdr:row>87</xdr:row>
      <xdr:rowOff>132278</xdr:rowOff>
    </xdr:from>
    <xdr:to>
      <xdr:col>29</xdr:col>
      <xdr:colOff>798095</xdr:colOff>
      <xdr:row>109</xdr:row>
      <xdr:rowOff>189363</xdr:rowOff>
    </xdr:to>
    <xdr:cxnSp macro="">
      <xdr:nvCxnSpPr>
        <xdr:cNvPr id="63" name="Curved Connector 62">
          <a:extLst>
            <a:ext uri="{FF2B5EF4-FFF2-40B4-BE49-F238E27FC236}">
              <a16:creationId xmlns:a16="http://schemas.microsoft.com/office/drawing/2014/main" id="{00000000-0008-0000-1E00-00003F000000}"/>
            </a:ext>
          </a:extLst>
        </xdr:cNvPr>
        <xdr:cNvCxnSpPr>
          <a:stCxn id="27" idx="3"/>
          <a:endCxn id="32" idx="1"/>
        </xdr:cNvCxnSpPr>
      </xdr:nvCxnSpPr>
      <xdr:spPr>
        <a:xfrm flipV="1">
          <a:off x="17414105" y="18001401"/>
          <a:ext cx="7291183" cy="4468664"/>
        </a:xfrm>
        <a:prstGeom prst="curvedConnector3">
          <a:avLst>
            <a:gd name="adj1" fmla="val 50000"/>
          </a:avLst>
        </a:prstGeom>
        <a:ln w="90170">
          <a:solidFill>
            <a:srgbClr val="DCCA5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402800</xdr:colOff>
      <xdr:row>72</xdr:row>
      <xdr:rowOff>196721</xdr:rowOff>
    </xdr:from>
    <xdr:to>
      <xdr:col>29</xdr:col>
      <xdr:colOff>798095</xdr:colOff>
      <xdr:row>87</xdr:row>
      <xdr:rowOff>132278</xdr:rowOff>
    </xdr:to>
    <xdr:cxnSp macro="">
      <xdr:nvCxnSpPr>
        <xdr:cNvPr id="79872" name="Curved Connector 79871">
          <a:extLst>
            <a:ext uri="{FF2B5EF4-FFF2-40B4-BE49-F238E27FC236}">
              <a16:creationId xmlns:a16="http://schemas.microsoft.com/office/drawing/2014/main" id="{00000000-0008-0000-1E00-000000380100}"/>
            </a:ext>
          </a:extLst>
        </xdr:cNvPr>
        <xdr:cNvCxnSpPr>
          <a:stCxn id="29" idx="3"/>
          <a:endCxn id="32" idx="1"/>
        </xdr:cNvCxnSpPr>
      </xdr:nvCxnSpPr>
      <xdr:spPr>
        <a:xfrm>
          <a:off x="21836835" y="15057949"/>
          <a:ext cx="2868453" cy="2943452"/>
        </a:xfrm>
        <a:prstGeom prst="curvedConnector3">
          <a:avLst>
            <a:gd name="adj1" fmla="val 50000"/>
          </a:avLst>
        </a:prstGeom>
        <a:ln w="113030">
          <a:solidFill>
            <a:srgbClr val="F6DF0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816563</xdr:colOff>
      <xdr:row>82</xdr:row>
      <xdr:rowOff>124761</xdr:rowOff>
    </xdr:from>
    <xdr:to>
      <xdr:col>30</xdr:col>
      <xdr:colOff>285639</xdr:colOff>
      <xdr:row>103</xdr:row>
      <xdr:rowOff>4376</xdr:rowOff>
    </xdr:to>
    <xdr:cxnSp macro="">
      <xdr:nvCxnSpPr>
        <xdr:cNvPr id="79876" name="Curved Connector 79875">
          <a:extLst>
            <a:ext uri="{FF2B5EF4-FFF2-40B4-BE49-F238E27FC236}">
              <a16:creationId xmlns:a16="http://schemas.microsoft.com/office/drawing/2014/main" id="{00000000-0008-0000-1E00-000004380100}"/>
            </a:ext>
          </a:extLst>
        </xdr:cNvPr>
        <xdr:cNvCxnSpPr>
          <a:stCxn id="30" idx="3"/>
          <a:endCxn id="33" idx="1"/>
        </xdr:cNvCxnSpPr>
      </xdr:nvCxnSpPr>
      <xdr:spPr>
        <a:xfrm>
          <a:off x="22250598" y="16991252"/>
          <a:ext cx="2766620" cy="4090668"/>
        </a:xfrm>
        <a:prstGeom prst="curvedConnector3">
          <a:avLst>
            <a:gd name="adj1" fmla="val 50000"/>
          </a:avLst>
        </a:prstGeom>
        <a:ln w="191770">
          <a:solidFill>
            <a:srgbClr val="F6DF0E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89209</xdr:colOff>
      <xdr:row>62</xdr:row>
      <xdr:rowOff>108101</xdr:rowOff>
    </xdr:from>
    <xdr:to>
      <xdr:col>35</xdr:col>
      <xdr:colOff>736600</xdr:colOff>
      <xdr:row>87</xdr:row>
      <xdr:rowOff>132278</xdr:rowOff>
    </xdr:to>
    <xdr:cxnSp macro="">
      <xdr:nvCxnSpPr>
        <xdr:cNvPr id="79877" name="Curved Connector 79876">
          <a:extLst>
            <a:ext uri="{FF2B5EF4-FFF2-40B4-BE49-F238E27FC236}">
              <a16:creationId xmlns:a16="http://schemas.microsoft.com/office/drawing/2014/main" id="{00000000-0008-0000-1E00-000005380100}"/>
            </a:ext>
          </a:extLst>
        </xdr:cNvPr>
        <xdr:cNvCxnSpPr>
          <a:stCxn id="32" idx="3"/>
          <a:endCxn id="36" idx="1"/>
        </xdr:cNvCxnSpPr>
      </xdr:nvCxnSpPr>
      <xdr:spPr>
        <a:xfrm flipV="1">
          <a:off x="27293946" y="12964066"/>
          <a:ext cx="2296163" cy="5037335"/>
        </a:xfrm>
        <a:prstGeom prst="curvedConnector3">
          <a:avLst>
            <a:gd name="adj1" fmla="val 50000"/>
          </a:avLst>
        </a:prstGeom>
        <a:ln w="55880">
          <a:solidFill>
            <a:srgbClr val="F35D8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89209</xdr:colOff>
      <xdr:row>64</xdr:row>
      <xdr:rowOff>63036</xdr:rowOff>
    </xdr:from>
    <xdr:to>
      <xdr:col>38</xdr:col>
      <xdr:colOff>812800</xdr:colOff>
      <xdr:row>87</xdr:row>
      <xdr:rowOff>132278</xdr:rowOff>
    </xdr:to>
    <xdr:cxnSp macro="">
      <xdr:nvCxnSpPr>
        <xdr:cNvPr id="79878" name="Curved Connector 79877">
          <a:extLst>
            <a:ext uri="{FF2B5EF4-FFF2-40B4-BE49-F238E27FC236}">
              <a16:creationId xmlns:a16="http://schemas.microsoft.com/office/drawing/2014/main" id="{00000000-0008-0000-1E00-000006380100}"/>
            </a:ext>
          </a:extLst>
        </xdr:cNvPr>
        <xdr:cNvCxnSpPr>
          <a:stCxn id="32" idx="3"/>
          <a:endCxn id="38" idx="1"/>
        </xdr:cNvCxnSpPr>
      </xdr:nvCxnSpPr>
      <xdr:spPr>
        <a:xfrm flipV="1">
          <a:off x="27293946" y="13320054"/>
          <a:ext cx="4845521" cy="4681347"/>
        </a:xfrm>
        <a:prstGeom prst="curvedConnector3">
          <a:avLst>
            <a:gd name="adj1" fmla="val 50000"/>
          </a:avLst>
        </a:prstGeom>
        <a:ln w="233680">
          <a:solidFill>
            <a:srgbClr val="F35D8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218638</xdr:colOff>
      <xdr:row>64</xdr:row>
      <xdr:rowOff>63036</xdr:rowOff>
    </xdr:from>
    <xdr:to>
      <xdr:col>38</xdr:col>
      <xdr:colOff>812800</xdr:colOff>
      <xdr:row>103</xdr:row>
      <xdr:rowOff>4376</xdr:rowOff>
    </xdr:to>
    <xdr:cxnSp macro="">
      <xdr:nvCxnSpPr>
        <xdr:cNvPr id="79879" name="Curved Connector 79878">
          <a:extLst>
            <a:ext uri="{FF2B5EF4-FFF2-40B4-BE49-F238E27FC236}">
              <a16:creationId xmlns:a16="http://schemas.microsoft.com/office/drawing/2014/main" id="{00000000-0008-0000-1E00-000007380100}"/>
            </a:ext>
          </a:extLst>
        </xdr:cNvPr>
        <xdr:cNvCxnSpPr>
          <a:stCxn id="33" idx="3"/>
          <a:endCxn id="38" idx="1"/>
        </xdr:cNvCxnSpPr>
      </xdr:nvCxnSpPr>
      <xdr:spPr>
        <a:xfrm flipV="1">
          <a:off x="26598989" y="13320054"/>
          <a:ext cx="5540478" cy="7761866"/>
        </a:xfrm>
        <a:prstGeom prst="curvedConnector3">
          <a:avLst>
            <a:gd name="adj1" fmla="val 50000"/>
          </a:avLst>
        </a:prstGeom>
        <a:ln w="191770">
          <a:solidFill>
            <a:srgbClr val="F35D8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573322</xdr:colOff>
      <xdr:row>64</xdr:row>
      <xdr:rowOff>63036</xdr:rowOff>
    </xdr:from>
    <xdr:to>
      <xdr:col>38</xdr:col>
      <xdr:colOff>812800</xdr:colOff>
      <xdr:row>68</xdr:row>
      <xdr:rowOff>161443</xdr:rowOff>
    </xdr:to>
    <xdr:cxnSp macro="">
      <xdr:nvCxnSpPr>
        <xdr:cNvPr id="79880" name="Curved Connector 79879">
          <a:extLst>
            <a:ext uri="{FF2B5EF4-FFF2-40B4-BE49-F238E27FC236}">
              <a16:creationId xmlns:a16="http://schemas.microsoft.com/office/drawing/2014/main" id="{00000000-0008-0000-1E00-000008380100}"/>
            </a:ext>
          </a:extLst>
        </xdr:cNvPr>
        <xdr:cNvCxnSpPr>
          <a:stCxn id="34" idx="3"/>
          <a:endCxn id="38" idx="1"/>
        </xdr:cNvCxnSpPr>
      </xdr:nvCxnSpPr>
      <xdr:spPr>
        <a:xfrm flipV="1">
          <a:off x="27778059" y="13320054"/>
          <a:ext cx="4361408" cy="900512"/>
        </a:xfrm>
        <a:prstGeom prst="curvedConnector3">
          <a:avLst>
            <a:gd name="adj1" fmla="val 50000"/>
          </a:avLst>
        </a:prstGeom>
        <a:ln w="270510">
          <a:solidFill>
            <a:srgbClr val="F35D8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254000</xdr:colOff>
      <xdr:row>60</xdr:row>
      <xdr:rowOff>190500</xdr:rowOff>
    </xdr:from>
    <xdr:to>
      <xdr:col>3</xdr:col>
      <xdr:colOff>796500</xdr:colOff>
      <xdr:row>67</xdr:row>
      <xdr:rowOff>136100</xdr:rowOff>
    </xdr:to>
    <xdr:sp macro="" textlink="">
      <xdr:nvSpPr>
        <xdr:cNvPr id="5" name="WS-43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1905000" y="12700000"/>
          <a:ext cx="1368000" cy="1368000"/>
        </a:xfrm>
        <a:prstGeom prst="rect">
          <a:avLst/>
        </a:prstGeom>
        <a:solidFill>
          <a:srgbClr val="B4889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WS-43</a:t>
          </a:r>
        </a:p>
      </xdr:txBody>
    </xdr:sp>
    <xdr:clientData/>
  </xdr:twoCellAnchor>
  <xdr:twoCellAnchor>
    <xdr:from>
      <xdr:col>6</xdr:col>
      <xdr:colOff>228600</xdr:colOff>
      <xdr:row>60</xdr:row>
      <xdr:rowOff>190500</xdr:rowOff>
    </xdr:from>
    <xdr:to>
      <xdr:col>7</xdr:col>
      <xdr:colOff>483100</xdr:colOff>
      <xdr:row>66</xdr:row>
      <xdr:rowOff>51301</xdr:rowOff>
    </xdr:to>
    <xdr:sp macro="" textlink="">
      <xdr:nvSpPr>
        <xdr:cNvPr id="7" name="WS-3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5181600" y="12700000"/>
          <a:ext cx="1080000" cy="1080001"/>
        </a:xfrm>
        <a:prstGeom prst="rect">
          <a:avLst/>
        </a:prstGeom>
        <a:solidFill>
          <a:srgbClr val="4A4DC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WS-36</a:t>
          </a:r>
        </a:p>
      </xdr:txBody>
    </xdr:sp>
    <xdr:clientData/>
  </xdr:twoCellAnchor>
  <xdr:twoCellAnchor>
    <xdr:from>
      <xdr:col>6</xdr:col>
      <xdr:colOff>228600</xdr:colOff>
      <xdr:row>76</xdr:row>
      <xdr:rowOff>114300</xdr:rowOff>
    </xdr:from>
    <xdr:to>
      <xdr:col>7</xdr:col>
      <xdr:colOff>195100</xdr:colOff>
      <xdr:row>80</xdr:row>
      <xdr:rowOff>93500</xdr:rowOff>
    </xdr:to>
    <xdr:sp macro="" textlink="">
      <xdr:nvSpPr>
        <xdr:cNvPr id="8" name="WS-38">
          <a:extLst>
            <a:ext uri="{FF2B5EF4-FFF2-40B4-BE49-F238E27FC236}">
              <a16:creationId xmlns:a16="http://schemas.microsoft.com/office/drawing/2014/main" id="{00000000-0008-0000-1E00-000008000000}"/>
            </a:ext>
          </a:extLst>
        </xdr:cNvPr>
        <xdr:cNvSpPr/>
      </xdr:nvSpPr>
      <xdr:spPr>
        <a:xfrm>
          <a:off x="5181600" y="15875000"/>
          <a:ext cx="792000" cy="792000"/>
        </a:xfrm>
        <a:prstGeom prst="rect">
          <a:avLst/>
        </a:prstGeom>
        <a:solidFill>
          <a:srgbClr val="4A4DC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WS-38</a:t>
          </a:r>
        </a:p>
      </xdr:txBody>
    </xdr:sp>
    <xdr:clientData/>
  </xdr:twoCellAnchor>
  <xdr:twoCellAnchor>
    <xdr:from>
      <xdr:col>6</xdr:col>
      <xdr:colOff>228600</xdr:colOff>
      <xdr:row>92</xdr:row>
      <xdr:rowOff>38100</xdr:rowOff>
    </xdr:from>
    <xdr:to>
      <xdr:col>8</xdr:col>
      <xdr:colOff>17600</xdr:colOff>
      <xdr:row>99</xdr:row>
      <xdr:rowOff>55700</xdr:rowOff>
    </xdr:to>
    <xdr:sp macro="" textlink="">
      <xdr:nvSpPr>
        <xdr:cNvPr id="9" name="WS-40">
          <a:extLst>
            <a:ext uri="{FF2B5EF4-FFF2-40B4-BE49-F238E27FC236}">
              <a16:creationId xmlns:a16="http://schemas.microsoft.com/office/drawing/2014/main" id="{00000000-0008-0000-1E00-000009000000}"/>
            </a:ext>
          </a:extLst>
        </xdr:cNvPr>
        <xdr:cNvSpPr/>
      </xdr:nvSpPr>
      <xdr:spPr>
        <a:xfrm>
          <a:off x="5181600" y="19050000"/>
          <a:ext cx="1440000" cy="1440000"/>
        </a:xfrm>
        <a:prstGeom prst="rect">
          <a:avLst/>
        </a:prstGeom>
        <a:solidFill>
          <a:srgbClr val="4A4DC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WS-40</a:t>
          </a:r>
        </a:p>
      </xdr:txBody>
    </xdr:sp>
    <xdr:clientData/>
  </xdr:twoCellAnchor>
  <xdr:twoCellAnchor>
    <xdr:from>
      <xdr:col>10</xdr:col>
      <xdr:colOff>422664</xdr:colOff>
      <xdr:row>103</xdr:row>
      <xdr:rowOff>101377</xdr:rowOff>
    </xdr:from>
    <xdr:to>
      <xdr:col>12</xdr:col>
      <xdr:colOff>427664</xdr:colOff>
      <xdr:row>111</xdr:row>
      <xdr:rowOff>129104</xdr:rowOff>
    </xdr:to>
    <xdr:sp macro="" textlink="">
      <xdr:nvSpPr>
        <xdr:cNvPr id="11" name="WS-02">
          <a:extLst>
            <a:ext uri="{FF2B5EF4-FFF2-40B4-BE49-F238E27FC236}">
              <a16:creationId xmlns:a16="http://schemas.microsoft.com/office/drawing/2014/main" id="{00000000-0008-0000-1E00-00000B000000}"/>
            </a:ext>
          </a:extLst>
        </xdr:cNvPr>
        <xdr:cNvSpPr/>
      </xdr:nvSpPr>
      <xdr:spPr>
        <a:xfrm>
          <a:off x="8666524" y="21178921"/>
          <a:ext cx="1653772" cy="1631937"/>
        </a:xfrm>
        <a:prstGeom prst="rect">
          <a:avLst/>
        </a:prstGeom>
        <a:solidFill>
          <a:srgbClr val="03C2D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WS-02</a:t>
          </a:r>
        </a:p>
      </xdr:txBody>
    </xdr:sp>
    <xdr:clientData/>
  </xdr:twoCellAnchor>
  <xdr:twoCellAnchor>
    <xdr:from>
      <xdr:col>10</xdr:col>
      <xdr:colOff>444945</xdr:colOff>
      <xdr:row>114</xdr:row>
      <xdr:rowOff>181142</xdr:rowOff>
    </xdr:from>
    <xdr:to>
      <xdr:col>11</xdr:col>
      <xdr:colOff>411445</xdr:colOff>
      <xdr:row>118</xdr:row>
      <xdr:rowOff>160342</xdr:rowOff>
    </xdr:to>
    <xdr:sp macro="" textlink="">
      <xdr:nvSpPr>
        <xdr:cNvPr id="12" name="WS-04">
          <a:extLst>
            <a:ext uri="{FF2B5EF4-FFF2-40B4-BE49-F238E27FC236}">
              <a16:creationId xmlns:a16="http://schemas.microsoft.com/office/drawing/2014/main" id="{00000000-0008-0000-1E00-00000C000000}"/>
            </a:ext>
          </a:extLst>
        </xdr:cNvPr>
        <xdr:cNvSpPr/>
      </xdr:nvSpPr>
      <xdr:spPr>
        <a:xfrm>
          <a:off x="8688805" y="23464475"/>
          <a:ext cx="790886" cy="781306"/>
        </a:xfrm>
        <a:prstGeom prst="rect">
          <a:avLst/>
        </a:prstGeom>
        <a:solidFill>
          <a:srgbClr val="03C2D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WS-04</a:t>
          </a:r>
        </a:p>
      </xdr:txBody>
    </xdr:sp>
    <xdr:clientData/>
  </xdr:twoCellAnchor>
  <xdr:twoCellAnchor>
    <xdr:from>
      <xdr:col>10</xdr:col>
      <xdr:colOff>266700</xdr:colOff>
      <xdr:row>92</xdr:row>
      <xdr:rowOff>38100</xdr:rowOff>
    </xdr:from>
    <xdr:to>
      <xdr:col>12</xdr:col>
      <xdr:colOff>487700</xdr:colOff>
      <xdr:row>101</xdr:row>
      <xdr:rowOff>81300</xdr:rowOff>
    </xdr:to>
    <xdr:sp macro="" textlink="">
      <xdr:nvSpPr>
        <xdr:cNvPr id="13" name="WS-07">
          <a:extLst>
            <a:ext uri="{FF2B5EF4-FFF2-40B4-BE49-F238E27FC236}">
              <a16:creationId xmlns:a16="http://schemas.microsoft.com/office/drawing/2014/main" id="{00000000-0008-0000-1E00-00000D000000}"/>
            </a:ext>
          </a:extLst>
        </xdr:cNvPr>
        <xdr:cNvSpPr/>
      </xdr:nvSpPr>
      <xdr:spPr>
        <a:xfrm>
          <a:off x="8521700" y="19050000"/>
          <a:ext cx="1872000" cy="1872000"/>
        </a:xfrm>
        <a:prstGeom prst="rect">
          <a:avLst/>
        </a:prstGeom>
        <a:solidFill>
          <a:srgbClr val="03C2D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WS-07</a:t>
          </a:r>
        </a:p>
      </xdr:txBody>
    </xdr:sp>
    <xdr:clientData/>
  </xdr:twoCellAnchor>
  <xdr:twoCellAnchor>
    <xdr:from>
      <xdr:col>15</xdr:col>
      <xdr:colOff>90461</xdr:colOff>
      <xdr:row>119</xdr:row>
      <xdr:rowOff>12253</xdr:rowOff>
    </xdr:from>
    <xdr:to>
      <xdr:col>16</xdr:col>
      <xdr:colOff>128960</xdr:colOff>
      <xdr:row>123</xdr:row>
      <xdr:rowOff>60780</xdr:rowOff>
    </xdr:to>
    <xdr:sp macro="" textlink="">
      <xdr:nvSpPr>
        <xdr:cNvPr id="15" name="WS-03">
          <a:extLst>
            <a:ext uri="{FF2B5EF4-FFF2-40B4-BE49-F238E27FC236}">
              <a16:creationId xmlns:a16="http://schemas.microsoft.com/office/drawing/2014/main" id="{00000000-0008-0000-1E00-00000F000000}"/>
            </a:ext>
          </a:extLst>
        </xdr:cNvPr>
        <xdr:cNvSpPr/>
      </xdr:nvSpPr>
      <xdr:spPr>
        <a:xfrm>
          <a:off x="12456250" y="24298218"/>
          <a:ext cx="862885" cy="850632"/>
        </a:xfrm>
        <a:prstGeom prst="rect">
          <a:avLst/>
        </a:prstGeom>
        <a:solidFill>
          <a:srgbClr val="B50B6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WS-03</a:t>
          </a:r>
        </a:p>
      </xdr:txBody>
    </xdr:sp>
    <xdr:clientData/>
  </xdr:twoCellAnchor>
  <xdr:twoCellAnchor>
    <xdr:from>
      <xdr:col>14</xdr:col>
      <xdr:colOff>692039</xdr:colOff>
      <xdr:row>60</xdr:row>
      <xdr:rowOff>158862</xdr:rowOff>
    </xdr:from>
    <xdr:to>
      <xdr:col>17</xdr:col>
      <xdr:colOff>591540</xdr:colOff>
      <xdr:row>72</xdr:row>
      <xdr:rowOff>96463</xdr:rowOff>
    </xdr:to>
    <xdr:sp macro="" textlink="">
      <xdr:nvSpPr>
        <xdr:cNvPr id="16" name="WS-05">
          <a:extLst>
            <a:ext uri="{FF2B5EF4-FFF2-40B4-BE49-F238E27FC236}">
              <a16:creationId xmlns:a16="http://schemas.microsoft.com/office/drawing/2014/main" id="{00000000-0008-0000-1E00-000010000000}"/>
            </a:ext>
          </a:extLst>
        </xdr:cNvPr>
        <xdr:cNvSpPr/>
      </xdr:nvSpPr>
      <xdr:spPr>
        <a:xfrm>
          <a:off x="12233443" y="12613774"/>
          <a:ext cx="2372658" cy="2343917"/>
        </a:xfrm>
        <a:prstGeom prst="rect">
          <a:avLst/>
        </a:prstGeom>
        <a:solidFill>
          <a:srgbClr val="B50B6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WS-05</a:t>
          </a:r>
        </a:p>
      </xdr:txBody>
    </xdr:sp>
    <xdr:clientData/>
  </xdr:twoCellAnchor>
  <xdr:twoCellAnchor>
    <xdr:from>
      <xdr:col>14</xdr:col>
      <xdr:colOff>736600</xdr:colOff>
      <xdr:row>92</xdr:row>
      <xdr:rowOff>38100</xdr:rowOff>
    </xdr:from>
    <xdr:to>
      <xdr:col>16</xdr:col>
      <xdr:colOff>93600</xdr:colOff>
      <xdr:row>97</xdr:row>
      <xdr:rowOff>30100</xdr:rowOff>
    </xdr:to>
    <xdr:sp macro="" textlink="">
      <xdr:nvSpPr>
        <xdr:cNvPr id="17" name="WS-08">
          <a:extLst>
            <a:ext uri="{FF2B5EF4-FFF2-40B4-BE49-F238E27FC236}">
              <a16:creationId xmlns:a16="http://schemas.microsoft.com/office/drawing/2014/main" id="{00000000-0008-0000-1E00-000011000000}"/>
            </a:ext>
          </a:extLst>
        </xdr:cNvPr>
        <xdr:cNvSpPr/>
      </xdr:nvSpPr>
      <xdr:spPr>
        <a:xfrm>
          <a:off x="12293600" y="19050000"/>
          <a:ext cx="1008000" cy="1008000"/>
        </a:xfrm>
        <a:prstGeom prst="rect">
          <a:avLst/>
        </a:prstGeom>
        <a:solidFill>
          <a:srgbClr val="B50B6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WS-08</a:t>
          </a:r>
        </a:p>
      </xdr:txBody>
    </xdr:sp>
    <xdr:clientData/>
  </xdr:twoCellAnchor>
  <xdr:twoCellAnchor>
    <xdr:from>
      <xdr:col>14</xdr:col>
      <xdr:colOff>736600</xdr:colOff>
      <xdr:row>107</xdr:row>
      <xdr:rowOff>165100</xdr:rowOff>
    </xdr:from>
    <xdr:to>
      <xdr:col>17</xdr:col>
      <xdr:colOff>60100</xdr:colOff>
      <xdr:row>116</xdr:row>
      <xdr:rowOff>136300</xdr:rowOff>
    </xdr:to>
    <xdr:sp macro="" textlink="">
      <xdr:nvSpPr>
        <xdr:cNvPr id="18" name="WS-18">
          <a:extLst>
            <a:ext uri="{FF2B5EF4-FFF2-40B4-BE49-F238E27FC236}">
              <a16:creationId xmlns:a16="http://schemas.microsoft.com/office/drawing/2014/main" id="{00000000-0008-0000-1E00-000012000000}"/>
            </a:ext>
          </a:extLst>
        </xdr:cNvPr>
        <xdr:cNvSpPr/>
      </xdr:nvSpPr>
      <xdr:spPr>
        <a:xfrm>
          <a:off x="12293600" y="22225000"/>
          <a:ext cx="1800000" cy="1800000"/>
        </a:xfrm>
        <a:prstGeom prst="rect">
          <a:avLst/>
        </a:prstGeom>
        <a:solidFill>
          <a:srgbClr val="B50B6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WS-18</a:t>
          </a:r>
        </a:p>
      </xdr:txBody>
    </xdr:sp>
    <xdr:clientData/>
  </xdr:twoCellAnchor>
  <xdr:twoCellAnchor>
    <xdr:from>
      <xdr:col>14</xdr:col>
      <xdr:colOff>736600</xdr:colOff>
      <xdr:row>123</xdr:row>
      <xdr:rowOff>88900</xdr:rowOff>
    </xdr:from>
    <xdr:to>
      <xdr:col>16</xdr:col>
      <xdr:colOff>741600</xdr:colOff>
      <xdr:row>131</xdr:row>
      <xdr:rowOff>119301</xdr:rowOff>
    </xdr:to>
    <xdr:sp macro="" textlink="">
      <xdr:nvSpPr>
        <xdr:cNvPr id="19" name="WS-20">
          <a:extLst>
            <a:ext uri="{FF2B5EF4-FFF2-40B4-BE49-F238E27FC236}">
              <a16:creationId xmlns:a16="http://schemas.microsoft.com/office/drawing/2014/main" id="{00000000-0008-0000-1E00-000013000000}"/>
            </a:ext>
          </a:extLst>
        </xdr:cNvPr>
        <xdr:cNvSpPr/>
      </xdr:nvSpPr>
      <xdr:spPr>
        <a:xfrm>
          <a:off x="12293600" y="25400000"/>
          <a:ext cx="1656000" cy="1656001"/>
        </a:xfrm>
        <a:prstGeom prst="rect">
          <a:avLst/>
        </a:prstGeom>
        <a:solidFill>
          <a:srgbClr val="B50B6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WS-20</a:t>
          </a:r>
        </a:p>
      </xdr:txBody>
    </xdr:sp>
    <xdr:clientData/>
  </xdr:twoCellAnchor>
  <xdr:twoCellAnchor>
    <xdr:from>
      <xdr:col>14</xdr:col>
      <xdr:colOff>736600</xdr:colOff>
      <xdr:row>139</xdr:row>
      <xdr:rowOff>12700</xdr:rowOff>
    </xdr:from>
    <xdr:to>
      <xdr:col>16</xdr:col>
      <xdr:colOff>597601</xdr:colOff>
      <xdr:row>146</xdr:row>
      <xdr:rowOff>102301</xdr:rowOff>
    </xdr:to>
    <xdr:sp macro="" textlink="">
      <xdr:nvSpPr>
        <xdr:cNvPr id="20" name="WS-21">
          <a:extLst>
            <a:ext uri="{FF2B5EF4-FFF2-40B4-BE49-F238E27FC236}">
              <a16:creationId xmlns:a16="http://schemas.microsoft.com/office/drawing/2014/main" id="{00000000-0008-0000-1E00-000014000000}"/>
            </a:ext>
          </a:extLst>
        </xdr:cNvPr>
        <xdr:cNvSpPr/>
      </xdr:nvSpPr>
      <xdr:spPr>
        <a:xfrm>
          <a:off x="12293600" y="28575000"/>
          <a:ext cx="1512001" cy="1512001"/>
        </a:xfrm>
        <a:prstGeom prst="rect">
          <a:avLst/>
        </a:prstGeom>
        <a:solidFill>
          <a:srgbClr val="B50B6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WS-21</a:t>
          </a:r>
        </a:p>
      </xdr:txBody>
    </xdr:sp>
    <xdr:clientData/>
  </xdr:twoCellAnchor>
  <xdr:twoCellAnchor>
    <xdr:from>
      <xdr:col>14</xdr:col>
      <xdr:colOff>736600</xdr:colOff>
      <xdr:row>154</xdr:row>
      <xdr:rowOff>139700</xdr:rowOff>
    </xdr:from>
    <xdr:to>
      <xdr:col>16</xdr:col>
      <xdr:colOff>165601</xdr:colOff>
      <xdr:row>160</xdr:row>
      <xdr:rowOff>499</xdr:rowOff>
    </xdr:to>
    <xdr:sp macro="" textlink="">
      <xdr:nvSpPr>
        <xdr:cNvPr id="21" name="WS-23">
          <a:extLst>
            <a:ext uri="{FF2B5EF4-FFF2-40B4-BE49-F238E27FC236}">
              <a16:creationId xmlns:a16="http://schemas.microsoft.com/office/drawing/2014/main" id="{00000000-0008-0000-1E00-000015000000}"/>
            </a:ext>
          </a:extLst>
        </xdr:cNvPr>
        <xdr:cNvSpPr/>
      </xdr:nvSpPr>
      <xdr:spPr>
        <a:xfrm>
          <a:off x="12293600" y="31750000"/>
          <a:ext cx="1080001" cy="1079999"/>
        </a:xfrm>
        <a:prstGeom prst="rect">
          <a:avLst/>
        </a:prstGeom>
        <a:solidFill>
          <a:srgbClr val="B50B6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WS-23</a:t>
          </a:r>
        </a:p>
      </xdr:txBody>
    </xdr:sp>
    <xdr:clientData/>
  </xdr:twoCellAnchor>
  <xdr:twoCellAnchor>
    <xdr:from>
      <xdr:col>14</xdr:col>
      <xdr:colOff>736600</xdr:colOff>
      <xdr:row>170</xdr:row>
      <xdr:rowOff>63500</xdr:rowOff>
    </xdr:from>
    <xdr:to>
      <xdr:col>17</xdr:col>
      <xdr:colOff>204101</xdr:colOff>
      <xdr:row>179</xdr:row>
      <xdr:rowOff>178699</xdr:rowOff>
    </xdr:to>
    <xdr:sp macro="" textlink="">
      <xdr:nvSpPr>
        <xdr:cNvPr id="22" name="WS-24">
          <a:extLst>
            <a:ext uri="{FF2B5EF4-FFF2-40B4-BE49-F238E27FC236}">
              <a16:creationId xmlns:a16="http://schemas.microsoft.com/office/drawing/2014/main" id="{00000000-0008-0000-1E00-000016000000}"/>
            </a:ext>
          </a:extLst>
        </xdr:cNvPr>
        <xdr:cNvSpPr/>
      </xdr:nvSpPr>
      <xdr:spPr>
        <a:xfrm>
          <a:off x="12293600" y="34925000"/>
          <a:ext cx="1944001" cy="1943999"/>
        </a:xfrm>
        <a:prstGeom prst="rect">
          <a:avLst/>
        </a:prstGeom>
        <a:solidFill>
          <a:srgbClr val="B50B6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WS-24</a:t>
          </a:r>
        </a:p>
      </xdr:txBody>
    </xdr:sp>
    <xdr:clientData/>
  </xdr:twoCellAnchor>
  <xdr:twoCellAnchor>
    <xdr:from>
      <xdr:col>20</xdr:col>
      <xdr:colOff>63500</xdr:colOff>
      <xdr:row>60</xdr:row>
      <xdr:rowOff>190500</xdr:rowOff>
    </xdr:from>
    <xdr:to>
      <xdr:col>22</xdr:col>
      <xdr:colOff>428501</xdr:colOff>
      <xdr:row>70</xdr:row>
      <xdr:rowOff>174501</xdr:rowOff>
    </xdr:to>
    <xdr:sp macro="" textlink="">
      <xdr:nvSpPr>
        <xdr:cNvPr id="24" name="WS-25">
          <a:extLst>
            <a:ext uri="{FF2B5EF4-FFF2-40B4-BE49-F238E27FC236}">
              <a16:creationId xmlns:a16="http://schemas.microsoft.com/office/drawing/2014/main" id="{00000000-0008-0000-1E00-000018000000}"/>
            </a:ext>
          </a:extLst>
        </xdr:cNvPr>
        <xdr:cNvSpPr/>
      </xdr:nvSpPr>
      <xdr:spPr>
        <a:xfrm>
          <a:off x="16573500" y="12700000"/>
          <a:ext cx="2016001" cy="2016001"/>
        </a:xfrm>
        <a:prstGeom prst="rect">
          <a:avLst/>
        </a:prstGeom>
        <a:solidFill>
          <a:srgbClr val="DCCA5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WS-25</a:t>
          </a:r>
        </a:p>
      </xdr:txBody>
    </xdr:sp>
    <xdr:clientData/>
  </xdr:twoCellAnchor>
  <xdr:twoCellAnchor>
    <xdr:from>
      <xdr:col>20</xdr:col>
      <xdr:colOff>63500</xdr:colOff>
      <xdr:row>76</xdr:row>
      <xdr:rowOff>114300</xdr:rowOff>
    </xdr:from>
    <xdr:to>
      <xdr:col>20</xdr:col>
      <xdr:colOff>783499</xdr:colOff>
      <xdr:row>80</xdr:row>
      <xdr:rowOff>21499</xdr:rowOff>
    </xdr:to>
    <xdr:sp macro="" textlink="">
      <xdr:nvSpPr>
        <xdr:cNvPr id="25" name="WS-26">
          <a:extLst>
            <a:ext uri="{FF2B5EF4-FFF2-40B4-BE49-F238E27FC236}">
              <a16:creationId xmlns:a16="http://schemas.microsoft.com/office/drawing/2014/main" id="{00000000-0008-0000-1E00-000019000000}"/>
            </a:ext>
          </a:extLst>
        </xdr:cNvPr>
        <xdr:cNvSpPr/>
      </xdr:nvSpPr>
      <xdr:spPr>
        <a:xfrm>
          <a:off x="16573500" y="15875000"/>
          <a:ext cx="719999" cy="719999"/>
        </a:xfrm>
        <a:prstGeom prst="rect">
          <a:avLst/>
        </a:prstGeom>
        <a:solidFill>
          <a:srgbClr val="DCCA5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WS-26</a:t>
          </a:r>
        </a:p>
      </xdr:txBody>
    </xdr:sp>
    <xdr:clientData/>
  </xdr:twoCellAnchor>
  <xdr:twoCellAnchor>
    <xdr:from>
      <xdr:col>20</xdr:col>
      <xdr:colOff>63500</xdr:colOff>
      <xdr:row>92</xdr:row>
      <xdr:rowOff>38100</xdr:rowOff>
    </xdr:from>
    <xdr:to>
      <xdr:col>21</xdr:col>
      <xdr:colOff>821999</xdr:colOff>
      <xdr:row>99</xdr:row>
      <xdr:rowOff>199699</xdr:rowOff>
    </xdr:to>
    <xdr:sp macro="" textlink="">
      <xdr:nvSpPr>
        <xdr:cNvPr id="26" name="WS-28">
          <a:extLst>
            <a:ext uri="{FF2B5EF4-FFF2-40B4-BE49-F238E27FC236}">
              <a16:creationId xmlns:a16="http://schemas.microsoft.com/office/drawing/2014/main" id="{00000000-0008-0000-1E00-00001A000000}"/>
            </a:ext>
          </a:extLst>
        </xdr:cNvPr>
        <xdr:cNvSpPr/>
      </xdr:nvSpPr>
      <xdr:spPr>
        <a:xfrm>
          <a:off x="16573500" y="19050000"/>
          <a:ext cx="1583999" cy="1583999"/>
        </a:xfrm>
        <a:prstGeom prst="rect">
          <a:avLst/>
        </a:prstGeom>
        <a:solidFill>
          <a:srgbClr val="DCCA5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WS-28</a:t>
          </a:r>
        </a:p>
      </xdr:txBody>
    </xdr:sp>
    <xdr:clientData/>
  </xdr:twoCellAnchor>
  <xdr:twoCellAnchor>
    <xdr:from>
      <xdr:col>20</xdr:col>
      <xdr:colOff>63500</xdr:colOff>
      <xdr:row>107</xdr:row>
      <xdr:rowOff>165100</xdr:rowOff>
    </xdr:from>
    <xdr:to>
      <xdr:col>21</xdr:col>
      <xdr:colOff>102000</xdr:colOff>
      <xdr:row>112</xdr:row>
      <xdr:rowOff>13100</xdr:rowOff>
    </xdr:to>
    <xdr:sp macro="" textlink="">
      <xdr:nvSpPr>
        <xdr:cNvPr id="27" name="WS-31">
          <a:extLst>
            <a:ext uri="{FF2B5EF4-FFF2-40B4-BE49-F238E27FC236}">
              <a16:creationId xmlns:a16="http://schemas.microsoft.com/office/drawing/2014/main" id="{00000000-0008-0000-1E00-00001B000000}"/>
            </a:ext>
          </a:extLst>
        </xdr:cNvPr>
        <xdr:cNvSpPr/>
      </xdr:nvSpPr>
      <xdr:spPr>
        <a:xfrm>
          <a:off x="16573500" y="22225000"/>
          <a:ext cx="864000" cy="864000"/>
        </a:xfrm>
        <a:prstGeom prst="rect">
          <a:avLst/>
        </a:prstGeom>
        <a:solidFill>
          <a:srgbClr val="DCCA5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WS-31</a:t>
          </a:r>
        </a:p>
      </xdr:txBody>
    </xdr:sp>
    <xdr:clientData/>
  </xdr:twoCellAnchor>
  <xdr:twoCellAnchor>
    <xdr:from>
      <xdr:col>24</xdr:col>
      <xdr:colOff>685800</xdr:colOff>
      <xdr:row>69</xdr:row>
      <xdr:rowOff>123658</xdr:rowOff>
    </xdr:from>
    <xdr:to>
      <xdr:col>26</xdr:col>
      <xdr:colOff>402800</xdr:colOff>
      <xdr:row>76</xdr:row>
      <xdr:rowOff>69258</xdr:rowOff>
    </xdr:to>
    <xdr:sp macro="" textlink="">
      <xdr:nvSpPr>
        <xdr:cNvPr id="29" name="WS-27">
          <a:extLst>
            <a:ext uri="{FF2B5EF4-FFF2-40B4-BE49-F238E27FC236}">
              <a16:creationId xmlns:a16="http://schemas.microsoft.com/office/drawing/2014/main" id="{00000000-0008-0000-1E00-00001D000000}"/>
            </a:ext>
          </a:extLst>
        </xdr:cNvPr>
        <xdr:cNvSpPr/>
      </xdr:nvSpPr>
      <xdr:spPr>
        <a:xfrm>
          <a:off x="20471063" y="14383307"/>
          <a:ext cx="1365772" cy="1349284"/>
        </a:xfrm>
        <a:prstGeom prst="rect">
          <a:avLst/>
        </a:prstGeom>
        <a:solidFill>
          <a:srgbClr val="F6DF0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WS-27</a:t>
          </a:r>
        </a:p>
      </xdr:txBody>
    </xdr:sp>
    <xdr:clientData/>
  </xdr:twoCellAnchor>
  <xdr:twoCellAnchor>
    <xdr:from>
      <xdr:col>24</xdr:col>
      <xdr:colOff>596677</xdr:colOff>
      <xdr:row>78</xdr:row>
      <xdr:rowOff>2897</xdr:rowOff>
    </xdr:from>
    <xdr:to>
      <xdr:col>26</xdr:col>
      <xdr:colOff>816563</xdr:colOff>
      <xdr:row>87</xdr:row>
      <xdr:rowOff>46097</xdr:rowOff>
    </xdr:to>
    <xdr:sp macro="" textlink="">
      <xdr:nvSpPr>
        <xdr:cNvPr id="30" name="WS-29">
          <a:extLst>
            <a:ext uri="{FF2B5EF4-FFF2-40B4-BE49-F238E27FC236}">
              <a16:creationId xmlns:a16="http://schemas.microsoft.com/office/drawing/2014/main" id="{00000000-0008-0000-1E00-00001E000000}"/>
            </a:ext>
          </a:extLst>
        </xdr:cNvPr>
        <xdr:cNvSpPr/>
      </xdr:nvSpPr>
      <xdr:spPr>
        <a:xfrm>
          <a:off x="20381940" y="16067283"/>
          <a:ext cx="1868658" cy="1847937"/>
        </a:xfrm>
        <a:prstGeom prst="rect">
          <a:avLst/>
        </a:prstGeom>
        <a:solidFill>
          <a:srgbClr val="F6DF0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WS-29</a:t>
          </a:r>
        </a:p>
      </xdr:txBody>
    </xdr:sp>
    <xdr:clientData/>
  </xdr:twoCellAnchor>
  <xdr:twoCellAnchor>
    <xdr:from>
      <xdr:col>29</xdr:col>
      <xdr:colOff>798095</xdr:colOff>
      <xdr:row>81</xdr:row>
      <xdr:rowOff>56815</xdr:rowOff>
    </xdr:from>
    <xdr:to>
      <xdr:col>33</xdr:col>
      <xdr:colOff>89209</xdr:colOff>
      <xdr:row>94</xdr:row>
      <xdr:rowOff>7215</xdr:rowOff>
    </xdr:to>
    <xdr:sp macro="" textlink="">
      <xdr:nvSpPr>
        <xdr:cNvPr id="32" name="WS-32">
          <a:extLst>
            <a:ext uri="{FF2B5EF4-FFF2-40B4-BE49-F238E27FC236}">
              <a16:creationId xmlns:a16="http://schemas.microsoft.com/office/drawing/2014/main" id="{00000000-0008-0000-1E00-000020000000}"/>
            </a:ext>
          </a:extLst>
        </xdr:cNvPr>
        <xdr:cNvSpPr/>
      </xdr:nvSpPr>
      <xdr:spPr>
        <a:xfrm>
          <a:off x="24705288" y="16722780"/>
          <a:ext cx="2588658" cy="2557242"/>
        </a:xfrm>
        <a:prstGeom prst="rect">
          <a:avLst/>
        </a:prstGeom>
        <a:solidFill>
          <a:srgbClr val="F35D8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WS-32</a:t>
          </a:r>
        </a:p>
      </xdr:txBody>
    </xdr:sp>
    <xdr:clientData/>
  </xdr:twoCellAnchor>
  <xdr:twoCellAnchor>
    <xdr:from>
      <xdr:col>30</xdr:col>
      <xdr:colOff>285639</xdr:colOff>
      <xdr:row>99</xdr:row>
      <xdr:rowOff>25176</xdr:rowOff>
    </xdr:from>
    <xdr:to>
      <xdr:col>32</xdr:col>
      <xdr:colOff>218638</xdr:colOff>
      <xdr:row>106</xdr:row>
      <xdr:rowOff>184102</xdr:rowOff>
    </xdr:to>
    <xdr:sp macro="" textlink="">
      <xdr:nvSpPr>
        <xdr:cNvPr id="33" name="WS-33">
          <a:extLst>
            <a:ext uri="{FF2B5EF4-FFF2-40B4-BE49-F238E27FC236}">
              <a16:creationId xmlns:a16="http://schemas.microsoft.com/office/drawing/2014/main" id="{00000000-0008-0000-1E00-000021000000}"/>
            </a:ext>
          </a:extLst>
        </xdr:cNvPr>
        <xdr:cNvSpPr/>
      </xdr:nvSpPr>
      <xdr:spPr>
        <a:xfrm>
          <a:off x="25017218" y="20300615"/>
          <a:ext cx="1581771" cy="1562610"/>
        </a:xfrm>
        <a:prstGeom prst="rect">
          <a:avLst/>
        </a:prstGeom>
        <a:solidFill>
          <a:srgbClr val="F35D8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WS-33</a:t>
          </a:r>
        </a:p>
      </xdr:txBody>
    </xdr:sp>
    <xdr:clientData/>
  </xdr:twoCellAnchor>
  <xdr:twoCellAnchor>
    <xdr:from>
      <xdr:col>29</xdr:col>
      <xdr:colOff>419322</xdr:colOff>
      <xdr:row>60</xdr:row>
      <xdr:rowOff>60380</xdr:rowOff>
    </xdr:from>
    <xdr:to>
      <xdr:col>33</xdr:col>
      <xdr:colOff>573322</xdr:colOff>
      <xdr:row>77</xdr:row>
      <xdr:rowOff>61980</xdr:rowOff>
    </xdr:to>
    <xdr:sp macro="" textlink="">
      <xdr:nvSpPr>
        <xdr:cNvPr id="34" name="WS-34">
          <a:extLst>
            <a:ext uri="{FF2B5EF4-FFF2-40B4-BE49-F238E27FC236}">
              <a16:creationId xmlns:a16="http://schemas.microsoft.com/office/drawing/2014/main" id="{00000000-0008-0000-1E00-000022000000}"/>
            </a:ext>
          </a:extLst>
        </xdr:cNvPr>
        <xdr:cNvSpPr/>
      </xdr:nvSpPr>
      <xdr:spPr>
        <a:xfrm>
          <a:off x="24326515" y="12515292"/>
          <a:ext cx="3451544" cy="3410548"/>
        </a:xfrm>
        <a:prstGeom prst="rect">
          <a:avLst/>
        </a:prstGeom>
        <a:solidFill>
          <a:srgbClr val="F35D8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WS-34</a:t>
          </a:r>
        </a:p>
      </xdr:txBody>
    </xdr:sp>
    <xdr:clientData/>
  </xdr:twoCellAnchor>
  <xdr:twoCellAnchor>
    <xdr:from>
      <xdr:col>35</xdr:col>
      <xdr:colOff>736600</xdr:colOff>
      <xdr:row>60</xdr:row>
      <xdr:rowOff>190500</xdr:rowOff>
    </xdr:from>
    <xdr:to>
      <xdr:col>36</xdr:col>
      <xdr:colOff>559101</xdr:colOff>
      <xdr:row>64</xdr:row>
      <xdr:rowOff>25701</xdr:rowOff>
    </xdr:to>
    <xdr:sp macro="" textlink="">
      <xdr:nvSpPr>
        <xdr:cNvPr id="36" name="WS-42">
          <a:extLst>
            <a:ext uri="{FF2B5EF4-FFF2-40B4-BE49-F238E27FC236}">
              <a16:creationId xmlns:a16="http://schemas.microsoft.com/office/drawing/2014/main" id="{00000000-0008-0000-1E00-000024000000}"/>
            </a:ext>
          </a:extLst>
        </xdr:cNvPr>
        <xdr:cNvSpPr/>
      </xdr:nvSpPr>
      <xdr:spPr>
        <a:xfrm>
          <a:off x="29629100" y="12700000"/>
          <a:ext cx="648001" cy="648001"/>
        </a:xfrm>
        <a:prstGeom prst="rect">
          <a:avLst/>
        </a:prstGeom>
        <a:solidFill>
          <a:srgbClr val="C40D9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WS-42</a:t>
          </a:r>
        </a:p>
      </xdr:txBody>
    </xdr:sp>
    <xdr:clientData/>
  </xdr:twoCellAnchor>
  <xdr:twoCellAnchor>
    <xdr:from>
      <xdr:col>38</xdr:col>
      <xdr:colOff>812800</xdr:colOff>
      <xdr:row>60</xdr:row>
      <xdr:rowOff>190500</xdr:rowOff>
    </xdr:from>
    <xdr:to>
      <xdr:col>40</xdr:col>
      <xdr:colOff>529800</xdr:colOff>
      <xdr:row>67</xdr:row>
      <xdr:rowOff>136100</xdr:rowOff>
    </xdr:to>
    <xdr:sp macro="" textlink="">
      <xdr:nvSpPr>
        <xdr:cNvPr id="38" name="WS-44">
          <a:extLst>
            <a:ext uri="{FF2B5EF4-FFF2-40B4-BE49-F238E27FC236}">
              <a16:creationId xmlns:a16="http://schemas.microsoft.com/office/drawing/2014/main" id="{00000000-0008-0000-1E00-000026000000}"/>
            </a:ext>
          </a:extLst>
        </xdr:cNvPr>
        <xdr:cNvSpPr/>
      </xdr:nvSpPr>
      <xdr:spPr>
        <a:xfrm>
          <a:off x="32181800" y="12700000"/>
          <a:ext cx="1368000" cy="1368000"/>
        </a:xfrm>
        <a:prstGeom prst="rect">
          <a:avLst/>
        </a:prstGeom>
        <a:solidFill>
          <a:srgbClr val="774C9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WS-44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yilmaz/Dropbox%20(Personal)/Vertax/Finanzplanung_Businessplan_v4_BWA_Liq.xlsx" TargetMode="External"/><Relationship Id="rId1" Type="http://schemas.openxmlformats.org/officeDocument/2006/relationships/externalLinkPath" Target="/Users/yilmaz/Dropbox%20(Personal)/Vertax/Finanzplanung_Businessplan_v4_BWA_Liq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yilmaz/Files/Teaching/Industrial%20Engineering/2021/IE_2021_Chapter_08_Facility_Planning_blank.xlsm" TargetMode="External"/><Relationship Id="rId1" Type="http://schemas.openxmlformats.org/officeDocument/2006/relationships/externalLinkPath" Target="/Users/yilmaz/Files/Teaching/Industrial%20Engineering/2021/IE_2021_Chapter_08_Facility_Planning_blank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yilmaz/Files/Teaching/Industrial%20Engineering/2021/IE_2021_Chapter_05_Material_blank.xlsm" TargetMode="External"/><Relationship Id="rId1" Type="http://schemas.openxmlformats.org/officeDocument/2006/relationships/externalLinkPath" Target="/Users/yilmaz/Files/Teaching/Industrial%20Engineering/2021/IE_2021_Chapter_05_Material_blan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OM 2.5KW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03 Location Prioritization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S03 Location Prioritization"/>
    </sheetNames>
    <sheetDataSet>
      <sheetData sheetId="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Un Nisa, Mehr" id="{B12ED235-1DB4-1540-A194-C26FEFE583F7}" userId="Un Nisa, Mehr" providerId="None"/>
  <person displayName="Mehr un nisa" id="{E2250BE6-DAE5-5945-8800-A55244B201A1}" userId="339db36e35e288c4" providerId="Windows Live"/>
  <person displayName="Raka, Nusrat Jahan" id="{58DD7CAA-3AC9-244F-B36C-38290BDF59EC}" userId="S::nraka@jacobs-university.de::25823e52-acb5-46da-9ace-2471e61db45e" providerId="AD"/>
  <person displayName="Uygun, Yilmaz" id="{6E7B60D7-315E-3B47-B3A6-69A36AC9761F}" userId="S::yuygun@jacobs-university.de::ebbe539e-ff0d-4342-9f50-fb592989a767" providerId="AD"/>
  <person displayName="Un Nisa, Mehr" id="{BE062EF9-8FA8-3049-A2B3-BB2B138AD01F}" userId="S::munnisa@jacobs-university.de::86fd18d0-fe52-48d5-a7c4-bd4c0cf27d90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24A5F9-529A-4847-82E0-5AD7A777D7AC}" name="Table215" displayName="Table215" ref="S36:AR36" headerRowCount="0" totalsRowShown="0" tableBorderDxfId="11">
  <tableColumns count="26">
    <tableColumn id="1" xr3:uid="{9C6E9DEE-C4DD-9747-85B7-A0B58A4C1071}" name="Column1"/>
    <tableColumn id="2" xr3:uid="{0BCBCC20-D179-0C43-ABA9-E9AC6845D9E2}" name="Column2"/>
    <tableColumn id="3" xr3:uid="{9838DE46-9FB3-3046-A7FF-D7B3B4D72077}" name="Column3"/>
    <tableColumn id="4" xr3:uid="{BD9BED68-3100-C74A-A5DD-CF252A69694E}" name="Column4"/>
    <tableColumn id="5" xr3:uid="{DEBFDAA0-ED9C-3346-B379-837EDA0400AB}" name="Column5"/>
    <tableColumn id="6" xr3:uid="{E7E894BD-3794-D946-96CB-948BE2F0C777}" name="Column6"/>
    <tableColumn id="7" xr3:uid="{ACE458C4-4EA4-8B44-9440-D73D1423CDFB}" name="Column7"/>
    <tableColumn id="8" xr3:uid="{2A6CB466-32DF-3D44-909C-159509729A72}" name="Column8"/>
    <tableColumn id="9" xr3:uid="{3C8A107C-33E4-0C43-A093-FD459956A6F2}" name="Column9"/>
    <tableColumn id="10" xr3:uid="{CD550561-F7EC-2B43-A2C3-9975B143B961}" name="Column10"/>
    <tableColumn id="11" xr3:uid="{ED225E34-2B24-7C45-8724-87E733F0CFC8}" name="Column11"/>
    <tableColumn id="12" xr3:uid="{EF6370D2-9A62-0A42-B463-24EF0F06D111}" name="Column12"/>
    <tableColumn id="13" xr3:uid="{D32A3DC1-9139-234F-968E-CA19E8CA338A}" name="Column13"/>
    <tableColumn id="14" xr3:uid="{621BAA53-38B5-8D4A-8FC4-2F73316953A2}" name="Column14"/>
    <tableColumn id="15" xr3:uid="{C1EEC750-0BE7-FA4F-9299-F6C517E18A9A}" name="Column15"/>
    <tableColumn id="16" xr3:uid="{78C510E6-76B2-5B49-93D9-18E31BB43A54}" name="Column16"/>
    <tableColumn id="17" xr3:uid="{F85A66D4-1179-BB44-8B09-85F1ED68615D}" name="Column17"/>
    <tableColumn id="18" xr3:uid="{A53FC088-A52A-1F42-82FA-68497F3EDBFA}" name="Column18"/>
    <tableColumn id="19" xr3:uid="{9B3464C5-B22D-F94C-A90D-4F3AEED38BEB}" name="Column19"/>
    <tableColumn id="20" xr3:uid="{E1ECCF99-16E9-AA4C-9A6D-E02B66844086}" name="Column20"/>
    <tableColumn id="21" xr3:uid="{BE776147-E697-DF47-98CA-B3AB4D9094ED}" name="Column21"/>
    <tableColumn id="22" xr3:uid="{60FA0762-1C42-914B-A739-2313B3E61878}" name="Column22"/>
    <tableColumn id="23" xr3:uid="{61D5F96F-50BF-B040-9402-4A34E24B34F7}" name="Column23"/>
    <tableColumn id="24" xr3:uid="{A37FAD3D-8739-8240-A706-CC967C7C5DC1}" name="Column24" dataDxfId="10"/>
    <tableColumn id="25" xr3:uid="{9C25FF9F-6D9E-324F-86D0-5DACD63E0287}" name="Column25" dataDxfId="9"/>
    <tableColumn id="26" xr3:uid="{29E2F18E-9DAC-394E-9150-1B8A990643F6}" name="Column26" dataDxfId="8"/>
  </tableColumns>
  <tableStyleInfo name="TableStyleMedium15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C3FCCD-D1B9-9741-BB2C-C4848B239BFC}" name="Table2" displayName="Table2" ref="L1:O118" totalsRowShown="0">
  <autoFilter ref="L1:O118" xr:uid="{1834BDD5-F623-4C2A-ADB9-D55A06D0D6F2}">
    <filterColumn colId="0" hiddenButton="1"/>
    <filterColumn colId="1" hiddenButton="1"/>
    <filterColumn colId="2" hiddenButton="1"/>
    <filterColumn colId="3" hiddenButton="1"/>
  </autoFilter>
  <tableColumns count="4">
    <tableColumn id="1" xr3:uid="{948D58AC-C4BA-1A44-9560-44B27056180F}" name="Annual Production Lots Rank" dataDxfId="7">
      <calculatedColumnFormula>RANK(HLOOKUP(A2,$S$19:$AR$36,MATCH(E2,INDEX($S$19:$AR$35, ,HLOOKUP(A2,$S$19:$AR$36,18,0)),0),0),INDEX($S$19:$AR$35, ,HLOOKUP(A2,$S$19:$AR$36,18,0)),0)</calculatedColumnFormula>
    </tableColumn>
    <tableColumn id="2" xr3:uid="{973E4982-F14A-DE48-9052-A92E02C42001}" name="Min Lots per WS" dataDxfId="6">
      <calculatedColumnFormula>MIN(_xlfn.IFS($A2=$S$2,$S$3:$S$18,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calculatedColumnFormula>
    </tableColumn>
    <tableColumn id="4" xr3:uid="{95E86425-8467-4948-BA7E-EB1800FB3E47}" name="Max Lots per WS2" dataDxfId="5">
      <calculatedColumnFormula>MAX(_xlfn.IFS($A2=$S$2,$S$3:$S$18,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calculatedColumnFormula>
    </tableColumn>
    <tableColumn id="3" xr3:uid="{4D73E6D9-3005-2547-B893-E74E54F2E89A}" name="Different Lots">
      <calculatedColumnFormula>COUNT( _xlfn.IFS(B2=$S$2,#REF!, B2=$T$2,#REF!, B2=$U$2,#REF!, B2=$V$2,#REF!, B2=$W$2,#REF!, B2=$X$2,#REF!, B2=$Y$2,#REF!, B2=$Z$2,#REF!, B2=$AA$2,#REF!, B2=$AB$2,#REF!, B2= $AC$2,#REF!, B2=$AD$2,#REF!, B2=$AE$2,#REF!, B2=$AF$2,#REF!, B2=$AG$2,#REF!, B2=$AH$2,#REF!, B2=$AI$2,#REF!, B2=$AJ$2,#REF!, B2=$AK$2,#REF!, B2=$AL$2,#REF!, B2=$AM$2,#REF!, B2=$AN$2,#REF!, B2=$AO$2,#REF!, B2=$AP$2,#REF!, B2=$AQ$2,#REF!, B2=$AR$2,#REF!))</calculatedColumnFormula>
    </tableColumn>
  </tableColumns>
  <tableStyleInfo name="TableStyleMedium15" showFirstColumn="0" showLastColumn="0" showRowStripes="0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3" dT="2022-12-21T10:22:27.55" personId="{6E7B60D7-315E-3B47-B3A6-69A36AC9761F}" id="{8768BEA6-CF9F-B44F-BA6D-E47C2F81D520}">
    <text>a ductile material is a material that can easily be stretched into a wire when pulled.
Yield Strength/ Tensile Strength</text>
  </threadedComment>
  <threadedComment ref="K33" dT="2022-12-21T10:23:06.27" personId="{6E7B60D7-315E-3B47-B3A6-69A36AC9761F}" id="{EAA8E41D-4EDE-4B43-B920-4DADA1B7AFE4}" parentId="{8768BEA6-CF9F-B44F-BA6D-E47C2F81D520}">
    <text>A higher percentage usually indicates a better quality material when combined with a good Tensile Strength.
https://omnexus.specialchem.com/polymer-properties/properties/elongation-at-break?src=prop-cnx</text>
  </threadedComment>
  <threadedComment ref="F34" dT="2022-09-18T19:36:04.21" personId="{E2250BE6-DAE5-5945-8800-A55244B201A1}" id="{608AD8E5-7B3D-2442-A706-ED5B8F49F0EC}">
    <text>1 t/m3 = 1 g/cm3</text>
  </threadedComment>
  <threadedComment ref="C35" dT="2022-09-29T12:40:54.70" personId="{BE062EF9-8FA8-3049-A2B3-BB2B138AD01F}" id="{6ED27B7D-46A3-9744-A627-BFB15F951AFF}">
    <text>430 to 460 MPa</text>
  </threadedComment>
  <threadedComment ref="E35" dT="2022-09-29T12:41:11.54" personId="{BE062EF9-8FA8-3049-A2B3-BB2B138AD01F}" id="{3F59673B-A775-964E-8892-0DA4E351587C}">
    <text>190 GPa</text>
  </threadedComment>
  <threadedComment ref="H35" dT="2022-12-12T09:50:13.20" personId="{58DD7CAA-3AC9-244F-B36C-38290BDF59EC}" id="{C55F47B8-ACA6-C241-A9C2-0B58974FB589}">
    <text xml:space="preserve">Rockwell hardness C
</text>
  </threadedComment>
  <threadedComment ref="C36" dT="2022-09-29T12:38:28.51" personId="{BE062EF9-8FA8-3049-A2B3-BB2B138AD01F}" id="{CB2B1EE9-DE3D-1141-8562-7814CDE873DB}">
    <text>90</text>
  </threadedComment>
  <threadedComment ref="H36" dT="2022-12-12T09:50:19.72" personId="{58DD7CAA-3AC9-244F-B36C-38290BDF59EC}" id="{19C45B71-A546-0946-A677-E7D687E87944}">
    <text xml:space="preserve">Rockwell hardness B
</text>
  </threadedComment>
  <threadedComment ref="K36" dT="2022-12-12T11:55:56.50" personId="{58DD7CAA-3AC9-244F-B36C-38290BDF59EC}" id="{D7A1EEE3-7802-4A4B-BCEC-8902805FA544}">
    <text>can vary depending on thickness
Rockwell B</text>
  </threadedComment>
  <threadedComment ref="C37" dT="2022-09-29T12:56:53.21" personId="{BE062EF9-8FA8-3049-A2B3-BB2B138AD01F}" id="{C9E6A832-736B-1543-8E17-B0BF8D1867E6}">
    <text>1720-3690</text>
  </threadedComment>
  <threadedComment ref="E37" dT="2022-09-29T13:37:26.27" personId="{BE062EF9-8FA8-3049-A2B3-BB2B138AD01F}" id="{9FB3F64B-DA5A-934B-B2E8-1D189D123B88}">
    <text>120-580</text>
  </threadedComment>
  <threadedComment ref="H37" dT="2022-12-12T10:14:38.35" personId="{58DD7CAA-3AC9-244F-B36C-38290BDF59EC}" id="{86024E54-F2AB-D94D-A345-343010874D24}">
    <text>https://www.academia.edu/4240905/Mechanical_Properties_of_Carbon_Fibre_Composite_Materials</text>
  </threadedComment>
  <threadedComment ref="K37" dT="2022-12-13T15:06:16.29" personId="{58DD7CAA-3AC9-244F-B36C-38290BDF59EC}" id="{B87C1FA3-8A6B-204F-B1BA-2B092C85C2A2}">
    <text>https://www.sciencedirect.com/science/article/pii/S2214785320357618</text>
  </threadedComment>
  <threadedComment ref="C38" dT="2022-09-29T13:31:53.64" personId="{BE062EF9-8FA8-3049-A2B3-BB2B138AD01F}" id="{EBF7269B-0406-F948-9BC4-73864536716F}">
    <text>480-1,600</text>
  </threadedComment>
  <threadedComment ref="E38" dT="2022-09-29T13:35:30.57" personId="{BE062EF9-8FA8-3049-A2B3-BB2B138AD01F}" id="{93886244-0860-CD41-AEFD-7675E65A7F99}">
    <text xml:space="preserve">35-51
</text>
  </threadedComment>
  <threadedComment ref="H38" dT="2022-12-12T10:09:25.17" personId="{58DD7CAA-3AC9-244F-B36C-38290BDF59EC}" id="{E6684933-6DB2-3545-9EF1-6B7454428101}">
    <text>https://www.researchgate.net/publication/348925726_THE_INVESTIGATION_OF_HARDNESS_PROPERTIES_OF_GFRP_COMPOSITE_PIPES_UNDER_SEAWATER_CONDITIONS</text>
  </threadedComment>
  <threadedComment ref="K38" dT="2022-12-13T15:06:36.61" personId="{58DD7CAA-3AC9-244F-B36C-38290BDF59EC}" id="{2501A161-918A-C34C-8C41-4E84E0CF4859}">
    <text>https://www.sciencedirect.com/science/article/pii/S2214785320357618</text>
  </threadedComment>
  <threadedComment ref="C39" dT="2022-09-29T13:43:53.77" personId="{BE062EF9-8FA8-3049-A2B3-BB2B138AD01F}" id="{86A94D82-D713-FD44-8F21-5EF351836F90}">
    <text>2800-4800</text>
  </threadedComment>
  <threadedComment ref="E39" dT="2022-09-29T13:44:19.58" personId="{BE062EF9-8FA8-3049-A2B3-BB2B138AD01F}" id="{AF766577-C414-D945-93FC-2A0426756FC6}">
    <text>86-90</text>
  </threadedComment>
  <threadedComment ref="H39" dT="2022-12-12T10:15:43.57" personId="{58DD7CAA-3AC9-244F-B36C-38290BDF59EC}" id="{309E09BE-B403-3142-B986-B0DB841EC6AF}">
    <text>shore D</text>
  </threadedComment>
  <threadedComment ref="K39" dT="2022-12-12T12:20:18.31" personId="{58DD7CAA-3AC9-244F-B36C-38290BDF59EC}" id="{5A34A52C-B641-6C42-AD40-3307A20BCBAF}">
    <text>https://www.sciencedirect.com/science/article/pii/S2214785320357618</text>
  </threadedComment>
  <threadedComment ref="C40" dT="2022-09-28T22:58:29.05" personId="{BE062EF9-8FA8-3049-A2B3-BB2B138AD01F}" id="{8C3F00E8-EA7B-D04B-BDCC-82DB7E47F0AF}">
    <text xml:space="preserve">at 23 Celcius
</text>
  </threadedComment>
  <threadedComment ref="C40" dT="2022-09-28T23:05:30.27" personId="{BE062EF9-8FA8-3049-A2B3-BB2B138AD01F}" id="{587F6EEA-DD8C-014A-A1E3-548509E4CFE3}" parentId="{8C3F00E8-EA7B-D04B-BDCC-82DB7E47F0AF}">
    <text>50-60 mpa</text>
  </threadedComment>
  <threadedComment ref="E40" dT="2022-09-28T23:03:46.74" personId="{BE062EF9-8FA8-3049-A2B3-BB2B138AD01F}" id="{9E620AD4-E487-8947-9464-A8E6C247C6CC}">
    <text>https://pdf.sciencedirectassets.com/278653/1-s2.0-S1877705815X0021X/1-s2.0-S1877705815016434/main.pdf?X-Amz-Security-Token=IQoJb3JpZ2luX2VjEH4aCXVzLWVhc3QtMSJHMEUCIQCV%2F6ULXwUkzQFTwA9D0YaQr5lTIbAs50DS1M0E6XQjsAIgY2Od8Ef%2FClWsYn5e3miccH7RZQrenilNsL%2F5zVS7wVMqzAQINxAFGgwwNTkwMDM1NDY4NjUiDHV70Q4OFAZa1eQrRyqpBJMZt1Uli06EbamMioU2%2FdIIs3qQ1uTtbeVmLEpBvu9RJg51uMPSmAms%2F%2BkPWm07hBIcxj0VP%2Fy06VmwKlKfYt%2F9096dARVb%2B%2B8ZEWrbMufpl3eeIytGbMIu9eRUo1zUAbRLxqFVaypJ%2BDf7ByjIn%2FGNW36mfAGdGpZmpp99QjtamUd3Rmxe%2FcRGOPIiSg%2BVBB%2Fj9qGKXls1BejqNmYY0lqdB42nVVDjNx1BYRl3LPnACtmC1TVLUgW7rYTB%2Bs1oJvvZaOLq4TzhSkoOHHL0YzXFzWVSErWsiv7kfaUzOkMLon%2FDJx%2FE6SesYwxDA1q3lZkOAT%2FP4%2BYZVYbNVqNaFleNfGQev0tXWL2AHEesKwBgRdF0miW8hckUFtKsQTbW5VzVfbTWaC72EfJweklTGXzWW8HcTb79Rjb1UJub3J77a7mKtmu2adospFT3F2miw9LbL9n2Z9y3koqo8axw%2BEwOF6NkJHfpnej1u6k5PQveTo9IYkv%2BtkdeOnbwfDsmEjkXlThVJFPHL5Ouw6Whdwf8ZhYaxi5xdHOkYTWm%2BYWc7KEvfMHC5TFgDwSbrM%2B6xFzv9YDdGEDsv3pt5xYRuAKAnlOJndamgRrR5046nPQisW0k%2FsIRuPyKXCEsp49IupEAoRVKUO%2FeY99lL0dK5I7MFi8szJgR7KGcqPVpMtQGUG6Tn6PNyU25qCPn7DMzVZdEsjcYgP%2BLPDtb2WZgCzkgtj51ykO4bdow%2BPbSmQY6qQHdDxBTa2YUQB3DAhzaItWPhvOiMYLecERvXHXUyKTc%2Fx1HcHdqVIdT11r2VXnivEummfU9YdK5GBOAGwKS78DaLQfZV8mpOxcX%2FSNbHBrg5jaXxGzllByYjOfpgPJx%2FJxJc%2B3aMESltrwSo2pyvWW%2FaxNBwWD1huEE3vBaEZSm42a54vO%2Bog7YGZ7MStUPbW2nT%2FB5oVpvB42JDMdTgDEpIBE%2Bhu%2BKGXPp&amp;X-Amz-Algorithm=AWS4-HMAC-SHA256&amp;X-Amz-Date=20220928T230300Z&amp;X-Amz-SignedHeaders=host&amp;X-Amz-Expires=300&amp;X-Amz-Credential=ASIAQ3PHCVTY6GRB5ZGK%2F20220928%2Fus-east-1%2Fs3%2Faws4_request&amp;X-Amz-Signature=6a2613ffb309f81920d7288bc78d8aeb67df9639386004208d9d5ca9e32b70c5&amp;hash=bcb22c5ac73f81108e258dc6165298a3e2ac39614271ef1f521d56a5d270456d&amp;host=68042c943591013ac2b2430a89b270f6af2c76d8dfd086a07176afe7c76c2c61&amp;pii=S1877705815016434&amp;tid=spdf-30542c60-a167-4507-b689-e1001981a562&amp;sid=e6e861d033c6b6416e-9239-cf7512116c18gxrqb&amp;type=client&amp;ua=5850525e50055254&amp;rr=75201c22cde658f6</text>
  </threadedComment>
  <threadedComment ref="E40" dT="2022-09-28T23:05:54.33" personId="{BE062EF9-8FA8-3049-A2B3-BB2B138AD01F}" id="{2A815DBC-CBEE-4442-9160-C8435C39334D}" parentId="{9E620AD4-E487-8947-9464-A8E6C247C6CC}">
    <text>3.5-4.1</text>
  </threadedComment>
  <threadedComment ref="H40" dT="2022-12-12T10:18:09.21" personId="{58DD7CAA-3AC9-244F-B36C-38290BDF59EC}" id="{D2C00C00-2B70-1240-9A9B-551530787D16}">
    <text>Rockwell M</text>
  </threadedComment>
  <threadedComment ref="L40" dT="2022-12-13T15:11:18.82" personId="{58DD7CAA-3AC9-244F-B36C-38290BDF59EC}" id="{99739960-55AE-654C-845F-FE0132F4CDEF}">
    <text xml:space="preserve">https://www.matweb.com/search/DataSheet.aspx?MatGUID=ab96a4c0655c4018a8785ac4031b9278&amp;ckck=1
</text>
  </threadedComment>
  <threadedComment ref="C41" dT="2022-09-24T20:00:41.09" personId="{E2250BE6-DAE5-5945-8800-A55244B201A1}" id="{44D61C83-ADCF-C84F-BFE8-EF006B65668C}">
    <text>71-75</text>
  </threadedComment>
  <threadedComment ref="H41" dT="2022-12-08T11:29:33.60" personId="{58DD7CAA-3AC9-244F-B36C-38290BDF59EC}" id="{65050545-47EC-2A48-8AD8-99BF337FD855}">
    <text>General shore D
The Shore D Hardness test (also called Durometer Hardness Test) is used when the material is too soft to be measured by a Rockwell test.</text>
  </threadedComment>
  <threadedComment ref="M41" dT="2022-09-24T20:03:48.10" personId="{E2250BE6-DAE5-5945-8800-A55244B201A1}" id="{BA587D7A-ECA4-AA4C-8802-41F37E5F9ABE}">
    <text>1630- 1857/ ton</text>
  </threadedComment>
  <threadedComment ref="H42" dT="2022-12-08T11:28:27.25" personId="{58DD7CAA-3AC9-244F-B36C-38290BDF59EC}" id="{0E9268D5-0FE8-4A42-B9C0-57F6E3868FB8}">
    <text>General shore D</text>
  </threadedComment>
  <threadedComment ref="I42" dT="2022-12-19T23:04:18.55" personId="{58DD7CAA-3AC9-244F-B36C-38290BDF59EC}" id="{74D80B84-118D-7F44-A08D-B935FB1B8D2A}">
    <text>https://undercoverinfo.com/education-center/3/post/29/why-should-i-choose-abs-over-fiberglass</text>
  </threadedComment>
  <threadedComment ref="M42" dT="2022-09-24T20:07:55.03" personId="{E2250BE6-DAE5-5945-8800-A55244B201A1}" id="{EB2A23AF-7F2D-D54E-96A7-573B452A1A64}">
    <text>698-874</text>
  </threadedComment>
  <threadedComment ref="H43" dT="2022-12-12T10:28:54.83" personId="{58DD7CAA-3AC9-244F-B36C-38290BDF59EC}" id="{B9C668D3-A738-9344-86E7-9A2CBC69E66B}">
    <text>Shore D</text>
  </threadedComment>
  <threadedComment ref="I43" dT="2022-12-19T23:02:05.50" personId="{58DD7CAA-3AC9-244F-B36C-38290BDF59EC}" id="{A980A392-30DC-D743-B1E3-0C2877AC9DEF}">
    <text>https://www.theengineblock.com/polyurethane-and-abs-whats-the-difference-and-whats-better/</text>
  </threadedComment>
  <threadedComment ref="K43" dT="2022-12-13T15:14:02.24" personId="{58DD7CAA-3AC9-244F-B36C-38290BDF59EC}" id="{F564A453-5368-6540-860D-521531082F60}">
    <text>https://www.makeitfrom.com/material-properties/Rigid-Thermoplastic-Polyurethane-RTPU-PUR-RT</text>
  </threadedComment>
  <threadedComment ref="M43" dT="2022-09-25T13:06:24.59" personId="{E2250BE6-DAE5-5945-8800-A55244B201A1}" id="{930813D1-22F4-B041-985A-2BFAB3B48B33}">
    <text>3612-4210</text>
  </threadedComment>
  <threadedComment ref="C44" dT="2022-09-28T22:14:59.60" personId="{BE062EF9-8FA8-3049-A2B3-BB2B138AD01F}" id="{1A03515B-44FE-1F47-9A85-DD7D39C8F6BA}">
    <text>This value can not be found on internet more than 14 mpa, but here it has been changed to 60mpa please check this one again</text>
  </threadedComment>
  <threadedComment ref="E44" dT="2022-09-28T21:53:14.53" personId="{BE062EF9-8FA8-3049-A2B3-BB2B138AD01F}" id="{8F102FA5-13A8-8642-B97D-05B29DA1F646}">
    <text>0.03 - 1.88 GPa</text>
  </threadedComment>
  <threadedComment ref="F44" dT="2022-09-25T14:08:08.57" personId="{E2250BE6-DAE5-5945-8800-A55244B201A1}" id="{42B49AEF-A0B7-0B4D-BA70-7B8929871C49}">
    <text>0.05-1.7</text>
  </threadedComment>
  <threadedComment ref="H44" dT="2022-12-12T10:27:31.84" personId="{58DD7CAA-3AC9-244F-B36C-38290BDF59EC}" id="{A6DDCFB0-E339-FF4A-A0E4-3509650D1BC0}">
    <text>Rockwell A</text>
  </threadedComment>
  <threadedComment ref="I44" dT="2022-12-19T23:02:05.50" personId="{58DD7CAA-3AC9-244F-B36C-38290BDF59EC}" id="{7FC61D4F-12C1-4740-B436-680ED3CB310A}">
    <text>https://www.theengineblock.com/polyurethane-and-abs-whats-the-difference-and-whats-better/</text>
  </threadedComment>
  <threadedComment ref="K44" dT="2022-12-13T15:17:01.02" personId="{58DD7CAA-3AC9-244F-B36C-38290BDF59EC}" id="{1BA4406F-88B4-2A42-87AB-99B50271CDEB}">
    <text>https://matweb.com/search/datasheet.aspx?matguid=2fe782a31c4b4bed984b49651762b086&amp;ckck=1</text>
  </threadedComment>
  <threadedComment ref="L44" dT="2022-12-13T15:16:01.24" personId="{58DD7CAA-3AC9-244F-B36C-38290BDF59EC}" id="{A3D0A87F-5F7F-C345-B7DA-0A85289FEFAB}">
    <text>https://matweb.com/search/datasheet.aspx?matguid=2fe782a31c4b4bed984b49651762b086&amp;ckck=1</text>
  </threadedComment>
  <threadedComment ref="M44" dT="2022-09-25T12:57:39.82" personId="{E2250BE6-DAE5-5945-8800-A55244B201A1}" id="{19E26632-23C6-2242-A814-5A9063FC8947}">
    <text>7017-7327</text>
  </threadedComment>
  <threadedComment ref="C45" dT="2022-09-18T18:43:29.41" personId="{E2250BE6-DAE5-5945-8800-A55244B201A1}" id="{3EEA9A9E-37E5-8141-A334-1A42D50B30A0}">
    <text>16-67</text>
  </threadedComment>
  <threadedComment ref="E45" dT="2022-09-18T18:52:42.62" personId="{E2250BE6-DAE5-5945-8800-A55244B201A1}" id="{ED8081E2-1A7B-1847-B93A-D601CCBB48DC}">
    <text xml:space="preserve">0.0827 - 0.745 GPa	</text>
  </threadedComment>
  <threadedComment ref="F45" dT="2022-09-18T18:51:32.30" personId="{E2250BE6-DAE5-5945-8800-A55244B201A1}" id="{661F065A-3981-F542-B93F-B546F2BB7DAC}">
    <text xml:space="preserve">0.970 - 1.20 g/cc	</text>
  </threadedComment>
  <threadedComment ref="H45" dT="2022-12-12T10:33:54.17" personId="{58DD7CAA-3AC9-244F-B36C-38290BDF59EC}" id="{73F0A99D-A514-0C4B-B046-D53EDC3C9607}">
    <text>Shore D</text>
  </threadedComment>
  <threadedComment ref="I45" dT="2022-12-19T23:13:15.33" personId="{58DD7CAA-3AC9-244F-B36C-38290BDF59EC}" id="{C9161D78-4E9F-4145-9DD4-AD5A2E6CEB87}">
    <text>Depends on the formulation</text>
  </threadedComment>
  <threadedComment ref="M45" dT="2022-09-18T19:09:01.50" personId="{E2250BE6-DAE5-5945-8800-A55244B201A1}" id="{3CC6B94B-A657-664A-BA7A-A9ED53C81601}">
    <text>Seller in Hong Kong price: $1857 per MT
Seller in Sydney price: $2538 per MT
Seller in Tehran price: $1457 per MT
Seller in Chicago price: $1901 per MT</text>
  </threadedComment>
  <threadedComment ref="C46" dT="2022-09-24T21:21:02.89" personId="{E2250BE6-DAE5-5945-8800-A55244B201A1}" id="{56BFD61A-A0E8-B24C-970B-852FEBB0E621}">
    <text>13.71-42.51</text>
  </threadedComment>
  <threadedComment ref="H46" dT="2022-12-13T16:08:32.72" personId="{58DD7CAA-3AC9-244F-B36C-38290BDF59EC}" id="{9052CF27-4B87-6F42-9D59-EFE9D1091009}">
    <text xml:space="preserve">Rockwell R
</text>
  </threadedComment>
  <threadedComment ref="L46" dT="2022-12-13T16:08:58.94" personId="{58DD7CAA-3AC9-244F-B36C-38290BDF59EC}" id="{7C3A2EFB-A1DE-0148-A8DC-4CB5BAD5E5DB}">
    <text>https://www.researchgate.net/publication/365146117_Characterization_and_Evaluation_of_Employment_in_Rigid_Packaging_of_Polypropylene_Composites_with_Bamboo_Fiber</text>
  </threadedComment>
  <threadedComment ref="C47" dT="2022-09-25T12:03:34.87" personId="{E2250BE6-DAE5-5945-8800-A55244B201A1}" id="{97949CD1-3E08-2D45-83A6-3AA5EA13A600}">
    <text>34-38</text>
  </threadedComment>
  <threadedComment ref="E47" dT="2022-09-29T10:43:24.94" personId="{BE062EF9-8FA8-3049-A2B3-BB2B138AD01F}" id="{4855116A-4114-4944-A509-A51B6B31E081}">
    <text xml:space="preserve">3.2-5.1
</text>
  </threadedComment>
  <threadedComment ref="F47" dT="2022-09-29T10:41:30.98" personId="{BE062EF9-8FA8-3049-A2B3-BB2B138AD01F}" id="{EC26F92E-9021-4545-8F87-385208959FF2}">
    <text xml:space="preserve">1.05-1.15
</text>
  </threadedComment>
  <threadedComment ref="H47" dT="2022-12-16T14:02:32.86" personId="{58DD7CAA-3AC9-244F-B36C-38290BDF59EC}" id="{46D85044-2F5B-B14A-8A73-A6C1A9A0D461}">
    <text>Assumed same as PP</text>
  </threadedComment>
  <threadedComment ref="L47" dT="2022-12-13T16:13:13.95" personId="{58DD7CAA-3AC9-244F-B36C-38290BDF59EC}" id="{A920CECB-6B85-714C-A106-D4F133E4EAD8}">
    <text xml:space="preserve">https://matmatch.com/materials/mbas160-polypropylene-reinforced-with-50-wood-pp-w50-
</text>
  </threadedComment>
  <threadedComment ref="M47" dT="2022-09-25T12:01:42.01" personId="{E2250BE6-DAE5-5945-8800-A55244B201A1}" id="{02A27A21-70DE-A249-8C04-2EFD7C75EA15}">
    <text>2000-5000</text>
  </threadedComment>
  <threadedComment ref="B48" dT="2022-09-18T19:08:39.76" personId="{E2250BE6-DAE5-5945-8800-A55244B201A1}" id="{77690F29-F1B9-C444-9B88-944F3C01C5B6}">
    <text>Aluminium 98.5% (Aluminium 6101 alloy)  and Pure aluminium 99.5%</text>
  </threadedComment>
  <threadedComment ref="E48" dT="2022-09-18T19:13:36.29" personId="{E2250BE6-DAE5-5945-8800-A55244B201A1}" id="{82963019-8472-2E4E-A0DB-D77702939F38}">
    <text xml:space="preserve">100-101
</text>
  </threadedComment>
  <threadedComment ref="F48" dT="2022-09-18T19:16:40.15" personId="{E2250BE6-DAE5-5945-8800-A55244B201A1}" id="{4BBFF5F7-0225-2C41-8266-BBB8F06FA125}">
    <text>0.11 to 0.41 t/m3</text>
  </threadedComment>
  <threadedComment ref="H48" dT="2022-12-12T10:37:58.01" personId="{58DD7CAA-3AC9-244F-B36C-38290BDF59EC}" id="{80DA46DE-D064-D74D-A244-9880E495D2E6}">
    <text xml:space="preserve"> HRB
https://www.researchgate.net/publication/326678478_Effects_of_Calcium_Carbonate_Magnesium_Carbonate_and_Dolomite_in_Aluminium_Alloy</text>
  </threadedComment>
  <threadedComment ref="K48" dT="2022-12-13T23:09:11.46" personId="{58DD7CAA-3AC9-244F-B36C-38290BDF59EC}" id="{F84CC4D4-5D43-2D4D-9A39-EDB9922DF885}">
    <text>http://www.metalfoam.net/metfoam1999-articles/einzelartikel/metfoam1999-379-386-schultz.pdf</text>
  </threadedComment>
  <threadedComment ref="M49" dT="2022-09-28T10:27:56.53" personId="{B12ED235-1DB4-1540-A194-C26FEFE583F7}" id="{5013707F-23E0-AF4A-B020-E856AAD214B3}">
    <text>€1.06 - €2.12/ acre</text>
  </threadedComment>
  <threadedComment ref="C50" dT="2022-09-28T09:52:47.68" personId="{B12ED235-1DB4-1540-A194-C26FEFE583F7}" id="{5563265B-AAD9-A84D-B360-7FFD70CC1952}">
    <text>421-474</text>
  </threadedComment>
  <threadedComment ref="E50" dT="2022-09-28T09:56:16.68" personId="{B12ED235-1DB4-1540-A194-C26FEFE583F7}" id="{6B820826-8FD3-024B-AA03-FF7DD1412D63}">
    <text xml:space="preserve">71-72
</text>
  </threadedComment>
  <threadedComment ref="F50" dT="2022-09-28T10:18:00.74" personId="{B12ED235-1DB4-1540-A194-C26FEFE583F7}" id="{C7B89471-1F31-1648-9EB3-A638D58844E9}">
    <text>Mass density ,  Material density varies by ± 0,01 g/cm³ within the range of possible chemical composition variations</text>
  </threadedComment>
  <threadedComment ref="M50" dT="2022-09-28T10:15:34.49" personId="{B12ED235-1DB4-1540-A194-C26FEFE583F7}" id="{400E8042-AF51-9A4B-9318-7F17E7077691}">
    <text>€48.61 - €158.49/ square meter</text>
  </threadedComment>
  <threadedComment ref="H51" dT="2022-12-14T09:30:10.26" personId="{58DD7CAA-3AC9-244F-B36C-38290BDF59EC}" id="{3B2D76BA-D9D0-2D4F-B515-5AE0462C1A5F}">
    <text>https://www.sciencedirect.com/science/article/pii/S0264127521008315
shore D</text>
  </threadedComment>
  <threadedComment ref="K51" dT="2022-12-13T22:59:40.08" personId="{58DD7CAA-3AC9-244F-B36C-38290BDF59EC}" id="{13AB3C06-6232-C74E-BCD7-7DC9C89503AB}">
    <text>https://www.researchgate.net/publication/326359192_Evaluation_of_mechanical_properties_of_hybrid_composite_laminates_reinforced_with_glasscarbon_woven_fabrics
carbon-1.5
glass-4.5
epoxy-4.6</text>
  </threadedComment>
  <threadedComment ref="M51" dT="2022-09-28T10:19:55.55" personId="{B12ED235-1DB4-1540-A194-C26FEFE583F7}" id="{53E52FF1-658A-7A4F-8DAA-0D1AD3353921}">
    <text>1400-2200</text>
  </threadedComment>
  <threadedComment ref="H52" dT="2022-12-14T09:41:43.27" personId="{58DD7CAA-3AC9-244F-B36C-38290BDF59EC}" id="{B78056A7-CBEB-8E47-9855-B7CD54EDE488}">
    <text>Assumed values are highlighted in yellow</text>
  </threadedComment>
  <threadedComment ref="H53" dT="2022-12-14T09:30:10.26" personId="{58DD7CAA-3AC9-244F-B36C-38290BDF59EC}" id="{287C866D-A092-5846-8A36-CA752C108D21}">
    <text>https://www.sciencedirect.com/science/article/pii/S0264127521008315
shore D</text>
  </threadedComment>
  <threadedComment ref="M53" dT="2022-09-25T13:11:57.00" personId="{E2250BE6-DAE5-5945-8800-A55244B201A1}" id="{78353378-EB09-0B4D-B8E3-CBE6109F0AA7}">
    <text>5676-10320</text>
  </threadedComment>
  <threadedComment ref="H54" dT="2022-12-14T09:40:33.07" personId="{58DD7CAA-3AC9-244F-B36C-38290BDF59EC}" id="{0EAB9204-C38A-F943-AD8C-079C27606273}">
    <text>https://www.matweb.com/search/datasheet.aspx?matguid=39e40851fc164b6c9bda29d798bf3726
shore D</text>
  </threadedComment>
  <threadedComment ref="M54" dT="2022-09-25T13:52:24.92" personId="{E2250BE6-DAE5-5945-8800-A55244B201A1}" id="{31F244D8-9705-614C-AC14-08E9E5577FC7}">
    <text>6780-8772</text>
  </threadedComment>
  <threadedComment ref="C55" dT="2022-09-18T23:04:27.92" personId="{E2250BE6-DAE5-5945-8800-A55244B201A1}" id="{4416BD49-4538-3342-974A-6ADCC28832AD}">
    <text>20-30</text>
  </threadedComment>
  <threadedComment ref="E55" dT="2022-09-18T23:05:17.22" personId="{E2250BE6-DAE5-5945-8800-A55244B201A1}" id="{ACC0AC7E-735F-3B47-ADD4-C9FABFFFA6AE}">
    <text xml:space="preserve">0.8-1.3
</text>
  </threadedComment>
  <threadedComment ref="F55" dT="2022-09-18T23:05:56.20" personId="{E2250BE6-DAE5-5945-8800-A55244B201A1}" id="{9C9B8A86-FA66-654A-A0B0-58DC9260BA1E}">
    <text>0.895 - 0.905</text>
  </threadedComment>
  <threadedComment ref="H55" dT="2022-12-08T11:33:24.42" personId="{58DD7CAA-3AC9-244F-B36C-38290BDF59EC}" id="{A5D6832B-95B3-3E4C-B367-8CB0CD6698B6}">
    <text>Shore D</text>
  </threadedComment>
  <threadedComment ref="K55" dT="2022-12-12T09:18:39.49" personId="{58DD7CAA-3AC9-244F-B36C-38290BDF59EC}" id="{7791AAB4-045C-B141-9043-C0019593AD93}">
    <text>for  PP copolymers
https://omnexus.specialchem.com/polymer-properties/properties/elongation-at-break?src=prop-cnx</text>
  </threadedComment>
  <threadedComment ref="L55" dT="2022-12-12T09:08:38.29" personId="{58DD7CAA-3AC9-244F-B36C-38290BDF59EC}" id="{19EEA4B1-1A77-5A4C-9BDA-9DA5CCC1F4E9}">
    <text>For PP copolymers</text>
  </threadedComment>
  <threadedComment ref="M55" dT="2022-09-24T20:31:04.88" personId="{E2250BE6-DAE5-5945-8800-A55244B201A1}" id="{FF9728F9-5222-7448-9582-B4C0B71AD6DA}">
    <text>825-1651</text>
  </threadedComment>
  <threadedComment ref="H56" dT="2022-12-12T09:44:39.53" personId="{58DD7CAA-3AC9-244F-B36C-38290BDF59EC}" id="{41222921-5494-4B49-AC07-0D8DFCE710E5}">
    <text>Shore D</text>
  </threadedComment>
  <threadedComment ref="C57" dT="2022-09-29T11:58:00.55" personId="{BE062EF9-8FA8-3049-A2B3-BB2B138AD01F}" id="{B3138FE2-3055-6441-B606-22374D3BD00E}">
    <text>18-30</text>
  </threadedComment>
  <threadedComment ref="E57" dT="2022-09-29T11:57:34.92" personId="{BE062EF9-8FA8-3049-A2B3-BB2B138AD01F}" id="{850E2494-26D4-5E40-B8A6-BCEA9B3E3516}">
    <text>0.6-1.5</text>
  </threadedComment>
  <threadedComment ref="F57" dT="2022-09-18T19:45:47.47" personId="{E2250BE6-DAE5-5945-8800-A55244B201A1}" id="{5591FC83-9161-8E49-B07B-93BD7BC9B86F}">
    <text>56 lb/ft3</text>
  </threadedComment>
  <threadedComment ref="H57" dT="2022-12-12T09:44:46.00" personId="{58DD7CAA-3AC9-244F-B36C-38290BDF59EC}" id="{14277873-A132-4242-9A3F-60360AFF5795}">
    <text>Shore D</text>
  </threadedComment>
  <threadedComment ref="M57" dT="2022-09-24T20:38:19.03" personId="{E2250BE6-DAE5-5945-8800-A55244B201A1}" id="{5A2DC85F-26E3-4341-B2D0-BCCCDACD947C}">
    <text>1135-1340</text>
  </threadedComment>
  <threadedComment ref="C58" dT="2022-09-18T19:48:08.39" personId="{E2250BE6-DAE5-5945-8800-A55244B201A1}" id="{ACA43706-001A-F94C-A0E2-7D987F2200BE}">
    <text>35 to 210 MPa</text>
  </threadedComment>
  <threadedComment ref="E58" dT="2022-09-28T22:23:34.37" personId="{BE062EF9-8FA8-3049-A2B3-BB2B138AD01F}" id="{D1B46EBC-26E2-924D-A67E-40C4D4B159C3}">
    <text>1.1 to 1.8 GPa</text>
  </threadedComment>
  <threadedComment ref="H58" dT="2022-12-08T11:35:08.59" personId="{58DD7CAA-3AC9-244F-B36C-38290BDF59EC}" id="{AEF71A36-9D2F-7C44-91AE-667D1C1C7B96}">
    <text>Shore D</text>
  </threadedComment>
  <threadedComment ref="K58" dT="2022-12-13T15:31:04.91" personId="{58DD7CAA-3AC9-244F-B36C-38290BDF59EC}" id="{9B4EC9FF-D0D4-1E48-AACF-363250BD8051}">
    <text>https://omnexus.specialchem.com/polymer-properties/properties/elongation-at-break?src=prop-cnx</text>
  </threadedComment>
  <threadedComment ref="M58" dT="2022-09-24T20:42:50.70" personId="{E2250BE6-DAE5-5945-8800-A55244B201A1}" id="{BC6BA2A5-D563-F949-B408-B54D2C0951FD}">
    <text>2000-5000</text>
  </threadedComment>
  <threadedComment ref="C59" dT="2022-09-18T19:51:55.55" personId="{E2250BE6-DAE5-5945-8800-A55244B201A1}" id="{C45BBEFE-3871-4741-ADD2-4BDBBE04D2FA}">
    <text>60 to 240 MPa</text>
  </threadedComment>
  <threadedComment ref="E59" dT="2022-09-18T19:51:34.35" personId="{E2250BE6-DAE5-5945-8800-A55244B201A1}" id="{791C6A78-BF6F-344D-BB79-E8CA6ECECF60}">
    <text>1.6 to 23 GPa</text>
  </threadedComment>
  <threadedComment ref="H59" dT="2022-12-12T09:44:54.86" personId="{58DD7CAA-3AC9-244F-B36C-38290BDF59EC}" id="{EC6A5747-C223-AD41-B8CA-CE956EA9239A}">
    <text>Shore D</text>
  </threadedComment>
  <threadedComment ref="K59" dT="2022-12-13T15:31:18.32" personId="{58DD7CAA-3AC9-244F-B36C-38290BDF59EC}" id="{E23826B1-CF55-A840-BE12-8EEFC2B4D623}">
    <text>https://omnexus.specialchem.com/polymer-properties/properties/elongation-at-break?src=prop-cnx</text>
  </threadedComment>
  <threadedComment ref="C60" dT="2022-09-18T19:53:22.98" personId="{E2250BE6-DAE5-5945-8800-A55244B201A1}" id="{728CE05E-E430-FE4A-A217-E4438B1ABFAE}">
    <text>120 to 250 MPa</text>
  </threadedComment>
  <threadedComment ref="C60" dT="2022-09-18T19:53:33.59" personId="{E2250BE6-DAE5-5945-8800-A55244B201A1}" id="{80380A2D-4B6A-6A4A-81EF-B1B56E969E42}" parentId="{728CE05E-E430-FE4A-A217-E4438B1ABFAE}">
    <text xml:space="preserve">https://www.makeitfrom.com/material-properties/Polyamide-PA-Nylon-4-6-46
</text>
  </threadedComment>
  <threadedComment ref="E60" dT="2022-09-18T19:53:11.45" personId="{E2250BE6-DAE5-5945-8800-A55244B201A1}" id="{E97921B3-10BB-954E-B750-12CD89EC59D9}">
    <text>1.0 to 16 GPa</text>
  </threadedComment>
  <threadedComment ref="H60" dT="2022-12-12T09:45:01.52" personId="{58DD7CAA-3AC9-244F-B36C-38290BDF59EC}" id="{BE04DE9B-8687-CF40-B809-36CB3DB63917}">
    <text>Shore D</text>
  </threadedComment>
  <threadedComment ref="K60" dT="2022-12-13T15:31:23.62" personId="{58DD7CAA-3AC9-244F-B36C-38290BDF59EC}" id="{B538C4E1-A068-5044-BB18-0FE7CC7A41E2}">
    <text>https://omnexus.specialchem.com/polymer-properties/properties/elongation-at-break?src=prop-cnx</text>
  </threadedComment>
  <threadedComment ref="M60" dT="2022-09-24T20:46:49.78" personId="{E2250BE6-DAE5-5945-8800-A55244B201A1}" id="{D37C1F89-3BD3-754C-B778-356C8BBC5867}">
    <text>1238-6500</text>
  </threadedComment>
  <threadedComment ref="C61" dT="2022-09-18T19:55:18.62" personId="{E2250BE6-DAE5-5945-8800-A55244B201A1}" id="{41EABF73-78F5-8448-B1C7-8B16B5470DE8}">
    <text>45 to 60 MPa</text>
  </threadedComment>
  <threadedComment ref="E61" dT="2022-09-18T19:54:55.86" personId="{E2250BE6-DAE5-5945-8800-A55244B201A1}" id="{48097BF3-11AE-9F44-AE23-AB010DE434E3}">
    <text>1.6 to 2.3 GPa</text>
  </threadedComment>
  <threadedComment ref="H61" dT="2022-12-12T09:45:08.48" personId="{58DD7CAA-3AC9-244F-B36C-38290BDF59EC}" id="{5BA928F3-E344-DB42-8C16-EE5B096FEEC9}">
    <text>Shore D</text>
  </threadedComment>
  <threadedComment ref="K61" dT="2022-12-13T15:31:29.19" personId="{58DD7CAA-3AC9-244F-B36C-38290BDF59EC}" id="{C699C87A-6132-7040-8293-36E53F4DD461}">
    <text>https://omnexus.specialchem.com/polymer-properties/properties/elongation-at-break?src=prop-cnx</text>
  </threadedComment>
  <threadedComment ref="M61" dT="2022-09-29T12:20:55.70" personId="{BE062EF9-8FA8-3049-A2B3-BB2B138AD01F}" id="{F285EC97-0E5E-CD4F-9456-8966D529493A}">
    <text>average taken from Nylon prices
PA6,66,46</text>
  </threadedComment>
  <threadedComment ref="C62" dT="2022-09-29T11:02:52.25" personId="{BE062EF9-8FA8-3049-A2B3-BB2B138AD01F}" id="{D0FEF29F-8A72-3547-813C-DA35711EC8DB}">
    <text>57-69</text>
  </threadedComment>
  <threadedComment ref="E62" dT="2022-09-29T11:03:26.80" personId="{BE062EF9-8FA8-3049-A2B3-BB2B138AD01F}" id="{B775C387-50B7-A74D-A76B-6DAE63230A26}">
    <text>2.1 to 2.2</text>
  </threadedComment>
  <threadedComment ref="H62" dT="2022-12-12T10:24:51.28" personId="{58DD7CAA-3AC9-244F-B36C-38290BDF59EC}" id="{F222CCDE-B1B5-444E-86E4-235EB8B4E1D6}">
    <text>Rockwell R</text>
  </threadedComment>
  <threadedComment ref="K62" dT="2022-12-13T15:31:35.02" personId="{58DD7CAA-3AC9-244F-B36C-38290BDF59EC}" id="{CC7A11FE-6759-C04A-BC8F-C9AB0CD0E857}">
    <text>https://omnexus.specialchem.com/polymer-properties/properties/elongation-at-break?src=prop-cnx</text>
  </threadedComment>
  <threadedComment ref="M62" dT="2022-09-24T20:57:45.78" personId="{E2250BE6-DAE5-5945-8800-A55244B201A1}" id="{44AB9876-DFEF-3645-BFE3-7CAADFEC160C}">
    <text>2000-4000</text>
  </threadedComment>
  <threadedComment ref="C63" dT="2022-09-29T12:03:51.01" personId="{BE062EF9-8FA8-3049-A2B3-BB2B138AD01F}" id="{D418862A-E224-CE49-8075-7BB848F9B923}">
    <text>30-60</text>
  </threadedComment>
  <threadedComment ref="F63" dT="2022-09-26T20:28:58.89" personId="{E2250BE6-DAE5-5945-8800-A55244B201A1}" id="{311A0A9F-CA37-3244-80B4-7A8361AA54D4}">
    <text>1.1-1.4</text>
  </threadedComment>
  <threadedComment ref="H63" dT="2022-12-08T11:38:28.59" personId="{58DD7CAA-3AC9-244F-B36C-38290BDF59EC}" id="{90E61A19-A4C5-284E-83AF-653F780330FA}">
    <text>Shore D</text>
  </threadedComment>
  <threadedComment ref="M63" dT="2022-09-26T20:26:40.75" personId="{E2250BE6-DAE5-5945-8800-A55244B201A1}" id="{38DDB467-2322-3B49-9CF3-D742BB3104E2}">
    <text xml:space="preserve">1200-1350
</text>
  </threadedComment>
  <threadedComment ref="E64" dT="2022-09-26T20:32:09.35" personId="{E2250BE6-DAE5-5945-8800-A55244B201A1}" id="{8F3AEFFC-66FA-7843-A8BB-994BF7EE1660}">
    <text>1.5-3 mpa</text>
  </threadedComment>
  <threadedComment ref="F64" dT="2022-09-18T20:48:52.88" personId="{E2250BE6-DAE5-5945-8800-A55244B201A1}" id="{2801C279-4707-DD40-BFD8-460EBD193160}">
    <text>1.1-1.3</text>
  </threadedComment>
  <threadedComment ref="H64" dT="2022-12-08T11:41:04.40" personId="{58DD7CAA-3AC9-244F-B36C-38290BDF59EC}" id="{E9FACFA8-5EC1-BF4B-A72F-53C45C15F350}">
    <text>Shore D</text>
  </threadedComment>
  <threadedComment ref="M64" dT="2022-09-26T20:57:38.07" personId="{E2250BE6-DAE5-5945-8800-A55244B201A1}" id="{943E5117-0CEC-D74A-B002-5ACC28B236A9}">
    <text>€836.05-€1,045.32/ metric ton</text>
  </threadedComment>
  <threadedComment ref="C65" dT="2022-09-29T14:09:23.21" personId="{BE062EF9-8FA8-3049-A2B3-BB2B138AD01F}" id="{CFFB59AE-9E34-9845-9206-D48C86A745AA}">
    <text>14.6-59.4</text>
  </threadedComment>
  <threadedComment ref="E65" dT="2022-09-29T14:08:40.05" personId="{BE062EF9-8FA8-3049-A2B3-BB2B138AD01F}" id="{41976062-9232-DD4B-8F87-30BF58EAE59C}">
    <text>4.1-7.1</text>
  </threadedComment>
  <threadedComment ref="H65" dT="2022-12-12T14:18:31.34" personId="{58DD7CAA-3AC9-244F-B36C-38290BDF59EC}" id="{709FD44C-30CC-B749-8391-49D24D42A7FF}">
    <text>Considered around PVC value</text>
  </threadedComment>
  <threadedComment ref="K65" dT="2022-12-13T14:14:51.54" personId="{58DD7CAA-3AC9-244F-B36C-38290BDF59EC}" id="{BB833D01-C7CC-844A-A3C4-F3D3956FF708}">
    <text>https://www.semanticscholar.org/paper/OVERVIEW-OF-FLAX-FIBER-REINFORCED-THERMOPLASTIC-Panigrahy-Rana/1e2b0daf2e9fbf23349716774bf09b7a45018a40</text>
  </threadedComment>
  <threadedComment ref="M65" dT="2022-09-28T10:09:05.72" personId="{B12ED235-1DB4-1540-A194-C26FEFE583F7}" id="{456BDEC4-F31B-7E43-8DBE-CF8F867E329C}">
    <text>1500-1600</text>
  </threadedComment>
  <threadedComment ref="C66" dT="2022-09-24T15:48:42.51" personId="{E2250BE6-DAE5-5945-8800-A55244B201A1}" id="{6EF749DC-00CD-3649-A485-518B83E783DB}">
    <text>10.4-13.2</text>
  </threadedComment>
  <threadedComment ref="C66" dT="2022-09-24T15:48:56.29" personId="{E2250BE6-DAE5-5945-8800-A55244B201A1}" id="{DEC0C842-DA8F-784A-BF29-9BAC4AA9A9E8}" parentId="{6EF749DC-00CD-3649-A485-518B83E783DB}">
    <text>https://www.researchgate.net/publication/354052196_Mechanical_properties_and_corrosion_behavior_of_sugarcane_Bagasse_fiber_reinforced_Low_Density_Polyethylene_composites</text>
  </threadedComment>
  <threadedComment ref="E66" dT="2022-09-24T15:49:26.85" personId="{E2250BE6-DAE5-5945-8800-A55244B201A1}" id="{89A52166-F83E-C640-A637-70A8FC5103B8}">
    <text>249-462mpa</text>
  </threadedComment>
  <threadedComment ref="H66" dT="2022-12-12T10:18:09.21" personId="{58DD7CAA-3AC9-244F-B36C-38290BDF59EC}" id="{4AB690AA-DBF4-C940-BC81-371E58CC84BF}">
    <text>Rockwell M</text>
  </threadedComment>
  <threadedComment ref="H66" dT="2022-12-12T13:41:13.17" personId="{58DD7CAA-3AC9-244F-B36C-38290BDF59EC}" id="{82CE8D55-B937-C643-ABFC-E5ACBBAFF20A}" parentId="{4AB690AA-DBF4-C940-BC81-371E58CC84BF}">
    <text>Considered same as PLA</text>
  </threadedComment>
  <threadedComment ref="K66" dT="2022-12-13T15:37:23.77" personId="{58DD7CAA-3AC9-244F-B36C-38290BDF59EC}" id="{BA5DAB61-340E-BC44-B495-B831EEB41A03}">
    <text>https://iopscience.iop.org/article/10.1088/1755-1315/912/1/012062/pdf</text>
  </threadedComment>
  <threadedComment ref="C67" dT="2022-10-01T15:07:24.37" personId="{BE062EF9-8FA8-3049-A2B3-BB2B138AD01F}" id="{8E285116-3D7A-1245-840B-AA0C5353C328}">
    <text xml:space="preserve">1.27-2.8
</text>
  </threadedComment>
  <threadedComment ref="F67" dT="2022-09-24T16:28:22.60" personId="{E2250BE6-DAE5-5945-8800-A55244B201A1}" id="{1B504D37-BFA7-014F-A466-E11698FD9A12}">
    <text>0.45mm thickness</text>
  </threadedComment>
  <threadedComment ref="H67" dT="2022-12-12T09:45:20.12" personId="{58DD7CAA-3AC9-244F-B36C-38290BDF59EC}" id="{7B271C98-D0B4-804B-9EBB-1D137612ABE2}">
    <text>Shore D</text>
  </threadedComment>
  <threadedComment ref="K67" dT="2022-12-13T15:40:13.27" personId="{58DD7CAA-3AC9-244F-B36C-38290BDF59EC}" id="{FAAF5EC1-CA67-C14F-9253-9CF63CD1D582}">
    <text>https://www.ncbi.nlm.nih.gov/pmc/articles/PMC8348970/</text>
  </threadedComment>
  <threadedComment ref="M67" dT="2022-09-24T16:35:27.17" personId="{E2250BE6-DAE5-5945-8800-A55244B201A1}" id="{37860271-8168-2746-B6EA-5A6C32AA7035}">
    <text xml:space="preserve">2000-8000
</text>
  </threadedComment>
  <threadedComment ref="H68" dT="2022-12-12T14:23:52.42" personId="{58DD7CAA-3AC9-244F-B36C-38290BDF59EC}" id="{E860D1BB-1FA3-864C-ACA3-BD978159B580}">
    <text>Rockwell M</text>
  </threadedComment>
  <threadedComment ref="L68" dT="2022-12-12T14:22:46.59" personId="{58DD7CAA-3AC9-244F-B36C-38290BDF59EC}" id="{430B53AA-5179-BF46-96A4-07532955F363}">
    <text>http://www.lookpolymers.com/polymer_Overview-of-materials-for-Acetal-Copolymer-30-Glass-Fiber-Reinforced.php</text>
  </threadedComment>
  <threadedComment ref="M68" dT="2022-09-29T10:51:59.27" personId="{BE062EF9-8FA8-3049-A2B3-BB2B138AD01F}" id="{B01A2251-2454-C645-88A7-F1E36A6651F1}">
    <text>1564- 1877</text>
  </threadedComment>
  <threadedComment ref="B69" dT="2022-09-28T22:52:29.28" personId="{BE062EF9-8FA8-3049-A2B3-BB2B138AD01F}" id="{347D7E93-215E-1B4A-B8C3-F76BFD6EC6A2}">
    <text>https://matmatch.com/materials/mama0000000001-moso-bamboo</text>
  </threadedComment>
  <threadedComment ref="C69" dT="2022-09-28T22:51:05.24" personId="{BE062EF9-8FA8-3049-A2B3-BB2B138AD01F}" id="{B50B9E8E-2BAE-7544-8B0E-B358D0F42F37}">
    <text>100-400</text>
  </threadedComment>
  <threadedComment ref="E69" dT="2022-09-28T22:49:58.99" personId="{BE062EF9-8FA8-3049-A2B3-BB2B138AD01F}" id="{5CE15FCC-98E0-E24D-AC88-79249EF62D7A}">
    <text>5-20</text>
  </threadedComment>
  <threadedComment ref="F69" dT="2022-09-28T22:52:07.73" personId="{BE062EF9-8FA8-3049-A2B3-BB2B138AD01F}" id="{03E4B3F0-0928-ED4D-B6BE-3057D29A3476}">
    <text>0.5-0.65</text>
  </threadedComment>
  <threadedComment ref="H69" dT="2022-12-16T14:11:59.14" personId="{58DD7CAA-3AC9-244F-B36C-38290BDF59EC}" id="{4600C8C8-6BB3-3F45-B274-BAAEB19474F5}">
    <text>Rockwell N</text>
  </threadedComment>
  <threadedComment ref="K69" dT="2022-12-13T15:52:59.36" personId="{58DD7CAA-3AC9-244F-B36C-38290BDF59EC}" id="{FB8E9B1F-A247-2C48-BF95-73D4CD31A9BA}">
    <text>https://www.google.com/url?sa=t&amp;rct=j&amp;q=&amp;esrc=s&amp;source=web&amp;cd=&amp;ved=2ahUKEwiT45eH9_b7AhXQsKQKHafHDGgQFnoECDUQAQ&amp;url=https%3A%2F%2Fmdpi-res.com%2Fd_attachment%2Fmaterials%2Fmaterials-15-05016%2Farticle_deploy%2Fmaterials-15-05016.pdf%3Fversion%3D1658228626&amp;usg=AOvVaw0Ui5nEdaQZ52-7VuLxxt_t</text>
  </threadedComment>
  <threadedComment ref="M69" dT="2022-09-29T11:23:06.82" personId="{BE062EF9-8FA8-3049-A2B3-BB2B138AD01F}" id="{3496F8D0-438F-2340-B42D-69EC710A5365}">
    <text xml:space="preserve">€229- 333.71 cubic meters
</text>
  </threadedComment>
  <threadedComment ref="B70" dT="2022-09-29T11:31:29.37" personId="{BE062EF9-8FA8-3049-A2B3-BB2B138AD01F}" id="{645217FF-74F0-1943-A1F7-512EEAC3688C}">
    <text>20%-80% by mass rice husk</text>
  </threadedComment>
  <threadedComment ref="F70" dT="2022-09-29T11:50:06.73" personId="{BE062EF9-8FA8-3049-A2B3-BB2B138AD01F}" id="{B0E06FCB-4B0E-084E-9770-7DA8000E8583}">
    <text xml:space="preserve">0.466-1.091
</text>
  </threadedComment>
  <threadedComment ref="H70" dT="2022-12-08T11:31:19.15" personId="{58DD7CAA-3AC9-244F-B36C-38290BDF59EC}" id="{98CBE954-F25B-D14D-9A97-48AAA73BCDB7}">
    <text>Shore D</text>
  </threadedComment>
  <threadedComment ref="F71" dT="2022-09-29T11:18:52.39" personId="{BE062EF9-8FA8-3049-A2B3-BB2B138AD01F}" id="{CEF7D262-3DD1-A542-A696-92F8B14A3AD1}">
    <text>moisture 8%-12%</text>
  </threadedComment>
  <threadedComment ref="H71" dT="2022-12-16T14:12:09.16" personId="{58DD7CAA-3AC9-244F-B36C-38290BDF59EC}" id="{769E0454-52AA-CD44-BA25-CE45AB403649}">
    <text>Rockwell N</text>
  </threadedComment>
  <threadedComment ref="M71" dT="2022-09-29T11:19:38.50" personId="{BE062EF9-8FA8-3049-A2B3-BB2B138AD01F}" id="{628A567E-7415-B54A-98C5-FE5A1F96CCD5}">
    <text>€207-624 cubic meters</text>
  </threadedComment>
  <threadedComment ref="H72" dT="2022-12-16T14:00:23.65" personId="{58DD7CAA-3AC9-244F-B36C-38290BDF59EC}" id="{A3950AF3-5F1A-DE41-A3AB-3F09F4D055C9}">
    <text>https://www.google.com/url?sa=t&amp;rct=j&amp;q=&amp;esrc=s&amp;source=web&amp;cd=&amp;cad=rja&amp;uact=8&amp;ved=2ahUKEwiDhdmJpf77AhUm7rsIHR0VB6wQFnoECDIQAQ&amp;url=http%3A%2F%2Farticle.sapub.org%2F10.5923.j.materials.20170705.02.html&amp;usg=AOvVaw2_7Hu8QfqbmrkOXKYUHL4r
rockwell N</text>
  </threadedComment>
  <threadedComment ref="L72" dT="2022-12-14T10:17:49.48" personId="{58DD7CAA-3AC9-244F-B36C-38290BDF59EC}" id="{FBFF2BF8-EBBF-3F4E-84EF-AEB476D2F356}">
    <text>https://www.ncbi.nlm.nih.gov/pmc/articles/PMC8433995/</text>
  </threadedComment>
  <threadedComment ref="M72" dT="2022-09-24T21:42:49.14" personId="{E2250BE6-DAE5-5945-8800-A55244B201A1}" id="{661E88C0-0C62-0745-880F-27626C3AC052}">
    <text>3000-3500</text>
  </threadedComment>
  <threadedComment ref="G73" dT="2023-02-06T18:50:02.65" personId="{58DD7CAA-3AC9-244F-B36C-38290BDF59EC}" id="{57AACD67-49E4-7348-AC54-091D052D4A25}">
    <text>http://www.csgnetwork.com/specificgravmattable.html</text>
  </threadedComment>
  <threadedComment ref="C74" dT="2023-02-06T18:38:34.56" personId="{58DD7CAA-3AC9-244F-B36C-38290BDF59EC}" id="{DB260810-953D-3845-A8DE-DF278C365FE4}">
    <text>In general, recycled fiber cardboard tends to have lower tensile strength compared to virgin fiber cardboard due to the shorter and weaker fibers used in the recycled material.</text>
  </threadedComment>
  <threadedComment ref="F74" dT="2023-02-06T18:39:02.71" personId="{58DD7CAA-3AC9-244F-B36C-38290BDF59EC}" id="{3DB02F97-886B-3947-869A-953E93F759F8}">
    <text xml:space="preserve">http://sitesmedia.s3.amazonaws.com/chem/files/2016/06/F2016DensityProcedure1.pdf
</text>
    <extLst>
      <x:ext xmlns:xltc2="http://schemas.microsoft.com/office/spreadsheetml/2020/threadedcomments2" uri="{F7C98A9C-CBB3-438F-8F68-D28B6AF4A901}">
        <xltc2:checksum>1926749937</xltc2:checksum>
        <xltc2:hyperlink startIndex="0" length="80" url="http://sitesmedia.s3.amazonaws.com/chem/files/2016/06/F2016DensityProcedure1.pdf"/>
      </x:ext>
    </extLst>
  </threadedComment>
</ThreadedComment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95A06-A446-5E48-9B63-8D1A444F5103}">
  <sheetPr codeName="Sheet1"/>
  <dimension ref="A1:H13"/>
  <sheetViews>
    <sheetView workbookViewId="0">
      <selection activeCell="F2" sqref="F2:G2"/>
    </sheetView>
  </sheetViews>
  <sheetFormatPr defaultColWidth="10.6640625" defaultRowHeight="15.5"/>
  <cols>
    <col min="1" max="1" width="8.1640625" customWidth="1"/>
    <col min="2" max="2" width="38.5" customWidth="1"/>
    <col min="3" max="3" width="43.5" customWidth="1"/>
    <col min="4" max="4" width="32.33203125" customWidth="1"/>
    <col min="5" max="5" width="39.33203125" bestFit="1" customWidth="1"/>
    <col min="6" max="6" width="25.33203125" bestFit="1" customWidth="1"/>
    <col min="7" max="7" width="35.6640625" bestFit="1" customWidth="1"/>
    <col min="8" max="8" width="38" customWidth="1"/>
  </cols>
  <sheetData>
    <row r="1" spans="1:8" s="16" customFormat="1" ht="31" customHeight="1">
      <c r="A1" s="1" t="s">
        <v>0</v>
      </c>
      <c r="B1" s="2" t="s">
        <v>134</v>
      </c>
      <c r="C1" s="444" t="s">
        <v>135</v>
      </c>
      <c r="D1" s="444"/>
      <c r="E1" s="444"/>
      <c r="F1" s="444"/>
      <c r="G1" s="444"/>
      <c r="H1" s="444"/>
    </row>
    <row r="2" spans="1:8" ht="31" customHeight="1">
      <c r="A2" s="4">
        <v>1</v>
      </c>
      <c r="B2" s="10" t="s">
        <v>82</v>
      </c>
      <c r="C2" s="4" t="s">
        <v>136</v>
      </c>
      <c r="D2" s="445" t="s">
        <v>137</v>
      </c>
      <c r="E2" s="446"/>
      <c r="F2" s="445" t="s">
        <v>83</v>
      </c>
      <c r="G2" s="446"/>
      <c r="H2" s="4" t="s">
        <v>84</v>
      </c>
    </row>
    <row r="3" spans="1:8" ht="31" customHeight="1">
      <c r="A3" s="4">
        <v>2</v>
      </c>
      <c r="B3" s="11" t="s">
        <v>85</v>
      </c>
      <c r="C3" s="4" t="s">
        <v>86</v>
      </c>
      <c r="D3" s="445" t="s">
        <v>87</v>
      </c>
      <c r="E3" s="446"/>
      <c r="F3" s="445" t="s">
        <v>88</v>
      </c>
      <c r="G3" s="446"/>
      <c r="H3" s="4" t="s">
        <v>89</v>
      </c>
    </row>
    <row r="4" spans="1:8" ht="31" customHeight="1">
      <c r="A4" s="4">
        <v>3</v>
      </c>
      <c r="B4" s="11" t="s">
        <v>90</v>
      </c>
      <c r="C4" s="445" t="s">
        <v>91</v>
      </c>
      <c r="D4" s="446"/>
      <c r="E4" s="445" t="s">
        <v>92</v>
      </c>
      <c r="F4" s="446"/>
      <c r="G4" s="445" t="s">
        <v>93</v>
      </c>
      <c r="H4" s="446"/>
    </row>
    <row r="5" spans="1:8" ht="31" customHeight="1">
      <c r="A5" s="4">
        <v>4</v>
      </c>
      <c r="B5" s="11" t="s">
        <v>94</v>
      </c>
      <c r="C5" s="4" t="s">
        <v>95</v>
      </c>
      <c r="D5" s="445" t="s">
        <v>96</v>
      </c>
      <c r="E5" s="446"/>
      <c r="F5" s="445" t="s">
        <v>97</v>
      </c>
      <c r="G5" s="446"/>
      <c r="H5" s="4" t="s">
        <v>98</v>
      </c>
    </row>
    <row r="6" spans="1:8" ht="31" customHeight="1">
      <c r="A6" s="4">
        <v>5</v>
      </c>
      <c r="B6" s="11" t="s">
        <v>99</v>
      </c>
      <c r="C6" s="445" t="s">
        <v>96</v>
      </c>
      <c r="D6" s="446"/>
      <c r="E6" s="445" t="s">
        <v>100</v>
      </c>
      <c r="F6" s="446"/>
      <c r="G6" s="445" t="s">
        <v>101</v>
      </c>
      <c r="H6" s="446"/>
    </row>
    <row r="7" spans="1:8" ht="31" customHeight="1">
      <c r="A7" s="4">
        <v>6</v>
      </c>
      <c r="B7" s="11" t="s">
        <v>102</v>
      </c>
      <c r="C7" s="4" t="s">
        <v>103</v>
      </c>
      <c r="D7" s="4"/>
      <c r="E7" s="4" t="s">
        <v>104</v>
      </c>
      <c r="F7" s="4"/>
      <c r="G7" s="4" t="s">
        <v>105</v>
      </c>
      <c r="H7" s="4"/>
    </row>
    <row r="8" spans="1:8" ht="31" customHeight="1">
      <c r="A8" s="4">
        <v>7</v>
      </c>
      <c r="B8" s="11" t="s">
        <v>106</v>
      </c>
      <c r="C8" s="4" t="s">
        <v>107</v>
      </c>
      <c r="D8" s="445" t="s">
        <v>108</v>
      </c>
      <c r="E8" s="446"/>
      <c r="F8" s="445" t="s">
        <v>109</v>
      </c>
      <c r="G8" s="446"/>
      <c r="H8" s="4" t="s">
        <v>110</v>
      </c>
    </row>
    <row r="9" spans="1:8" ht="31" customHeight="1">
      <c r="A9" s="4">
        <v>8</v>
      </c>
      <c r="B9" s="11" t="s">
        <v>111</v>
      </c>
      <c r="C9" s="4" t="s">
        <v>112</v>
      </c>
      <c r="D9" s="445" t="s">
        <v>113</v>
      </c>
      <c r="E9" s="446"/>
      <c r="F9" s="445" t="s">
        <v>114</v>
      </c>
      <c r="G9" s="446"/>
      <c r="H9" s="4" t="s">
        <v>115</v>
      </c>
    </row>
    <row r="10" spans="1:8" ht="31" customHeight="1">
      <c r="A10" s="4">
        <v>9</v>
      </c>
      <c r="B10" s="11" t="s">
        <v>116</v>
      </c>
      <c r="C10" s="4" t="s">
        <v>117</v>
      </c>
      <c r="D10" s="445" t="s">
        <v>118</v>
      </c>
      <c r="E10" s="446"/>
      <c r="F10" s="445" t="s">
        <v>119</v>
      </c>
      <c r="G10" s="446"/>
      <c r="H10" s="4" t="s">
        <v>120</v>
      </c>
    </row>
    <row r="11" spans="1:8" ht="31" customHeight="1">
      <c r="A11" s="4">
        <v>10</v>
      </c>
      <c r="B11" s="11" t="s">
        <v>121</v>
      </c>
      <c r="C11" s="4" t="s">
        <v>122</v>
      </c>
      <c r="D11" s="445" t="s">
        <v>123</v>
      </c>
      <c r="E11" s="446"/>
      <c r="F11" s="445" t="s">
        <v>124</v>
      </c>
      <c r="G11" s="446"/>
      <c r="H11" s="4" t="s">
        <v>125</v>
      </c>
    </row>
    <row r="12" spans="1:8" ht="31" customHeight="1">
      <c r="A12" s="4">
        <v>11</v>
      </c>
      <c r="B12" s="11" t="s">
        <v>126</v>
      </c>
      <c r="C12" s="445" t="s">
        <v>127</v>
      </c>
      <c r="D12" s="446"/>
      <c r="E12" s="445" t="s">
        <v>128</v>
      </c>
      <c r="F12" s="446"/>
      <c r="G12" s="445" t="s">
        <v>129</v>
      </c>
      <c r="H12" s="446"/>
    </row>
    <row r="13" spans="1:8" ht="31" customHeight="1">
      <c r="A13" s="4">
        <v>12</v>
      </c>
      <c r="B13" s="11" t="s">
        <v>130</v>
      </c>
      <c r="C13" s="445" t="s">
        <v>131</v>
      </c>
      <c r="D13" s="446"/>
      <c r="E13" s="445" t="s">
        <v>132</v>
      </c>
      <c r="F13" s="446"/>
      <c r="G13" s="445" t="s">
        <v>133</v>
      </c>
      <c r="H13" s="446"/>
    </row>
  </sheetData>
  <mergeCells count="27">
    <mergeCell ref="F5:G5"/>
    <mergeCell ref="D2:E2"/>
    <mergeCell ref="C13:D13"/>
    <mergeCell ref="E13:F13"/>
    <mergeCell ref="G13:H13"/>
    <mergeCell ref="D8:E8"/>
    <mergeCell ref="F8:G8"/>
    <mergeCell ref="D9:E9"/>
    <mergeCell ref="F9:G9"/>
    <mergeCell ref="D10:E10"/>
    <mergeCell ref="F10:G10"/>
    <mergeCell ref="C1:H1"/>
    <mergeCell ref="F2:G2"/>
    <mergeCell ref="D11:E11"/>
    <mergeCell ref="F11:G11"/>
    <mergeCell ref="C12:D12"/>
    <mergeCell ref="E12:F12"/>
    <mergeCell ref="G12:H12"/>
    <mergeCell ref="C6:D6"/>
    <mergeCell ref="E6:F6"/>
    <mergeCell ref="G6:H6"/>
    <mergeCell ref="D3:E3"/>
    <mergeCell ref="F3:G3"/>
    <mergeCell ref="C4:D4"/>
    <mergeCell ref="E4:F4"/>
    <mergeCell ref="G4:H4"/>
    <mergeCell ref="D5:E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3DB4D-4864-C14D-B809-F7A94D4B3F1F}">
  <sheetPr codeName="Sheet2"/>
  <dimension ref="A1:AD64"/>
  <sheetViews>
    <sheetView topLeftCell="M1" zoomScale="150" workbookViewId="0">
      <selection activeCell="X4" sqref="X4"/>
    </sheetView>
  </sheetViews>
  <sheetFormatPr defaultColWidth="10.6640625" defaultRowHeight="15.5"/>
  <cols>
    <col min="1" max="1" width="7.83203125" customWidth="1"/>
    <col min="2" max="2" width="18.1640625" bestFit="1" customWidth="1"/>
    <col min="3" max="3" width="86.5" bestFit="1" customWidth="1"/>
    <col min="5" max="5" width="47.5" customWidth="1"/>
    <col min="6" max="6" width="15.83203125" customWidth="1"/>
    <col min="7" max="7" width="6.5" customWidth="1"/>
    <col min="8" max="8" width="12.33203125" bestFit="1" customWidth="1"/>
    <col min="9" max="9" width="5.6640625" bestFit="1" customWidth="1"/>
    <col min="10" max="10" width="12.33203125" bestFit="1" customWidth="1"/>
    <col min="11" max="11" width="5.6640625" bestFit="1" customWidth="1"/>
    <col min="12" max="12" width="12.33203125" bestFit="1" customWidth="1"/>
    <col min="14" max="14" width="25.6640625" customWidth="1"/>
    <col min="15" max="15" width="13.5" customWidth="1"/>
    <col min="16" max="16" width="19" customWidth="1"/>
    <col min="24" max="24" width="14.33203125" customWidth="1"/>
    <col min="25" max="25" width="15" customWidth="1"/>
    <col min="26" max="26" width="15" bestFit="1" customWidth="1"/>
    <col min="29" max="29" width="7.6640625" customWidth="1"/>
    <col min="30" max="30" width="24.83203125" bestFit="1" customWidth="1"/>
  </cols>
  <sheetData>
    <row r="1" spans="1:30" ht="16" thickBot="1">
      <c r="A1" s="12" t="s">
        <v>271</v>
      </c>
      <c r="B1" s="79" t="s">
        <v>81</v>
      </c>
      <c r="C1" s="12" t="s">
        <v>138</v>
      </c>
      <c r="E1" s="452"/>
      <c r="F1" s="452"/>
      <c r="G1" s="452"/>
      <c r="H1" s="452"/>
      <c r="I1" s="452"/>
      <c r="J1" s="452"/>
      <c r="K1" s="452"/>
      <c r="L1" s="453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C1" s="80" t="s">
        <v>272</v>
      </c>
      <c r="AD1" s="81" t="s">
        <v>273</v>
      </c>
    </row>
    <row r="2" spans="1:30" ht="17" customHeight="1">
      <c r="A2" s="3"/>
      <c r="B2" s="82" t="s">
        <v>7</v>
      </c>
      <c r="C2" s="3" t="s">
        <v>8</v>
      </c>
      <c r="E2" s="15"/>
      <c r="F2" s="15"/>
      <c r="G2" s="454" t="s">
        <v>1</v>
      </c>
      <c r="H2" s="455"/>
      <c r="I2" s="454" t="s">
        <v>2</v>
      </c>
      <c r="J2" s="455"/>
      <c r="K2" s="454" t="s">
        <v>3</v>
      </c>
      <c r="L2" s="455"/>
      <c r="N2" s="447" t="s">
        <v>139</v>
      </c>
      <c r="O2" s="447"/>
      <c r="P2" s="447"/>
      <c r="Q2" s="447"/>
      <c r="R2" s="447"/>
      <c r="S2" s="447"/>
      <c r="T2" s="447"/>
      <c r="U2" s="447"/>
      <c r="V2" s="447"/>
      <c r="W2" s="447"/>
      <c r="X2" s="447"/>
      <c r="Y2" s="447"/>
      <c r="Z2" s="447"/>
      <c r="AC2" s="83">
        <v>0</v>
      </c>
      <c r="AD2" s="83" t="s">
        <v>274</v>
      </c>
    </row>
    <row r="3" spans="1:30" ht="16" thickBot="1">
      <c r="A3" s="3"/>
      <c r="B3" s="82"/>
      <c r="C3" s="3" t="s">
        <v>9</v>
      </c>
      <c r="E3" s="5" t="s">
        <v>4</v>
      </c>
      <c r="F3" s="5" t="s">
        <v>275</v>
      </c>
      <c r="G3" s="5" t="s">
        <v>5</v>
      </c>
      <c r="H3" s="5" t="s">
        <v>6</v>
      </c>
      <c r="I3" s="5" t="s">
        <v>5</v>
      </c>
      <c r="J3" s="5" t="s">
        <v>6</v>
      </c>
      <c r="K3" s="5" t="s">
        <v>5</v>
      </c>
      <c r="L3" s="5" t="s">
        <v>6</v>
      </c>
      <c r="N3" s="15"/>
      <c r="O3" s="5" t="str" cm="1">
        <f t="array" ref="O3:V3">TRANSPOSE(N4:N11)</f>
        <v>Proximity to seaports and canals</v>
      </c>
      <c r="P3" s="5" t="str">
        <v>Proximity to airports</v>
      </c>
      <c r="Q3" s="5" t="str">
        <v>Number of the available workforce (population and growth rate of the community, etc.)</v>
      </c>
      <c r="R3" s="5" t="str">
        <v>Level of Wages:  regular wages, extra payments, voluntary payments</v>
      </c>
      <c r="S3" s="5" t="str">
        <v>Housing (new apartments available? New construction necessary? Public support for housing?)</v>
      </c>
      <c r="T3" s="5" t="str">
        <v>Cost of living</v>
      </c>
      <c r="U3" s="5" t="str">
        <v>Relevant subventions</v>
      </c>
      <c r="V3" s="5" t="str">
        <v xml:space="preserve">Property price </v>
      </c>
      <c r="W3" s="84" t="s">
        <v>166</v>
      </c>
      <c r="X3" s="84" t="s">
        <v>276</v>
      </c>
      <c r="Y3" s="67" t="s">
        <v>277</v>
      </c>
      <c r="Z3" s="67" t="s">
        <v>275</v>
      </c>
      <c r="AC3" s="83"/>
      <c r="AD3" s="83"/>
    </row>
    <row r="4" spans="1:30" ht="16" thickBot="1">
      <c r="A4" s="3"/>
      <c r="B4" s="82"/>
      <c r="C4" s="3" t="s">
        <v>12</v>
      </c>
      <c r="E4" s="85" t="str">
        <f>_xlfn.XLOOKUP(ROW(D1), $A$2:$A$64, $C$2:$C$64, "NN", 0)</f>
        <v>Proximity to seaports and canals</v>
      </c>
      <c r="F4" s="86">
        <f>VLOOKUP(E4, $N$4:$Z$11, 13, 0)</f>
        <v>0.22500000000000001</v>
      </c>
      <c r="G4" s="87">
        <v>7</v>
      </c>
      <c r="H4" s="88">
        <f>G4*F4</f>
        <v>1.575</v>
      </c>
      <c r="I4" s="87">
        <v>3</v>
      </c>
      <c r="J4" s="88">
        <f>I4*F4</f>
        <v>0.67500000000000004</v>
      </c>
      <c r="K4" s="87">
        <v>3</v>
      </c>
      <c r="L4" s="88">
        <f>K4*F4</f>
        <v>0.67500000000000004</v>
      </c>
      <c r="N4" s="9" t="str">
        <f>E4</f>
        <v>Proximity to seaports and canals</v>
      </c>
      <c r="O4" s="13"/>
      <c r="P4" s="3">
        <v>1</v>
      </c>
      <c r="Q4" s="3">
        <v>5</v>
      </c>
      <c r="R4" s="3">
        <v>0</v>
      </c>
      <c r="S4" s="3">
        <v>1</v>
      </c>
      <c r="T4" s="8">
        <v>3</v>
      </c>
      <c r="U4" s="3">
        <v>3</v>
      </c>
      <c r="V4" s="8">
        <v>3</v>
      </c>
      <c r="W4" s="89">
        <f>SUM(O4:V4)</f>
        <v>16</v>
      </c>
      <c r="X4" s="90" cm="1">
        <f t="array" ref="X4">ROUND(MAX(ABS($W$4:$W$11)), -1)</f>
        <v>20</v>
      </c>
      <c r="Y4" s="77">
        <f>W4+X4</f>
        <v>36</v>
      </c>
      <c r="Z4" s="91">
        <f>Y4/SUM($Y$4:$Y$11)</f>
        <v>0.22500000000000001</v>
      </c>
      <c r="AC4" s="83">
        <v>1</v>
      </c>
      <c r="AD4" s="83" t="s">
        <v>278</v>
      </c>
    </row>
    <row r="5" spans="1:30" ht="16" thickBot="1">
      <c r="A5" s="3"/>
      <c r="B5" s="82"/>
      <c r="C5" s="3" t="s">
        <v>14</v>
      </c>
      <c r="E5" s="85" t="str">
        <f>_xlfn.XLOOKUP(ROW(D2), $A$2:$A$64, $C$2:$C$64, "NN", 0)</f>
        <v>Proximity to airports</v>
      </c>
      <c r="F5" s="86">
        <f t="shared" ref="F5:F11" si="0">VLOOKUP(E5, $N$4:$Z$11, 13, 0)</f>
        <v>0.15625</v>
      </c>
      <c r="G5" s="6">
        <v>4</v>
      </c>
      <c r="H5" s="88">
        <f t="shared" ref="H5:H11" si="1">G5*F5</f>
        <v>0.625</v>
      </c>
      <c r="I5" s="6">
        <v>5</v>
      </c>
      <c r="J5" s="88">
        <f t="shared" ref="J5:J11" si="2">I5*F5</f>
        <v>0.78125</v>
      </c>
      <c r="K5" s="6">
        <v>2</v>
      </c>
      <c r="L5" s="88">
        <f t="shared" ref="L5:L11" si="3">K5*F5</f>
        <v>0.3125</v>
      </c>
      <c r="N5" s="9" t="str">
        <f t="shared" ref="N5:N11" si="4">E5</f>
        <v>Proximity to airports</v>
      </c>
      <c r="O5" s="3" cm="1">
        <f t="array" ref="O5:O11">TRANSPOSE(P4:V4)*(-1)</f>
        <v>-1</v>
      </c>
      <c r="P5" s="13"/>
      <c r="Q5" s="3">
        <v>1</v>
      </c>
      <c r="R5" s="3">
        <v>-5</v>
      </c>
      <c r="S5" s="3">
        <v>3</v>
      </c>
      <c r="T5" s="8">
        <v>3</v>
      </c>
      <c r="U5" s="3">
        <v>3</v>
      </c>
      <c r="V5" s="8">
        <v>1</v>
      </c>
      <c r="W5" s="89">
        <f t="shared" ref="W5:W11" si="5">SUM(O5:V5)</f>
        <v>5</v>
      </c>
      <c r="X5" s="90" cm="1">
        <f t="array" ref="X5">ROUND(MAX(ABS($W$4:$W$11)), -1)</f>
        <v>20</v>
      </c>
      <c r="Y5" s="77">
        <f t="shared" ref="Y5:Y11" si="6">W5+X5</f>
        <v>25</v>
      </c>
      <c r="Z5" s="91">
        <f t="shared" ref="Z5:Z11" si="7">Y5/SUM($Y$4:$Y$11)</f>
        <v>0.15625</v>
      </c>
      <c r="AC5" s="83">
        <v>2</v>
      </c>
      <c r="AD5" s="83"/>
    </row>
    <row r="6" spans="1:30" ht="16" thickBot="1">
      <c r="A6" s="3">
        <v>1</v>
      </c>
      <c r="B6" s="82"/>
      <c r="C6" s="3" t="s">
        <v>279</v>
      </c>
      <c r="E6" s="85" t="str">
        <f t="shared" ref="E6:E11" si="8">_xlfn.XLOOKUP(ROW(D3), $A$2:$A$64, $C$2:$C$64, "NN", 0)</f>
        <v>Number of the available workforce (population and growth rate of the community, etc.)</v>
      </c>
      <c r="F6" s="86">
        <f t="shared" si="0"/>
        <v>0.13750000000000001</v>
      </c>
      <c r="G6" s="6">
        <v>5</v>
      </c>
      <c r="H6" s="88">
        <f t="shared" si="1"/>
        <v>0.6875</v>
      </c>
      <c r="I6" s="6">
        <v>4</v>
      </c>
      <c r="J6" s="88">
        <f t="shared" si="2"/>
        <v>0.55000000000000004</v>
      </c>
      <c r="K6" s="6">
        <v>2</v>
      </c>
      <c r="L6" s="88">
        <f t="shared" si="3"/>
        <v>0.27500000000000002</v>
      </c>
      <c r="N6" s="9" t="str">
        <f t="shared" si="4"/>
        <v>Number of the available workforce (population and growth rate of the community, etc.)</v>
      </c>
      <c r="O6" s="3">
        <v>-5</v>
      </c>
      <c r="P6" s="3" cm="1">
        <f t="array" ref="P6:P11">TRANSPOSE(Q5:V5)*(-1)</f>
        <v>-1</v>
      </c>
      <c r="Q6" s="13"/>
      <c r="R6" s="3">
        <v>0</v>
      </c>
      <c r="S6" s="3">
        <v>1</v>
      </c>
      <c r="T6" s="8">
        <v>-1</v>
      </c>
      <c r="U6" s="3">
        <v>3</v>
      </c>
      <c r="V6" s="8">
        <v>5</v>
      </c>
      <c r="W6" s="89">
        <f t="shared" si="5"/>
        <v>2</v>
      </c>
      <c r="X6" s="90" cm="1">
        <f t="array" ref="X6">ROUND(MAX(ABS($W$4:$W$11)), -1)</f>
        <v>20</v>
      </c>
      <c r="Y6" s="77">
        <f t="shared" si="6"/>
        <v>22</v>
      </c>
      <c r="Z6" s="91">
        <f t="shared" si="7"/>
        <v>0.13750000000000001</v>
      </c>
      <c r="AC6" s="83">
        <v>3</v>
      </c>
      <c r="AD6" s="83" t="s">
        <v>280</v>
      </c>
    </row>
    <row r="7" spans="1:30" ht="16" thickBot="1">
      <c r="A7" s="3">
        <v>2</v>
      </c>
      <c r="B7" s="82"/>
      <c r="C7" s="3" t="s">
        <v>17</v>
      </c>
      <c r="E7" s="85" t="str">
        <f t="shared" si="8"/>
        <v>Level of Wages:  regular wages, extra payments, voluntary payments</v>
      </c>
      <c r="F7" s="86">
        <f t="shared" si="0"/>
        <v>0.19375000000000001</v>
      </c>
      <c r="G7" s="6">
        <v>2</v>
      </c>
      <c r="H7" s="88">
        <f t="shared" si="1"/>
        <v>0.38750000000000001</v>
      </c>
      <c r="I7" s="6">
        <v>3</v>
      </c>
      <c r="J7" s="88">
        <f t="shared" si="2"/>
        <v>0.58125000000000004</v>
      </c>
      <c r="K7" s="6">
        <v>2</v>
      </c>
      <c r="L7" s="88">
        <f t="shared" si="3"/>
        <v>0.38750000000000001</v>
      </c>
      <c r="N7" s="9" t="str">
        <f t="shared" si="4"/>
        <v>Level of Wages:  regular wages, extra payments, voluntary payments</v>
      </c>
      <c r="O7" s="3">
        <v>0</v>
      </c>
      <c r="P7" s="3">
        <v>5</v>
      </c>
      <c r="Q7" s="3" cm="1">
        <f t="array" ref="Q7:Q11">TRANSPOSE(R6:V6)*(-1)</f>
        <v>0</v>
      </c>
      <c r="R7" s="13"/>
      <c r="S7" s="3">
        <v>5</v>
      </c>
      <c r="T7" s="8">
        <v>5</v>
      </c>
      <c r="U7" s="3">
        <v>-1</v>
      </c>
      <c r="V7" s="8">
        <v>-3</v>
      </c>
      <c r="W7" s="89">
        <f t="shared" si="5"/>
        <v>11</v>
      </c>
      <c r="X7" s="90" cm="1">
        <f t="array" ref="X7">ROUND(MAX(ABS($W$4:$W$11)), -1)</f>
        <v>20</v>
      </c>
      <c r="Y7" s="77">
        <f t="shared" si="6"/>
        <v>31</v>
      </c>
      <c r="Z7" s="91">
        <f t="shared" si="7"/>
        <v>0.19375000000000001</v>
      </c>
      <c r="AC7" s="83">
        <v>4</v>
      </c>
      <c r="AD7" s="83"/>
    </row>
    <row r="8" spans="1:30" ht="16" thickBot="1">
      <c r="A8" s="3">
        <v>3</v>
      </c>
      <c r="B8" s="82" t="s">
        <v>10</v>
      </c>
      <c r="C8" s="3" t="s">
        <v>18</v>
      </c>
      <c r="E8" s="85" t="str">
        <f t="shared" si="8"/>
        <v>Housing (new apartments available? New construction necessary? Public support for housing?)</v>
      </c>
      <c r="F8" s="86">
        <f t="shared" si="0"/>
        <v>8.1250000000000003E-2</v>
      </c>
      <c r="G8" s="6">
        <v>7</v>
      </c>
      <c r="H8" s="88">
        <f t="shared" si="1"/>
        <v>0.56874999999999998</v>
      </c>
      <c r="I8" s="6">
        <v>3</v>
      </c>
      <c r="J8" s="88">
        <f t="shared" si="2"/>
        <v>0.24375000000000002</v>
      </c>
      <c r="K8" s="6">
        <v>2</v>
      </c>
      <c r="L8" s="88">
        <f t="shared" si="3"/>
        <v>0.16250000000000001</v>
      </c>
      <c r="N8" s="9" t="str">
        <f t="shared" si="4"/>
        <v>Housing (new apartments available? New construction necessary? Public support for housing?)</v>
      </c>
      <c r="O8" s="3">
        <v>-1</v>
      </c>
      <c r="P8" s="3">
        <v>-3</v>
      </c>
      <c r="Q8" s="3">
        <v>-1</v>
      </c>
      <c r="R8" s="3" cm="1">
        <f t="array" ref="R8:R11">TRANSPOSE(S7:V7)*(-1)</f>
        <v>-5</v>
      </c>
      <c r="S8" s="13"/>
      <c r="T8" s="8">
        <v>1</v>
      </c>
      <c r="U8" s="3">
        <v>1</v>
      </c>
      <c r="V8" s="8">
        <v>1</v>
      </c>
      <c r="W8" s="89">
        <f t="shared" si="5"/>
        <v>-7</v>
      </c>
      <c r="X8" s="90" cm="1">
        <f t="array" ref="X8">ROUND(MAX(ABS($W$4:$W$11)), -1)</f>
        <v>20</v>
      </c>
      <c r="Y8" s="77">
        <f t="shared" si="6"/>
        <v>13</v>
      </c>
      <c r="Z8" s="91">
        <f t="shared" si="7"/>
        <v>8.1250000000000003E-2</v>
      </c>
      <c r="AC8" s="83">
        <v>5</v>
      </c>
      <c r="AD8" s="83" t="s">
        <v>281</v>
      </c>
    </row>
    <row r="9" spans="1:30" ht="16" thickBot="1">
      <c r="A9" s="3"/>
      <c r="B9" s="82"/>
      <c r="C9" s="3" t="s">
        <v>19</v>
      </c>
      <c r="E9" s="85" t="str">
        <f t="shared" si="8"/>
        <v>Cost of living</v>
      </c>
      <c r="F9" s="86">
        <f t="shared" si="0"/>
        <v>8.7499999999999994E-2</v>
      </c>
      <c r="G9" s="6">
        <v>1</v>
      </c>
      <c r="H9" s="88">
        <f t="shared" si="1"/>
        <v>8.7499999999999994E-2</v>
      </c>
      <c r="I9" s="6">
        <v>3</v>
      </c>
      <c r="J9" s="88">
        <f t="shared" si="2"/>
        <v>0.26249999999999996</v>
      </c>
      <c r="K9" s="6">
        <v>2</v>
      </c>
      <c r="L9" s="88">
        <f t="shared" si="3"/>
        <v>0.17499999999999999</v>
      </c>
      <c r="N9" s="9" t="str">
        <f t="shared" si="4"/>
        <v>Cost of living</v>
      </c>
      <c r="O9" s="3">
        <v>-3</v>
      </c>
      <c r="P9" s="3">
        <v>-3</v>
      </c>
      <c r="Q9" s="3">
        <v>1</v>
      </c>
      <c r="R9" s="3">
        <v>-5</v>
      </c>
      <c r="S9" s="3" cm="1">
        <f t="array" ref="S9:S11">TRANSPOSE(T8:V8)*(-1)</f>
        <v>-1</v>
      </c>
      <c r="T9" s="14"/>
      <c r="U9" s="3">
        <v>0</v>
      </c>
      <c r="V9" s="8">
        <v>5</v>
      </c>
      <c r="W9" s="89">
        <f t="shared" si="5"/>
        <v>-6</v>
      </c>
      <c r="X9" s="90" cm="1">
        <f t="array" ref="X9">ROUND(MAX(ABS($W$4:$W$11)), -1)</f>
        <v>20</v>
      </c>
      <c r="Y9" s="77">
        <f t="shared" si="6"/>
        <v>14</v>
      </c>
      <c r="Z9" s="91">
        <f t="shared" si="7"/>
        <v>8.7499999999999994E-2</v>
      </c>
      <c r="AC9" s="83"/>
      <c r="AD9" s="83"/>
    </row>
    <row r="10" spans="1:30" ht="16" thickBot="1">
      <c r="A10" s="3"/>
      <c r="B10" s="82"/>
      <c r="C10" s="3" t="s">
        <v>20</v>
      </c>
      <c r="E10" s="85" t="str">
        <f t="shared" si="8"/>
        <v>Relevant subventions</v>
      </c>
      <c r="F10" s="86">
        <f t="shared" si="0"/>
        <v>0.1</v>
      </c>
      <c r="G10" s="6">
        <v>4</v>
      </c>
      <c r="H10" s="88">
        <f t="shared" si="1"/>
        <v>0.4</v>
      </c>
      <c r="I10" s="6">
        <v>3</v>
      </c>
      <c r="J10" s="88">
        <f t="shared" si="2"/>
        <v>0.30000000000000004</v>
      </c>
      <c r="K10" s="6">
        <v>2</v>
      </c>
      <c r="L10" s="88">
        <f t="shared" si="3"/>
        <v>0.2</v>
      </c>
      <c r="N10" s="9" t="str">
        <f t="shared" si="4"/>
        <v>Relevant subventions</v>
      </c>
      <c r="O10" s="3">
        <v>-3</v>
      </c>
      <c r="P10" s="3">
        <v>-3</v>
      </c>
      <c r="Q10" s="3">
        <v>-3</v>
      </c>
      <c r="R10" s="3">
        <v>1</v>
      </c>
      <c r="S10" s="3">
        <v>-1</v>
      </c>
      <c r="T10" s="3" cm="1">
        <f t="array" ref="T10:T11">TRANSPOSE(U9:V9)*(-1)</f>
        <v>0</v>
      </c>
      <c r="U10" s="13"/>
      <c r="V10" s="8">
        <v>5</v>
      </c>
      <c r="W10" s="89">
        <f t="shared" si="5"/>
        <v>-4</v>
      </c>
      <c r="X10" s="90" cm="1">
        <f t="array" ref="X10">ROUND(MAX(ABS($W$4:$W$11)), -1)</f>
        <v>20</v>
      </c>
      <c r="Y10" s="77">
        <f t="shared" si="6"/>
        <v>16</v>
      </c>
      <c r="Z10" s="91">
        <f t="shared" si="7"/>
        <v>0.1</v>
      </c>
      <c r="AC10" s="83">
        <v>-1</v>
      </c>
      <c r="AD10" s="83" t="s">
        <v>282</v>
      </c>
    </row>
    <row r="11" spans="1:30">
      <c r="A11" s="3">
        <v>4</v>
      </c>
      <c r="B11" s="82"/>
      <c r="C11" s="3" t="s">
        <v>21</v>
      </c>
      <c r="E11" s="85" t="str">
        <f t="shared" si="8"/>
        <v xml:space="preserve">Property price </v>
      </c>
      <c r="F11" s="86">
        <f t="shared" si="0"/>
        <v>1.8749999999999999E-2</v>
      </c>
      <c r="G11" s="6">
        <v>5</v>
      </c>
      <c r="H11" s="88">
        <f t="shared" si="1"/>
        <v>9.375E-2</v>
      </c>
      <c r="I11" s="6">
        <v>3</v>
      </c>
      <c r="J11" s="88">
        <f t="shared" si="2"/>
        <v>5.6249999999999994E-2</v>
      </c>
      <c r="K11" s="6">
        <v>2</v>
      </c>
      <c r="L11" s="88">
        <f t="shared" si="3"/>
        <v>3.7499999999999999E-2</v>
      </c>
      <c r="N11" s="9" t="str">
        <f t="shared" si="4"/>
        <v xml:space="preserve">Property price </v>
      </c>
      <c r="O11" s="3">
        <v>-3</v>
      </c>
      <c r="P11" s="3">
        <v>-1</v>
      </c>
      <c r="Q11" s="3">
        <v>-5</v>
      </c>
      <c r="R11" s="3">
        <v>3</v>
      </c>
      <c r="S11" s="3">
        <v>-1</v>
      </c>
      <c r="T11" s="3">
        <v>-5</v>
      </c>
      <c r="U11" s="3">
        <f>V10*(-1)</f>
        <v>-5</v>
      </c>
      <c r="V11" s="14"/>
      <c r="W11" s="89">
        <f t="shared" si="5"/>
        <v>-17</v>
      </c>
      <c r="X11" s="90" cm="1">
        <f t="array" ref="X11">ROUND(MAX(ABS($W$4:$W$11)), -1)</f>
        <v>20</v>
      </c>
      <c r="Y11" s="77">
        <f t="shared" si="6"/>
        <v>3</v>
      </c>
      <c r="Z11" s="91">
        <f t="shared" si="7"/>
        <v>1.8749999999999999E-2</v>
      </c>
      <c r="AC11" s="83">
        <v>-2</v>
      </c>
      <c r="AD11" s="83"/>
    </row>
    <row r="12" spans="1:30">
      <c r="A12" s="3"/>
      <c r="B12" s="82"/>
      <c r="C12" s="3" t="s">
        <v>22</v>
      </c>
      <c r="E12" s="92"/>
      <c r="F12" s="93"/>
      <c r="G12" s="94"/>
      <c r="H12" s="95"/>
      <c r="I12" s="94"/>
      <c r="J12" s="95"/>
      <c r="K12" s="94"/>
      <c r="L12" s="95"/>
      <c r="Z12" s="96"/>
      <c r="AC12" s="83">
        <v>-3</v>
      </c>
      <c r="AD12" s="83" t="s">
        <v>283</v>
      </c>
    </row>
    <row r="13" spans="1:30">
      <c r="A13" s="3">
        <v>5</v>
      </c>
      <c r="B13" s="82"/>
      <c r="C13" s="3" t="s">
        <v>23</v>
      </c>
      <c r="E13" s="92"/>
      <c r="F13" s="93"/>
      <c r="G13" s="94"/>
      <c r="H13" s="95"/>
      <c r="I13" s="94"/>
      <c r="J13" s="95"/>
      <c r="K13" s="94"/>
      <c r="L13" s="95"/>
      <c r="AC13" s="83">
        <v>-4</v>
      </c>
      <c r="AD13" s="83"/>
    </row>
    <row r="14" spans="1:30">
      <c r="A14" s="3"/>
      <c r="B14" s="82"/>
      <c r="C14" s="3" t="s">
        <v>24</v>
      </c>
      <c r="E14" s="92"/>
      <c r="F14" s="93"/>
      <c r="G14" s="94"/>
      <c r="H14" s="95"/>
      <c r="I14" s="94"/>
      <c r="J14" s="95"/>
      <c r="K14" s="94"/>
      <c r="L14" s="95"/>
      <c r="AC14" s="83">
        <v>-5</v>
      </c>
      <c r="AD14" s="83" t="s">
        <v>284</v>
      </c>
    </row>
    <row r="15" spans="1:30">
      <c r="A15" s="3"/>
      <c r="B15" s="82"/>
      <c r="C15" s="3" t="s">
        <v>25</v>
      </c>
      <c r="E15" s="92"/>
      <c r="F15" s="93"/>
      <c r="G15" s="94"/>
      <c r="H15" s="95"/>
      <c r="I15" s="94"/>
      <c r="J15" s="95"/>
      <c r="K15" s="94"/>
      <c r="L15" s="95"/>
    </row>
    <row r="16" spans="1:30">
      <c r="A16" s="3"/>
      <c r="B16" s="82"/>
      <c r="C16" s="3" t="s">
        <v>26</v>
      </c>
      <c r="E16" s="92"/>
      <c r="F16" s="93"/>
      <c r="G16" s="94"/>
      <c r="H16" s="95"/>
      <c r="I16" s="94"/>
      <c r="J16" s="95"/>
      <c r="K16" s="94"/>
      <c r="L16" s="95"/>
    </row>
    <row r="17" spans="1:12">
      <c r="A17" s="3"/>
      <c r="B17" s="82"/>
      <c r="C17" s="3" t="s">
        <v>27</v>
      </c>
      <c r="E17" s="92"/>
      <c r="F17" s="93"/>
      <c r="G17" s="94"/>
      <c r="H17" s="95"/>
      <c r="I17" s="94"/>
      <c r="J17" s="95"/>
      <c r="K17" s="94"/>
      <c r="L17" s="95"/>
    </row>
    <row r="18" spans="1:12">
      <c r="A18" s="3">
        <v>6</v>
      </c>
      <c r="B18" s="82"/>
      <c r="C18" s="3" t="s">
        <v>11</v>
      </c>
      <c r="E18" s="92"/>
      <c r="F18" s="93"/>
      <c r="G18" s="94"/>
      <c r="H18" s="95"/>
      <c r="I18" s="94"/>
      <c r="J18" s="95"/>
      <c r="K18" s="94"/>
      <c r="L18" s="95"/>
    </row>
    <row r="19" spans="1:12">
      <c r="A19" s="3"/>
      <c r="B19" s="82"/>
      <c r="C19" s="3" t="s">
        <v>28</v>
      </c>
      <c r="E19" s="92"/>
      <c r="F19" s="93"/>
      <c r="G19" s="94"/>
      <c r="H19" s="95"/>
      <c r="I19" s="94"/>
      <c r="J19" s="95"/>
      <c r="K19" s="94"/>
      <c r="L19" s="95"/>
    </row>
    <row r="20" spans="1:12">
      <c r="A20" s="3"/>
      <c r="B20" s="82" t="s">
        <v>29</v>
      </c>
      <c r="C20" s="3" t="s">
        <v>30</v>
      </c>
      <c r="E20" s="92"/>
      <c r="F20" s="93"/>
      <c r="G20" s="94"/>
      <c r="H20" s="95"/>
      <c r="I20" s="94"/>
      <c r="J20" s="95"/>
      <c r="K20" s="94"/>
      <c r="L20" s="95"/>
    </row>
    <row r="21" spans="1:12">
      <c r="A21" s="3"/>
      <c r="B21" s="82"/>
      <c r="C21" s="3" t="s">
        <v>31</v>
      </c>
      <c r="E21" s="92"/>
      <c r="F21" s="93"/>
      <c r="G21" s="94"/>
      <c r="H21" s="95"/>
      <c r="I21" s="94"/>
      <c r="J21" s="95"/>
      <c r="K21" s="94"/>
      <c r="L21" s="95"/>
    </row>
    <row r="22" spans="1:12">
      <c r="A22" s="3"/>
      <c r="B22" s="82"/>
      <c r="C22" s="3" t="s">
        <v>32</v>
      </c>
      <c r="E22" s="92"/>
      <c r="F22" s="93"/>
      <c r="G22" s="94"/>
      <c r="H22" s="95"/>
      <c r="I22" s="94"/>
      <c r="J22" s="95"/>
      <c r="K22" s="94"/>
      <c r="L22" s="95"/>
    </row>
    <row r="23" spans="1:12">
      <c r="A23" s="3"/>
      <c r="B23" s="82"/>
      <c r="C23" s="3" t="s">
        <v>33</v>
      </c>
      <c r="E23" s="92"/>
      <c r="F23" s="93"/>
      <c r="G23" s="94"/>
      <c r="H23" s="95"/>
      <c r="I23" s="94"/>
      <c r="J23" s="95"/>
      <c r="K23" s="94"/>
      <c r="L23" s="95"/>
    </row>
    <row r="24" spans="1:12">
      <c r="A24" s="3"/>
      <c r="B24" s="82" t="s">
        <v>13</v>
      </c>
      <c r="C24" s="3" t="s">
        <v>34</v>
      </c>
      <c r="E24" s="92"/>
      <c r="F24" s="93"/>
      <c r="G24" s="94"/>
      <c r="H24" s="95"/>
      <c r="I24" s="94"/>
      <c r="J24" s="95"/>
      <c r="K24" s="94"/>
      <c r="L24" s="95"/>
    </row>
    <row r="25" spans="1:12">
      <c r="A25" s="3"/>
      <c r="B25" s="82"/>
      <c r="C25" s="3" t="s">
        <v>35</v>
      </c>
      <c r="E25" s="92"/>
      <c r="F25" s="93"/>
      <c r="G25" s="94"/>
      <c r="H25" s="95"/>
      <c r="I25" s="94"/>
      <c r="J25" s="95"/>
      <c r="K25" s="94"/>
      <c r="L25" s="95"/>
    </row>
    <row r="26" spans="1:12">
      <c r="A26" s="3"/>
      <c r="B26" s="82"/>
      <c r="C26" s="3" t="s">
        <v>36</v>
      </c>
      <c r="E26" s="92"/>
      <c r="F26" s="93"/>
      <c r="G26" s="94"/>
      <c r="H26" s="95"/>
      <c r="I26" s="94"/>
      <c r="J26" s="95"/>
      <c r="K26" s="94"/>
      <c r="L26" s="95"/>
    </row>
    <row r="27" spans="1:12">
      <c r="A27" s="3">
        <v>7</v>
      </c>
      <c r="B27" s="82"/>
      <c r="C27" s="3" t="s">
        <v>37</v>
      </c>
      <c r="E27" s="92"/>
      <c r="F27" s="93"/>
      <c r="G27" s="94"/>
      <c r="H27" s="95"/>
      <c r="I27" s="94"/>
      <c r="J27" s="95"/>
      <c r="K27" s="94"/>
      <c r="L27" s="95"/>
    </row>
    <row r="28" spans="1:12">
      <c r="A28" s="3"/>
      <c r="B28" s="82" t="s">
        <v>38</v>
      </c>
      <c r="C28" s="3" t="s">
        <v>39</v>
      </c>
      <c r="E28" s="92"/>
      <c r="F28" s="93"/>
      <c r="G28" s="94"/>
      <c r="H28" s="95"/>
      <c r="I28" s="94"/>
      <c r="J28" s="95"/>
      <c r="K28" s="94"/>
      <c r="L28" s="95"/>
    </row>
    <row r="29" spans="1:12" ht="16" thickBot="1">
      <c r="A29" s="3"/>
      <c r="B29" s="82"/>
      <c r="C29" s="3" t="s">
        <v>40</v>
      </c>
      <c r="E29" s="97"/>
      <c r="F29" s="98"/>
      <c r="G29" s="99"/>
      <c r="H29" s="100"/>
      <c r="I29" s="99"/>
      <c r="J29" s="100"/>
      <c r="K29" s="99"/>
      <c r="L29" s="100"/>
    </row>
    <row r="30" spans="1:12" ht="16" thickBot="1">
      <c r="A30" s="3"/>
      <c r="B30" s="82" t="s">
        <v>41</v>
      </c>
      <c r="C30" s="3" t="s">
        <v>42</v>
      </c>
      <c r="E30" s="448" t="s">
        <v>285</v>
      </c>
      <c r="F30" s="449"/>
      <c r="G30" s="17"/>
      <c r="H30" s="18">
        <f>SUM(H4:H29)</f>
        <v>4.4250000000000007</v>
      </c>
      <c r="I30" s="17"/>
      <c r="J30" s="18">
        <f>SUM(J4:J29)</f>
        <v>3.4499999999999997</v>
      </c>
      <c r="K30" s="17"/>
      <c r="L30" s="18">
        <f>SUM(L4:L29)</f>
        <v>2.2250000000000005</v>
      </c>
    </row>
    <row r="31" spans="1:12" ht="16" thickBot="1">
      <c r="A31" s="3"/>
      <c r="B31" s="82"/>
      <c r="C31" s="3" t="s">
        <v>43</v>
      </c>
      <c r="E31" s="450" t="s">
        <v>286</v>
      </c>
      <c r="F31" s="451"/>
      <c r="G31" s="101"/>
      <c r="H31" s="102">
        <f>IFERROR(RANK(H30, $H$30:$L$30, 0), "")</f>
        <v>1</v>
      </c>
      <c r="I31" s="102" t="str">
        <f>IFERROR(RANK(I30, $H$30:$L$30, 0), "")</f>
        <v/>
      </c>
      <c r="J31" s="102">
        <f>IFERROR(RANK(J30, $H$30:$L$30, 0), "")</f>
        <v>2</v>
      </c>
      <c r="K31" s="102" t="str">
        <f>IFERROR(RANK(K30, $H$30:$L$30, 0), "")</f>
        <v/>
      </c>
      <c r="L31" s="102">
        <f>IFERROR(RANK(L30, $H$30:$L$30, 0), "")</f>
        <v>3</v>
      </c>
    </row>
    <row r="32" spans="1:12">
      <c r="A32" s="3"/>
      <c r="B32" s="82"/>
      <c r="C32" s="3" t="s">
        <v>44</v>
      </c>
    </row>
    <row r="33" spans="1:3">
      <c r="A33" s="3"/>
      <c r="B33" s="82"/>
      <c r="C33" s="3" t="s">
        <v>45</v>
      </c>
    </row>
    <row r="34" spans="1:3">
      <c r="A34" s="3"/>
      <c r="B34" s="82" t="s">
        <v>15</v>
      </c>
      <c r="C34" s="3" t="s">
        <v>46</v>
      </c>
    </row>
    <row r="35" spans="1:3">
      <c r="A35" s="3">
        <v>8</v>
      </c>
      <c r="B35" s="82"/>
      <c r="C35" s="3" t="s">
        <v>47</v>
      </c>
    </row>
    <row r="36" spans="1:3">
      <c r="A36" s="3"/>
      <c r="B36" s="82"/>
      <c r="C36" s="3" t="s">
        <v>48</v>
      </c>
    </row>
    <row r="37" spans="1:3">
      <c r="A37" s="3"/>
      <c r="B37" s="82"/>
      <c r="C37" s="3" t="s">
        <v>49</v>
      </c>
    </row>
    <row r="38" spans="1:3">
      <c r="A38" s="3"/>
      <c r="B38" s="82"/>
      <c r="C38" s="3" t="s">
        <v>50</v>
      </c>
    </row>
    <row r="39" spans="1:3">
      <c r="A39" s="3"/>
      <c r="B39" s="82"/>
      <c r="C39" s="3" t="s">
        <v>51</v>
      </c>
    </row>
    <row r="40" spans="1:3">
      <c r="A40" s="3"/>
      <c r="B40" s="82"/>
      <c r="C40" s="3" t="s">
        <v>52</v>
      </c>
    </row>
    <row r="41" spans="1:3">
      <c r="A41" s="3"/>
      <c r="B41" s="82"/>
      <c r="C41" s="3" t="s">
        <v>53</v>
      </c>
    </row>
    <row r="42" spans="1:3">
      <c r="A42" s="3"/>
      <c r="B42" s="82"/>
      <c r="C42" s="3" t="s">
        <v>54</v>
      </c>
    </row>
    <row r="43" spans="1:3">
      <c r="A43" s="3"/>
      <c r="B43" s="82"/>
      <c r="C43" s="3" t="s">
        <v>55</v>
      </c>
    </row>
    <row r="44" spans="1:3">
      <c r="A44" s="3"/>
      <c r="B44" s="82"/>
      <c r="C44" s="3" t="s">
        <v>56</v>
      </c>
    </row>
    <row r="45" spans="1:3">
      <c r="A45" s="3"/>
      <c r="B45" s="82" t="s">
        <v>16</v>
      </c>
      <c r="C45" s="3" t="s">
        <v>57</v>
      </c>
    </row>
    <row r="46" spans="1:3">
      <c r="A46" s="3"/>
      <c r="B46" s="82"/>
      <c r="C46" s="3" t="s">
        <v>58</v>
      </c>
    </row>
    <row r="47" spans="1:3">
      <c r="A47" s="3"/>
      <c r="B47" s="82"/>
      <c r="C47" s="3" t="s">
        <v>59</v>
      </c>
    </row>
    <row r="48" spans="1:3">
      <c r="A48" s="3"/>
      <c r="B48" s="82"/>
      <c r="C48" s="3" t="s">
        <v>60</v>
      </c>
    </row>
    <row r="49" spans="1:3">
      <c r="A49" s="3"/>
      <c r="B49" s="82"/>
      <c r="C49" s="3" t="s">
        <v>61</v>
      </c>
    </row>
    <row r="50" spans="1:3">
      <c r="A50" s="3"/>
      <c r="B50" s="82"/>
      <c r="C50" s="3" t="s">
        <v>62</v>
      </c>
    </row>
    <row r="51" spans="1:3">
      <c r="A51" s="3"/>
      <c r="B51" s="82" t="s">
        <v>63</v>
      </c>
      <c r="C51" s="3" t="s">
        <v>64</v>
      </c>
    </row>
    <row r="52" spans="1:3">
      <c r="A52" s="3"/>
      <c r="B52" s="82"/>
      <c r="C52" s="3" t="s">
        <v>65</v>
      </c>
    </row>
    <row r="53" spans="1:3">
      <c r="A53" s="3"/>
      <c r="B53" s="82" t="s">
        <v>66</v>
      </c>
      <c r="C53" s="3" t="s">
        <v>67</v>
      </c>
    </row>
    <row r="54" spans="1:3">
      <c r="A54" s="3"/>
      <c r="B54" s="82"/>
      <c r="C54" s="3" t="s">
        <v>68</v>
      </c>
    </row>
    <row r="55" spans="1:3">
      <c r="A55" s="3"/>
      <c r="B55" s="82" t="s">
        <v>69</v>
      </c>
      <c r="C55" s="3" t="s">
        <v>70</v>
      </c>
    </row>
    <row r="56" spans="1:3">
      <c r="A56" s="3"/>
      <c r="B56" s="82"/>
      <c r="C56" s="3" t="s">
        <v>71</v>
      </c>
    </row>
    <row r="57" spans="1:3">
      <c r="A57" s="3"/>
      <c r="B57" s="82" t="s">
        <v>72</v>
      </c>
      <c r="C57" s="3" t="s">
        <v>73</v>
      </c>
    </row>
    <row r="58" spans="1:3">
      <c r="A58" s="3"/>
      <c r="B58" s="82"/>
      <c r="C58" s="3" t="s">
        <v>74</v>
      </c>
    </row>
    <row r="59" spans="1:3">
      <c r="A59" s="3"/>
      <c r="B59" s="82"/>
      <c r="C59" s="3" t="s">
        <v>75</v>
      </c>
    </row>
    <row r="60" spans="1:3">
      <c r="A60" s="3"/>
      <c r="B60" s="82"/>
      <c r="C60" s="3" t="s">
        <v>76</v>
      </c>
    </row>
    <row r="61" spans="1:3">
      <c r="A61" s="3"/>
      <c r="B61" s="82"/>
      <c r="C61" s="3" t="s">
        <v>77</v>
      </c>
    </row>
    <row r="62" spans="1:3">
      <c r="A62" s="3"/>
      <c r="B62" s="82"/>
      <c r="C62" s="3" t="s">
        <v>78</v>
      </c>
    </row>
    <row r="63" spans="1:3">
      <c r="A63" s="3"/>
      <c r="B63" s="82"/>
      <c r="C63" s="3" t="s">
        <v>79</v>
      </c>
    </row>
    <row r="64" spans="1:3">
      <c r="A64" s="3"/>
      <c r="B64" s="82"/>
      <c r="C64" s="3" t="s">
        <v>80</v>
      </c>
    </row>
  </sheetData>
  <mergeCells count="7">
    <mergeCell ref="N2:Z2"/>
    <mergeCell ref="E30:F30"/>
    <mergeCell ref="E31:F31"/>
    <mergeCell ref="E1:L1"/>
    <mergeCell ref="G2:H2"/>
    <mergeCell ref="I2:J2"/>
    <mergeCell ref="K2:L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DEA38-F800-3D45-8C0F-28084D9AF0CB}">
  <sheetPr codeName="Sheet3"/>
  <dimension ref="A1:F24"/>
  <sheetViews>
    <sheetView workbookViewId="0">
      <selection activeCell="J2" sqref="J2"/>
    </sheetView>
  </sheetViews>
  <sheetFormatPr defaultColWidth="10.6640625" defaultRowHeight="15.5"/>
  <cols>
    <col min="1" max="1" width="12.33203125" customWidth="1"/>
    <col min="2" max="2" width="24" customWidth="1"/>
    <col min="3" max="3" width="16.5" bestFit="1" customWidth="1"/>
    <col min="4" max="4" width="16" customWidth="1"/>
    <col min="5" max="5" width="12.1640625" customWidth="1"/>
    <col min="6" max="6" width="11.6640625" bestFit="1" customWidth="1"/>
  </cols>
  <sheetData>
    <row r="1" spans="1:6" ht="31">
      <c r="A1" s="19" t="s">
        <v>140</v>
      </c>
      <c r="B1" s="19" t="s">
        <v>141</v>
      </c>
      <c r="C1" s="19" t="s">
        <v>142</v>
      </c>
      <c r="D1" s="19" t="s">
        <v>143</v>
      </c>
      <c r="E1" s="19" t="s">
        <v>144</v>
      </c>
      <c r="F1" s="19" t="s">
        <v>145</v>
      </c>
    </row>
    <row r="2" spans="1:6">
      <c r="A2" s="23">
        <v>0</v>
      </c>
      <c r="B2" s="19"/>
      <c r="C2" s="19"/>
      <c r="D2" s="19"/>
      <c r="E2" s="19"/>
      <c r="F2" s="19">
        <v>0</v>
      </c>
    </row>
    <row r="3" spans="1:6">
      <c r="A3" s="20" t="s">
        <v>146</v>
      </c>
      <c r="B3" s="21">
        <v>50</v>
      </c>
      <c r="C3" s="21">
        <v>9000</v>
      </c>
      <c r="D3" s="20">
        <f t="shared" ref="D3:D22" si="0">B3*C3</f>
        <v>450000</v>
      </c>
      <c r="E3" s="22">
        <f t="shared" ref="E3:E22" si="1">D3/SUM($D$3:$D$22)</f>
        <v>0.57531257051574214</v>
      </c>
      <c r="F3" s="22">
        <f>E3+F2</f>
        <v>0.57531257051574214</v>
      </c>
    </row>
    <row r="4" spans="1:6">
      <c r="A4" s="20" t="s">
        <v>147</v>
      </c>
      <c r="B4" s="21">
        <v>1200</v>
      </c>
      <c r="C4" s="21">
        <v>105</v>
      </c>
      <c r="D4" s="20">
        <f t="shared" si="0"/>
        <v>126000</v>
      </c>
      <c r="E4" s="22">
        <f t="shared" si="1"/>
        <v>0.1610875197444078</v>
      </c>
      <c r="F4" s="22">
        <f>E4+F3</f>
        <v>0.73640009026014996</v>
      </c>
    </row>
    <row r="5" spans="1:6">
      <c r="A5" s="20" t="s">
        <v>148</v>
      </c>
      <c r="B5" s="21">
        <v>9500</v>
      </c>
      <c r="C5" s="21">
        <v>7</v>
      </c>
      <c r="D5" s="20">
        <f t="shared" si="0"/>
        <v>66500</v>
      </c>
      <c r="E5" s="22">
        <f t="shared" si="1"/>
        <v>8.5018413198437448E-2</v>
      </c>
      <c r="F5" s="22">
        <f t="shared" ref="F5:F22" si="2">E5+F4</f>
        <v>0.82141850345858747</v>
      </c>
    </row>
    <row r="6" spans="1:6">
      <c r="A6" s="20" t="s">
        <v>149</v>
      </c>
      <c r="B6" s="21">
        <v>22.6</v>
      </c>
      <c r="C6" s="21">
        <v>1700</v>
      </c>
      <c r="D6" s="20">
        <f t="shared" si="0"/>
        <v>38420</v>
      </c>
      <c r="E6" s="22">
        <f t="shared" si="1"/>
        <v>4.9118908798255138E-2</v>
      </c>
      <c r="F6" s="22">
        <f t="shared" si="2"/>
        <v>0.87053741225684256</v>
      </c>
    </row>
    <row r="7" spans="1:6">
      <c r="A7" s="20" t="s">
        <v>150</v>
      </c>
      <c r="B7" s="21">
        <v>950</v>
      </c>
      <c r="C7" s="21">
        <v>30</v>
      </c>
      <c r="D7" s="20">
        <f t="shared" si="0"/>
        <v>28500</v>
      </c>
      <c r="E7" s="22">
        <f t="shared" si="1"/>
        <v>3.6436462799330334E-2</v>
      </c>
      <c r="F7" s="22">
        <f t="shared" si="2"/>
        <v>0.90697387505617288</v>
      </c>
    </row>
    <row r="8" spans="1:6">
      <c r="A8" s="20" t="s">
        <v>151</v>
      </c>
      <c r="B8" s="21">
        <v>120</v>
      </c>
      <c r="C8" s="21">
        <v>180</v>
      </c>
      <c r="D8" s="20">
        <f t="shared" si="0"/>
        <v>21600</v>
      </c>
      <c r="E8" s="22">
        <f t="shared" si="1"/>
        <v>2.7615003384755622E-2</v>
      </c>
      <c r="F8" s="22">
        <f t="shared" si="2"/>
        <v>0.93458887844092853</v>
      </c>
    </row>
    <row r="9" spans="1:6">
      <c r="A9" s="20" t="s">
        <v>152</v>
      </c>
      <c r="B9" s="21">
        <v>3.75</v>
      </c>
      <c r="C9" s="21">
        <v>3800</v>
      </c>
      <c r="D9" s="20">
        <f t="shared" si="0"/>
        <v>14250</v>
      </c>
      <c r="E9" s="22">
        <f t="shared" si="1"/>
        <v>1.8218231399665167E-2</v>
      </c>
      <c r="F9" s="22">
        <f t="shared" si="2"/>
        <v>0.95280710984059369</v>
      </c>
    </row>
    <row r="10" spans="1:6">
      <c r="A10" s="20" t="s">
        <v>153</v>
      </c>
      <c r="B10" s="21">
        <v>0.09</v>
      </c>
      <c r="C10" s="21">
        <v>110000</v>
      </c>
      <c r="D10" s="20">
        <f t="shared" si="0"/>
        <v>9900</v>
      </c>
      <c r="E10" s="22">
        <f t="shared" si="1"/>
        <v>1.2656876551346327E-2</v>
      </c>
      <c r="F10" s="22">
        <f t="shared" si="2"/>
        <v>0.96546398639193998</v>
      </c>
    </row>
    <row r="11" spans="1:6">
      <c r="A11" s="20" t="s">
        <v>154</v>
      </c>
      <c r="B11" s="21">
        <v>850</v>
      </c>
      <c r="C11" s="21">
        <v>7</v>
      </c>
      <c r="D11" s="20">
        <f t="shared" si="0"/>
        <v>5950</v>
      </c>
      <c r="E11" s="22">
        <f t="shared" si="1"/>
        <v>7.6069106545970351E-3</v>
      </c>
      <c r="F11" s="22">
        <f t="shared" si="2"/>
        <v>0.97307089704653704</v>
      </c>
    </row>
    <row r="12" spans="1:6">
      <c r="A12" s="20" t="s">
        <v>155</v>
      </c>
      <c r="B12" s="21">
        <v>2800</v>
      </c>
      <c r="C12" s="21">
        <v>2</v>
      </c>
      <c r="D12" s="20">
        <f t="shared" si="0"/>
        <v>5600</v>
      </c>
      <c r="E12" s="22">
        <f t="shared" si="1"/>
        <v>7.1594453219736799E-3</v>
      </c>
      <c r="F12" s="22">
        <f t="shared" si="2"/>
        <v>0.9802303423685107</v>
      </c>
    </row>
    <row r="13" spans="1:6">
      <c r="A13" s="20" t="s">
        <v>156</v>
      </c>
      <c r="B13" s="21">
        <v>45</v>
      </c>
      <c r="C13" s="21">
        <v>90</v>
      </c>
      <c r="D13" s="20">
        <f t="shared" si="0"/>
        <v>4050</v>
      </c>
      <c r="E13" s="22">
        <f t="shared" si="1"/>
        <v>5.1778131346416796E-3</v>
      </c>
      <c r="F13" s="22">
        <f t="shared" si="2"/>
        <v>0.98540815550315242</v>
      </c>
    </row>
    <row r="14" spans="1:6">
      <c r="A14" s="20" t="s">
        <v>157</v>
      </c>
      <c r="B14" s="21">
        <v>365</v>
      </c>
      <c r="C14" s="21">
        <v>8</v>
      </c>
      <c r="D14" s="20">
        <f t="shared" si="0"/>
        <v>2920</v>
      </c>
      <c r="E14" s="22">
        <f t="shared" si="1"/>
        <v>3.7331393464577044E-3</v>
      </c>
      <c r="F14" s="22">
        <f t="shared" si="2"/>
        <v>0.98914129484961011</v>
      </c>
    </row>
    <row r="15" spans="1:6">
      <c r="A15" s="20" t="s">
        <v>158</v>
      </c>
      <c r="B15" s="21">
        <v>13.5</v>
      </c>
      <c r="C15" s="21">
        <v>175</v>
      </c>
      <c r="D15" s="20">
        <f t="shared" si="0"/>
        <v>2362.5</v>
      </c>
      <c r="E15" s="22">
        <f t="shared" si="1"/>
        <v>3.0203909952076463E-3</v>
      </c>
      <c r="F15" s="22">
        <f t="shared" si="2"/>
        <v>0.99216168584481779</v>
      </c>
    </row>
    <row r="16" spans="1:6">
      <c r="A16" s="20" t="s">
        <v>159</v>
      </c>
      <c r="B16" s="21">
        <v>136</v>
      </c>
      <c r="C16" s="21">
        <v>15</v>
      </c>
      <c r="D16" s="20">
        <f t="shared" si="0"/>
        <v>2040</v>
      </c>
      <c r="E16" s="22">
        <f t="shared" si="1"/>
        <v>2.6080836530046978E-3</v>
      </c>
      <c r="F16" s="22">
        <f t="shared" si="2"/>
        <v>0.99476976949782248</v>
      </c>
    </row>
    <row r="17" spans="1:6">
      <c r="A17" s="20" t="s">
        <v>160</v>
      </c>
      <c r="B17" s="21">
        <v>72</v>
      </c>
      <c r="C17" s="21">
        <v>22</v>
      </c>
      <c r="D17" s="20">
        <f t="shared" si="0"/>
        <v>1584</v>
      </c>
      <c r="E17" s="22">
        <f t="shared" si="1"/>
        <v>2.0251002482154124E-3</v>
      </c>
      <c r="F17" s="22">
        <f t="shared" si="2"/>
        <v>0.99679486974603793</v>
      </c>
    </row>
    <row r="18" spans="1:6">
      <c r="A18" s="20" t="s">
        <v>161</v>
      </c>
      <c r="B18" s="21">
        <v>0.12</v>
      </c>
      <c r="C18" s="21">
        <v>9000</v>
      </c>
      <c r="D18" s="20">
        <f t="shared" si="0"/>
        <v>1080</v>
      </c>
      <c r="E18" s="22">
        <f t="shared" si="1"/>
        <v>1.3807501692377812E-3</v>
      </c>
      <c r="F18" s="22">
        <f t="shared" si="2"/>
        <v>0.9981756199152757</v>
      </c>
    </row>
    <row r="19" spans="1:6">
      <c r="A19" s="20" t="s">
        <v>162</v>
      </c>
      <c r="B19" s="21">
        <v>1.25</v>
      </c>
      <c r="C19" s="21">
        <v>480</v>
      </c>
      <c r="D19" s="20">
        <f t="shared" si="0"/>
        <v>600</v>
      </c>
      <c r="E19" s="22">
        <f t="shared" si="1"/>
        <v>7.6708342735432283E-4</v>
      </c>
      <c r="F19" s="22">
        <f t="shared" si="2"/>
        <v>0.99894270334263002</v>
      </c>
    </row>
    <row r="20" spans="1:6">
      <c r="A20" s="20" t="s">
        <v>163</v>
      </c>
      <c r="B20" s="21">
        <v>0.25</v>
      </c>
      <c r="C20" s="21">
        <v>2260</v>
      </c>
      <c r="D20" s="20">
        <f t="shared" si="0"/>
        <v>565</v>
      </c>
      <c r="E20" s="22">
        <f t="shared" si="1"/>
        <v>7.2233689409198737E-4</v>
      </c>
      <c r="F20" s="22">
        <f t="shared" si="2"/>
        <v>0.99966504023672198</v>
      </c>
    </row>
    <row r="21" spans="1:6">
      <c r="A21" s="20" t="s">
        <v>164</v>
      </c>
      <c r="B21" s="21">
        <v>1.1499999999999999</v>
      </c>
      <c r="C21" s="21">
        <v>160</v>
      </c>
      <c r="D21" s="20">
        <f t="shared" si="0"/>
        <v>184</v>
      </c>
      <c r="E21" s="22">
        <f t="shared" si="1"/>
        <v>2.3523891772199234E-4</v>
      </c>
      <c r="F21" s="22">
        <f t="shared" si="2"/>
        <v>0.99990027915444402</v>
      </c>
    </row>
    <row r="22" spans="1:6">
      <c r="A22" s="20" t="s">
        <v>165</v>
      </c>
      <c r="B22" s="21">
        <v>0.03</v>
      </c>
      <c r="C22" s="21">
        <v>2600</v>
      </c>
      <c r="D22" s="20">
        <f t="shared" si="0"/>
        <v>78</v>
      </c>
      <c r="E22" s="22">
        <f t="shared" si="1"/>
        <v>9.9720845556061977E-5</v>
      </c>
      <c r="F22" s="22">
        <f t="shared" si="2"/>
        <v>1</v>
      </c>
    </row>
    <row r="23" spans="1:6">
      <c r="D23" s="103"/>
      <c r="E23" s="103"/>
      <c r="F23" s="103"/>
    </row>
    <row r="24" spans="1:6">
      <c r="D24" s="103"/>
      <c r="E24" s="103"/>
    </row>
  </sheetData>
  <autoFilter ref="A2:F2" xr:uid="{0D3DEA38-F800-3D45-8C0F-28084D9AF0CB}">
    <sortState xmlns:xlrd2="http://schemas.microsoft.com/office/spreadsheetml/2017/richdata2" ref="A3:F22">
      <sortCondition descending="1" ref="E2:E22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FED97-95EA-914C-9981-E265E27D50D4}">
  <sheetPr codeName="Sheet4"/>
  <dimension ref="A1:CH30"/>
  <sheetViews>
    <sheetView topLeftCell="A50" zoomScale="138" zoomScaleNormal="140" workbookViewId="0">
      <selection activeCell="C20" sqref="C20"/>
    </sheetView>
  </sheetViews>
  <sheetFormatPr defaultColWidth="10.6640625" defaultRowHeight="15.5"/>
  <cols>
    <col min="1" max="1" width="26.6640625" customWidth="1"/>
    <col min="2" max="2" width="11.5" customWidth="1"/>
    <col min="3" max="4" width="9.83203125" bestFit="1" customWidth="1"/>
    <col min="5" max="6" width="10.83203125" bestFit="1" customWidth="1"/>
    <col min="7" max="7" width="11.83203125" bestFit="1" customWidth="1"/>
    <col min="8" max="10" width="12.83203125" bestFit="1" customWidth="1"/>
    <col min="11" max="12" width="12.1640625" bestFit="1" customWidth="1"/>
    <col min="13" max="13" width="11.1640625" bestFit="1" customWidth="1"/>
    <col min="14" max="84" width="12.1640625" bestFit="1" customWidth="1"/>
    <col min="85" max="86" width="12.83203125" bestFit="1" customWidth="1"/>
    <col min="87" max="288" width="4.83203125" customWidth="1"/>
  </cols>
  <sheetData>
    <row r="1" spans="1:86" s="66" customFormat="1" ht="16" thickBot="1">
      <c r="A1" s="67"/>
      <c r="B1" s="68" t="s">
        <v>235</v>
      </c>
      <c r="C1" s="69">
        <v>41640</v>
      </c>
      <c r="D1" s="69">
        <v>41671</v>
      </c>
      <c r="E1" s="69">
        <v>41699</v>
      </c>
      <c r="F1" s="69">
        <v>41730</v>
      </c>
      <c r="G1" s="69">
        <v>41760</v>
      </c>
      <c r="H1" s="69">
        <v>41791</v>
      </c>
      <c r="I1" s="69">
        <v>41821</v>
      </c>
      <c r="J1" s="69">
        <v>41852</v>
      </c>
      <c r="K1" s="69">
        <v>41883</v>
      </c>
      <c r="L1" s="69">
        <v>41913</v>
      </c>
      <c r="M1" s="69">
        <v>41944</v>
      </c>
      <c r="N1" s="69">
        <v>41974</v>
      </c>
      <c r="O1" s="69">
        <v>42005</v>
      </c>
      <c r="P1" s="69">
        <v>42036</v>
      </c>
      <c r="Q1" s="69">
        <v>42064</v>
      </c>
      <c r="R1" s="69">
        <v>42095</v>
      </c>
      <c r="S1" s="69">
        <v>42125</v>
      </c>
      <c r="T1" s="69">
        <v>42156</v>
      </c>
      <c r="U1" s="69">
        <v>42186</v>
      </c>
      <c r="V1" s="69">
        <v>42217</v>
      </c>
      <c r="W1" s="69">
        <v>42248</v>
      </c>
      <c r="X1" s="69">
        <v>42278</v>
      </c>
      <c r="Y1" s="69">
        <v>42309</v>
      </c>
      <c r="Z1" s="69">
        <v>42339</v>
      </c>
      <c r="AA1" s="69">
        <v>42370</v>
      </c>
      <c r="AB1" s="69">
        <v>42401</v>
      </c>
      <c r="AC1" s="69">
        <v>42430</v>
      </c>
      <c r="AD1" s="69">
        <v>42461</v>
      </c>
      <c r="AE1" s="69">
        <v>42491</v>
      </c>
      <c r="AF1" s="69">
        <v>42522</v>
      </c>
      <c r="AG1" s="69">
        <v>42552</v>
      </c>
      <c r="AH1" s="69">
        <v>42583</v>
      </c>
      <c r="AI1" s="69">
        <v>42614</v>
      </c>
      <c r="AJ1" s="69">
        <v>42644</v>
      </c>
      <c r="AK1" s="69">
        <v>42675</v>
      </c>
      <c r="AL1" s="69">
        <v>42705</v>
      </c>
      <c r="AM1" s="69">
        <v>42736</v>
      </c>
      <c r="AN1" s="69">
        <v>42767</v>
      </c>
      <c r="AO1" s="69">
        <v>42795</v>
      </c>
      <c r="AP1" s="69">
        <v>42826</v>
      </c>
      <c r="AQ1" s="69">
        <v>42856</v>
      </c>
      <c r="AR1" s="69">
        <v>42887</v>
      </c>
      <c r="AS1" s="69">
        <v>42917</v>
      </c>
      <c r="AT1" s="69">
        <v>42948</v>
      </c>
      <c r="AU1" s="69">
        <v>42979</v>
      </c>
      <c r="AV1" s="69">
        <v>43009</v>
      </c>
      <c r="AW1" s="69">
        <v>43040</v>
      </c>
      <c r="AX1" s="69">
        <v>43070</v>
      </c>
      <c r="AY1" s="69">
        <v>43101</v>
      </c>
      <c r="AZ1" s="69">
        <v>43132</v>
      </c>
      <c r="BA1" s="69">
        <v>43160</v>
      </c>
      <c r="BB1" s="69">
        <v>43191</v>
      </c>
      <c r="BC1" s="69">
        <v>43221</v>
      </c>
      <c r="BD1" s="69">
        <v>43252</v>
      </c>
      <c r="BE1" s="69">
        <v>43282</v>
      </c>
      <c r="BF1" s="69">
        <v>43313</v>
      </c>
      <c r="BG1" s="69">
        <v>43344</v>
      </c>
      <c r="BH1" s="69">
        <v>43374</v>
      </c>
      <c r="BI1" s="69">
        <v>43405</v>
      </c>
      <c r="BJ1" s="69">
        <v>43435</v>
      </c>
      <c r="BK1" s="69">
        <v>43466</v>
      </c>
      <c r="BL1" s="69">
        <v>43497</v>
      </c>
      <c r="BM1" s="69">
        <v>43525</v>
      </c>
      <c r="BN1" s="69">
        <v>43556</v>
      </c>
      <c r="BO1" s="69">
        <v>43586</v>
      </c>
      <c r="BP1" s="69">
        <v>43617</v>
      </c>
      <c r="BQ1" s="69">
        <v>43647</v>
      </c>
      <c r="BR1" s="69">
        <v>43678</v>
      </c>
      <c r="BS1" s="69">
        <v>43709</v>
      </c>
      <c r="BT1" s="69">
        <v>43739</v>
      </c>
      <c r="BU1" s="69">
        <v>43770</v>
      </c>
      <c r="BV1" s="69">
        <v>43800</v>
      </c>
      <c r="BW1" s="69">
        <v>43831</v>
      </c>
      <c r="BX1" s="69">
        <v>43862</v>
      </c>
      <c r="BY1" s="69">
        <v>43891</v>
      </c>
      <c r="BZ1" s="69">
        <v>43922</v>
      </c>
      <c r="CA1" s="69">
        <v>43952</v>
      </c>
      <c r="CB1" s="69">
        <v>43983</v>
      </c>
      <c r="CC1" s="69">
        <v>44013</v>
      </c>
      <c r="CD1" s="69">
        <v>44044</v>
      </c>
      <c r="CE1" s="69">
        <v>44075</v>
      </c>
      <c r="CF1" s="69">
        <v>44105</v>
      </c>
      <c r="CG1" s="69">
        <v>44136</v>
      </c>
      <c r="CH1" s="69">
        <v>44166</v>
      </c>
    </row>
    <row r="2" spans="1:86" s="65" customFormat="1">
      <c r="A2" s="70" t="s">
        <v>167</v>
      </c>
      <c r="B2" s="71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3"/>
    </row>
    <row r="3" spans="1:86">
      <c r="A3" s="6" t="s">
        <v>257</v>
      </c>
      <c r="B3" s="3">
        <v>4356598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7"/>
    </row>
    <row r="4" spans="1:86">
      <c r="A4" s="6" t="s">
        <v>238</v>
      </c>
      <c r="B4" s="3">
        <v>79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7"/>
    </row>
    <row r="5" spans="1:86">
      <c r="A5" s="6" t="s">
        <v>239</v>
      </c>
      <c r="B5" s="3">
        <v>21.53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7"/>
    </row>
    <row r="6" spans="1:86">
      <c r="A6" s="6" t="s">
        <v>240</v>
      </c>
      <c r="B6" s="3">
        <v>0</v>
      </c>
      <c r="C6" s="3">
        <v>12</v>
      </c>
      <c r="D6" s="3">
        <v>20</v>
      </c>
      <c r="E6" s="3">
        <v>37</v>
      </c>
      <c r="F6" s="3">
        <v>84</v>
      </c>
      <c r="G6" s="3">
        <v>178</v>
      </c>
      <c r="H6" s="3">
        <v>353</v>
      </c>
      <c r="I6" s="3">
        <v>714</v>
      </c>
      <c r="J6" s="3">
        <v>1430</v>
      </c>
      <c r="K6" s="3">
        <v>2858</v>
      </c>
      <c r="L6" s="3">
        <v>5724</v>
      </c>
      <c r="M6" s="3">
        <v>11451</v>
      </c>
      <c r="N6" s="3">
        <v>22903</v>
      </c>
      <c r="O6" s="3">
        <v>29449</v>
      </c>
      <c r="P6" s="3">
        <v>36368</v>
      </c>
      <c r="Q6" s="3">
        <v>42833</v>
      </c>
      <c r="R6" s="3">
        <v>48833</v>
      </c>
      <c r="S6" s="3">
        <v>51584</v>
      </c>
      <c r="T6" s="3">
        <v>54451</v>
      </c>
      <c r="U6" s="3">
        <v>56265</v>
      </c>
      <c r="V6" s="3">
        <v>58065</v>
      </c>
      <c r="W6" s="3">
        <v>59523</v>
      </c>
      <c r="X6" s="3">
        <v>61015</v>
      </c>
      <c r="Y6" s="3">
        <v>62416</v>
      </c>
      <c r="Z6" s="3">
        <v>64277</v>
      </c>
      <c r="AA6" s="3">
        <v>65872</v>
      </c>
      <c r="AB6" s="3">
        <v>67004</v>
      </c>
      <c r="AC6" s="3">
        <v>68779</v>
      </c>
      <c r="AD6" s="3">
        <v>70726</v>
      </c>
      <c r="AE6" s="3">
        <v>72688</v>
      </c>
      <c r="AF6" s="3">
        <v>73738</v>
      </c>
      <c r="AG6" s="3">
        <v>75620</v>
      </c>
      <c r="AH6" s="3">
        <v>76838</v>
      </c>
      <c r="AI6" s="3">
        <v>78648</v>
      </c>
      <c r="AJ6" s="3">
        <v>80492</v>
      </c>
      <c r="AK6" s="3">
        <v>82443</v>
      </c>
      <c r="AL6" s="3">
        <v>84196</v>
      </c>
      <c r="AM6" s="3">
        <v>85961</v>
      </c>
      <c r="AN6" s="3">
        <v>87294</v>
      </c>
      <c r="AO6" s="3">
        <v>88357</v>
      </c>
      <c r="AP6" s="3">
        <v>89219</v>
      </c>
      <c r="AQ6" s="3">
        <v>89963</v>
      </c>
      <c r="AR6" s="3">
        <v>89886</v>
      </c>
      <c r="AS6" s="3">
        <v>89820</v>
      </c>
      <c r="AT6" s="3">
        <v>89837</v>
      </c>
      <c r="AU6" s="3">
        <v>89845</v>
      </c>
      <c r="AV6" s="3">
        <v>89819</v>
      </c>
      <c r="AW6" s="3">
        <v>89815</v>
      </c>
      <c r="AX6" s="3">
        <v>89819</v>
      </c>
      <c r="AY6" s="3">
        <v>89827</v>
      </c>
      <c r="AZ6" s="3">
        <v>89821</v>
      </c>
      <c r="BA6" s="3">
        <v>89805</v>
      </c>
      <c r="BB6" s="3">
        <v>89779</v>
      </c>
      <c r="BC6" s="3">
        <v>89765</v>
      </c>
      <c r="BD6" s="3">
        <v>89752</v>
      </c>
      <c r="BE6" s="3">
        <v>89748</v>
      </c>
      <c r="BF6" s="3">
        <v>89732</v>
      </c>
      <c r="BG6" s="3">
        <v>89724</v>
      </c>
      <c r="BH6" s="3">
        <v>89696</v>
      </c>
      <c r="BI6" s="3">
        <v>89697</v>
      </c>
      <c r="BJ6" s="3">
        <v>89706</v>
      </c>
      <c r="BK6" s="3">
        <v>89707</v>
      </c>
      <c r="BL6" s="3">
        <v>89682</v>
      </c>
      <c r="BM6" s="3">
        <v>89668</v>
      </c>
      <c r="BN6" s="3">
        <v>89675</v>
      </c>
      <c r="BO6" s="3">
        <v>89654</v>
      </c>
      <c r="BP6" s="3">
        <v>89661</v>
      </c>
      <c r="BQ6" s="3">
        <v>89659</v>
      </c>
      <c r="BR6" s="3">
        <v>89494</v>
      </c>
      <c r="BS6" s="3">
        <v>89209</v>
      </c>
      <c r="BT6" s="3">
        <v>88872</v>
      </c>
      <c r="BU6" s="3">
        <v>88399</v>
      </c>
      <c r="BV6" s="3">
        <v>88255</v>
      </c>
      <c r="BW6" s="3">
        <v>87754</v>
      </c>
      <c r="BX6" s="3">
        <v>87151</v>
      </c>
      <c r="BY6" s="3">
        <v>85730</v>
      </c>
      <c r="BZ6" s="3">
        <v>83311</v>
      </c>
      <c r="CA6" s="3">
        <v>80271</v>
      </c>
      <c r="CB6" s="3">
        <v>75028</v>
      </c>
      <c r="CC6" s="3">
        <v>65642</v>
      </c>
      <c r="CD6" s="3">
        <v>55659</v>
      </c>
      <c r="CE6" s="3">
        <v>43770</v>
      </c>
      <c r="CF6" s="3">
        <v>26776</v>
      </c>
      <c r="CG6" s="3">
        <v>11639</v>
      </c>
      <c r="CH6" s="7">
        <v>10239</v>
      </c>
    </row>
    <row r="7" spans="1:86">
      <c r="A7" s="6" t="s">
        <v>236</v>
      </c>
      <c r="B7" s="3">
        <v>200000</v>
      </c>
      <c r="C7" s="3">
        <v>200000</v>
      </c>
      <c r="D7" s="3">
        <f t="shared" ref="D7:BP7" si="0">C7*1.02</f>
        <v>204000</v>
      </c>
      <c r="E7" s="3">
        <f t="shared" si="0"/>
        <v>208080</v>
      </c>
      <c r="F7" s="3">
        <f t="shared" si="0"/>
        <v>212241.6</v>
      </c>
      <c r="G7" s="3">
        <f t="shared" si="0"/>
        <v>216486.432</v>
      </c>
      <c r="H7" s="3">
        <f t="shared" si="0"/>
        <v>220816.16064000002</v>
      </c>
      <c r="I7" s="3">
        <f t="shared" si="0"/>
        <v>225232.48385280001</v>
      </c>
      <c r="J7" s="3">
        <f t="shared" si="0"/>
        <v>229737.13352985602</v>
      </c>
      <c r="K7" s="3">
        <f t="shared" si="0"/>
        <v>234331.87620045315</v>
      </c>
      <c r="L7" s="3">
        <f t="shared" si="0"/>
        <v>239018.51372446222</v>
      </c>
      <c r="M7" s="3">
        <f t="shared" si="0"/>
        <v>243798.88399895147</v>
      </c>
      <c r="N7" s="3">
        <f t="shared" si="0"/>
        <v>248674.86167893049</v>
      </c>
      <c r="O7" s="3">
        <f t="shared" si="0"/>
        <v>253648.35891250911</v>
      </c>
      <c r="P7" s="3">
        <f t="shared" si="0"/>
        <v>258721.32609075931</v>
      </c>
      <c r="Q7" s="3">
        <f t="shared" si="0"/>
        <v>263895.75261257449</v>
      </c>
      <c r="R7" s="3">
        <f t="shared" si="0"/>
        <v>269173.66766482597</v>
      </c>
      <c r="S7" s="3">
        <f t="shared" si="0"/>
        <v>274557.14101812249</v>
      </c>
      <c r="T7" s="3">
        <f t="shared" si="0"/>
        <v>280048.28383848496</v>
      </c>
      <c r="U7" s="3">
        <f t="shared" si="0"/>
        <v>285649.24951525469</v>
      </c>
      <c r="V7" s="3">
        <f t="shared" si="0"/>
        <v>291362.23450555978</v>
      </c>
      <c r="W7" s="3">
        <f t="shared" si="0"/>
        <v>297189.47919567098</v>
      </c>
      <c r="X7" s="3">
        <f t="shared" si="0"/>
        <v>303133.26877958438</v>
      </c>
      <c r="Y7" s="3">
        <f t="shared" si="0"/>
        <v>309195.9341551761</v>
      </c>
      <c r="Z7" s="3">
        <f t="shared" si="0"/>
        <v>315379.85283827962</v>
      </c>
      <c r="AA7" s="3">
        <f t="shared" si="0"/>
        <v>321687.4498950452</v>
      </c>
      <c r="AB7" s="3">
        <f t="shared" si="0"/>
        <v>328121.19889294612</v>
      </c>
      <c r="AC7" s="3">
        <f t="shared" si="0"/>
        <v>334683.62287080503</v>
      </c>
      <c r="AD7" s="3">
        <f t="shared" si="0"/>
        <v>341377.29532822117</v>
      </c>
      <c r="AE7" s="3">
        <f t="shared" si="0"/>
        <v>348204.84123478562</v>
      </c>
      <c r="AF7" s="3">
        <f t="shared" si="0"/>
        <v>355168.93805948133</v>
      </c>
      <c r="AG7" s="3">
        <f t="shared" si="0"/>
        <v>362272.31682067097</v>
      </c>
      <c r="AH7" s="3">
        <f t="shared" si="0"/>
        <v>369517.76315708441</v>
      </c>
      <c r="AI7" s="3">
        <f t="shared" si="0"/>
        <v>376908.11842022609</v>
      </c>
      <c r="AJ7" s="3">
        <f t="shared" si="0"/>
        <v>384446.2807886306</v>
      </c>
      <c r="AK7" s="3">
        <f t="shared" si="0"/>
        <v>392135.2064044032</v>
      </c>
      <c r="AL7" s="3">
        <f t="shared" si="0"/>
        <v>399977.91053249128</v>
      </c>
      <c r="AM7" s="3">
        <f t="shared" si="0"/>
        <v>407977.4687431411</v>
      </c>
      <c r="AN7" s="3">
        <f t="shared" si="0"/>
        <v>416137.01811800391</v>
      </c>
      <c r="AO7" s="3">
        <f t="shared" si="0"/>
        <v>424459.75848036399</v>
      </c>
      <c r="AP7" s="3">
        <f t="shared" si="0"/>
        <v>432948.95364997128</v>
      </c>
      <c r="AQ7" s="3">
        <f t="shared" si="0"/>
        <v>441607.93272297073</v>
      </c>
      <c r="AR7" s="3">
        <f t="shared" si="0"/>
        <v>450440.09137743013</v>
      </c>
      <c r="AS7" s="3">
        <f t="shared" si="0"/>
        <v>459448.89320497873</v>
      </c>
      <c r="AT7" s="3">
        <f t="shared" si="0"/>
        <v>468637.87106907833</v>
      </c>
      <c r="AU7" s="3">
        <f t="shared" si="0"/>
        <v>478010.62849045993</v>
      </c>
      <c r="AV7" s="3">
        <f t="shared" si="0"/>
        <v>487570.84106026916</v>
      </c>
      <c r="AW7" s="3">
        <f t="shared" si="0"/>
        <v>497322.25788147456</v>
      </c>
      <c r="AX7" s="3">
        <f t="shared" si="0"/>
        <v>507268.70303910406</v>
      </c>
      <c r="AY7" s="3">
        <f t="shared" si="0"/>
        <v>517414.07709988614</v>
      </c>
      <c r="AZ7" s="3">
        <f t="shared" si="0"/>
        <v>527762.35864188382</v>
      </c>
      <c r="BA7" s="3">
        <f t="shared" si="0"/>
        <v>538317.60581472155</v>
      </c>
      <c r="BB7" s="3">
        <f t="shared" si="0"/>
        <v>549083.95793101599</v>
      </c>
      <c r="BC7" s="3">
        <f t="shared" si="0"/>
        <v>560065.63708963629</v>
      </c>
      <c r="BD7" s="3">
        <f t="shared" si="0"/>
        <v>571266.94983142905</v>
      </c>
      <c r="BE7" s="3">
        <f t="shared" si="0"/>
        <v>582692.2888280577</v>
      </c>
      <c r="BF7" s="3">
        <f t="shared" si="0"/>
        <v>594346.13460461888</v>
      </c>
      <c r="BG7" s="3">
        <f t="shared" si="0"/>
        <v>606233.05729671125</v>
      </c>
      <c r="BH7" s="3">
        <f t="shared" si="0"/>
        <v>618357.71844264551</v>
      </c>
      <c r="BI7" s="3">
        <f t="shared" si="0"/>
        <v>630724.87281149847</v>
      </c>
      <c r="BJ7" s="3">
        <f t="shared" si="0"/>
        <v>643339.37026772846</v>
      </c>
      <c r="BK7" s="3">
        <f t="shared" si="0"/>
        <v>656206.15767308301</v>
      </c>
      <c r="BL7" s="3">
        <f t="shared" si="0"/>
        <v>669330.28082654474</v>
      </c>
      <c r="BM7" s="3">
        <f t="shared" si="0"/>
        <v>682716.88644307561</v>
      </c>
      <c r="BN7" s="3">
        <f t="shared" si="0"/>
        <v>696371.22417193709</v>
      </c>
      <c r="BO7" s="3">
        <f t="shared" si="0"/>
        <v>710298.64865537581</v>
      </c>
      <c r="BP7" s="3">
        <f t="shared" si="0"/>
        <v>724504.62162848329</v>
      </c>
      <c r="BQ7" s="3">
        <f t="shared" ref="BQ7:CH7" si="1">BP7*1.02</f>
        <v>738994.714061053</v>
      </c>
      <c r="BR7" s="3">
        <f t="shared" si="1"/>
        <v>753774.60834227409</v>
      </c>
      <c r="BS7" s="3">
        <f t="shared" si="1"/>
        <v>768850.10050911957</v>
      </c>
      <c r="BT7" s="3">
        <f t="shared" si="1"/>
        <v>784227.10251930193</v>
      </c>
      <c r="BU7" s="3">
        <f t="shared" si="1"/>
        <v>799911.64456968801</v>
      </c>
      <c r="BV7" s="3">
        <f t="shared" si="1"/>
        <v>815909.87746108184</v>
      </c>
      <c r="BW7" s="3">
        <f t="shared" si="1"/>
        <v>832228.07501030352</v>
      </c>
      <c r="BX7" s="3">
        <f t="shared" si="1"/>
        <v>848872.63651050965</v>
      </c>
      <c r="BY7" s="3">
        <f t="shared" si="1"/>
        <v>865850.08924071991</v>
      </c>
      <c r="BZ7" s="3">
        <f t="shared" si="1"/>
        <v>883167.09102553432</v>
      </c>
      <c r="CA7" s="3">
        <f t="shared" si="1"/>
        <v>900830.43284604501</v>
      </c>
      <c r="CB7" s="3">
        <f t="shared" si="1"/>
        <v>918847.04150296596</v>
      </c>
      <c r="CC7" s="3">
        <f t="shared" si="1"/>
        <v>937223.98233302531</v>
      </c>
      <c r="CD7" s="3">
        <f t="shared" si="1"/>
        <v>955968.46197968582</v>
      </c>
      <c r="CE7" s="3">
        <f t="shared" si="1"/>
        <v>975087.83121927956</v>
      </c>
      <c r="CF7" s="3">
        <f t="shared" si="1"/>
        <v>994589.58784366515</v>
      </c>
      <c r="CG7" s="3">
        <f t="shared" si="1"/>
        <v>1014481.3796005385</v>
      </c>
      <c r="CH7" s="7">
        <f t="shared" si="1"/>
        <v>1034771.0071925493</v>
      </c>
    </row>
    <row r="8" spans="1:86">
      <c r="A8" s="6" t="s">
        <v>237</v>
      </c>
      <c r="B8" s="3">
        <f>B6*$B$4</f>
        <v>0</v>
      </c>
      <c r="C8" s="3">
        <f>C6*$B$4</f>
        <v>948</v>
      </c>
      <c r="D8" s="3">
        <f t="shared" ref="D8:BO8" si="2">D6*$B$4</f>
        <v>1580</v>
      </c>
      <c r="E8" s="3">
        <f t="shared" si="2"/>
        <v>2923</v>
      </c>
      <c r="F8" s="3">
        <f t="shared" si="2"/>
        <v>6636</v>
      </c>
      <c r="G8" s="3">
        <f t="shared" si="2"/>
        <v>14062</v>
      </c>
      <c r="H8" s="3">
        <f t="shared" si="2"/>
        <v>27887</v>
      </c>
      <c r="I8" s="3">
        <f t="shared" si="2"/>
        <v>56406</v>
      </c>
      <c r="J8" s="3">
        <f t="shared" si="2"/>
        <v>112970</v>
      </c>
      <c r="K8" s="3">
        <f t="shared" si="2"/>
        <v>225782</v>
      </c>
      <c r="L8" s="3">
        <f t="shared" si="2"/>
        <v>452196</v>
      </c>
      <c r="M8" s="3">
        <f t="shared" si="2"/>
        <v>904629</v>
      </c>
      <c r="N8" s="3">
        <f t="shared" si="2"/>
        <v>1809337</v>
      </c>
      <c r="O8" s="3">
        <f t="shared" si="2"/>
        <v>2326471</v>
      </c>
      <c r="P8" s="3">
        <f t="shared" si="2"/>
        <v>2873072</v>
      </c>
      <c r="Q8" s="3">
        <f t="shared" si="2"/>
        <v>3383807</v>
      </c>
      <c r="R8" s="3">
        <f t="shared" si="2"/>
        <v>3857807</v>
      </c>
      <c r="S8" s="3">
        <f t="shared" si="2"/>
        <v>4075136</v>
      </c>
      <c r="T8" s="3">
        <f t="shared" si="2"/>
        <v>4301629</v>
      </c>
      <c r="U8" s="3">
        <f t="shared" si="2"/>
        <v>4444935</v>
      </c>
      <c r="V8" s="3">
        <f t="shared" si="2"/>
        <v>4587135</v>
      </c>
      <c r="W8" s="3">
        <f t="shared" si="2"/>
        <v>4702317</v>
      </c>
      <c r="X8" s="3">
        <f t="shared" si="2"/>
        <v>4820185</v>
      </c>
      <c r="Y8" s="3">
        <f t="shared" si="2"/>
        <v>4930864</v>
      </c>
      <c r="Z8" s="3">
        <f t="shared" si="2"/>
        <v>5077883</v>
      </c>
      <c r="AA8" s="3">
        <f t="shared" si="2"/>
        <v>5203888</v>
      </c>
      <c r="AB8" s="3">
        <f t="shared" si="2"/>
        <v>5293316</v>
      </c>
      <c r="AC8" s="3">
        <f t="shared" si="2"/>
        <v>5433541</v>
      </c>
      <c r="AD8" s="3">
        <f t="shared" si="2"/>
        <v>5587354</v>
      </c>
      <c r="AE8" s="3">
        <f t="shared" si="2"/>
        <v>5742352</v>
      </c>
      <c r="AF8" s="3">
        <f t="shared" si="2"/>
        <v>5825302</v>
      </c>
      <c r="AG8" s="3">
        <f t="shared" si="2"/>
        <v>5973980</v>
      </c>
      <c r="AH8" s="3">
        <f t="shared" si="2"/>
        <v>6070202</v>
      </c>
      <c r="AI8" s="3">
        <f t="shared" si="2"/>
        <v>6213192</v>
      </c>
      <c r="AJ8" s="3">
        <f t="shared" si="2"/>
        <v>6358868</v>
      </c>
      <c r="AK8" s="3">
        <f t="shared" si="2"/>
        <v>6512997</v>
      </c>
      <c r="AL8" s="3">
        <f t="shared" si="2"/>
        <v>6651484</v>
      </c>
      <c r="AM8" s="3">
        <f t="shared" si="2"/>
        <v>6790919</v>
      </c>
      <c r="AN8" s="3">
        <f t="shared" si="2"/>
        <v>6896226</v>
      </c>
      <c r="AO8" s="3">
        <f t="shared" si="2"/>
        <v>6980203</v>
      </c>
      <c r="AP8" s="3">
        <f t="shared" si="2"/>
        <v>7048301</v>
      </c>
      <c r="AQ8" s="3">
        <f t="shared" si="2"/>
        <v>7107077</v>
      </c>
      <c r="AR8" s="3">
        <f t="shared" si="2"/>
        <v>7100994</v>
      </c>
      <c r="AS8" s="3">
        <f t="shared" si="2"/>
        <v>7095780</v>
      </c>
      <c r="AT8" s="3">
        <f t="shared" si="2"/>
        <v>7097123</v>
      </c>
      <c r="AU8" s="3">
        <f t="shared" si="2"/>
        <v>7097755</v>
      </c>
      <c r="AV8" s="3">
        <f t="shared" si="2"/>
        <v>7095701</v>
      </c>
      <c r="AW8" s="3">
        <f t="shared" si="2"/>
        <v>7095385</v>
      </c>
      <c r="AX8" s="3">
        <f t="shared" si="2"/>
        <v>7095701</v>
      </c>
      <c r="AY8" s="3">
        <f t="shared" si="2"/>
        <v>7096333</v>
      </c>
      <c r="AZ8" s="3">
        <f t="shared" si="2"/>
        <v>7095859</v>
      </c>
      <c r="BA8" s="3">
        <f t="shared" si="2"/>
        <v>7094595</v>
      </c>
      <c r="BB8" s="3">
        <f t="shared" si="2"/>
        <v>7092541</v>
      </c>
      <c r="BC8" s="3">
        <f t="shared" si="2"/>
        <v>7091435</v>
      </c>
      <c r="BD8" s="3">
        <f t="shared" si="2"/>
        <v>7090408</v>
      </c>
      <c r="BE8" s="3">
        <f t="shared" si="2"/>
        <v>7090092</v>
      </c>
      <c r="BF8" s="3">
        <f t="shared" si="2"/>
        <v>7088828</v>
      </c>
      <c r="BG8" s="3">
        <f t="shared" si="2"/>
        <v>7088196</v>
      </c>
      <c r="BH8" s="3">
        <f t="shared" si="2"/>
        <v>7085984</v>
      </c>
      <c r="BI8" s="3">
        <f t="shared" si="2"/>
        <v>7086063</v>
      </c>
      <c r="BJ8" s="3">
        <f t="shared" si="2"/>
        <v>7086774</v>
      </c>
      <c r="BK8" s="3">
        <f t="shared" si="2"/>
        <v>7086853</v>
      </c>
      <c r="BL8" s="3">
        <f t="shared" si="2"/>
        <v>7084878</v>
      </c>
      <c r="BM8" s="3">
        <f t="shared" si="2"/>
        <v>7083772</v>
      </c>
      <c r="BN8" s="3">
        <f t="shared" si="2"/>
        <v>7084325</v>
      </c>
      <c r="BO8" s="3">
        <f t="shared" si="2"/>
        <v>7082666</v>
      </c>
      <c r="BP8" s="3">
        <f t="shared" ref="BP8:CH8" si="3">BP6*$B$4</f>
        <v>7083219</v>
      </c>
      <c r="BQ8" s="3">
        <f t="shared" si="3"/>
        <v>7083061</v>
      </c>
      <c r="BR8" s="3">
        <f t="shared" si="3"/>
        <v>7070026</v>
      </c>
      <c r="BS8" s="3">
        <f t="shared" si="3"/>
        <v>7047511</v>
      </c>
      <c r="BT8" s="3">
        <f t="shared" si="3"/>
        <v>7020888</v>
      </c>
      <c r="BU8" s="3">
        <f t="shared" si="3"/>
        <v>6983521</v>
      </c>
      <c r="BV8" s="3">
        <f t="shared" si="3"/>
        <v>6972145</v>
      </c>
      <c r="BW8" s="3">
        <f t="shared" si="3"/>
        <v>6932566</v>
      </c>
      <c r="BX8" s="3">
        <f t="shared" si="3"/>
        <v>6884929</v>
      </c>
      <c r="BY8" s="3">
        <f t="shared" si="3"/>
        <v>6772670</v>
      </c>
      <c r="BZ8" s="3">
        <f t="shared" si="3"/>
        <v>6581569</v>
      </c>
      <c r="CA8" s="3">
        <f t="shared" si="3"/>
        <v>6341409</v>
      </c>
      <c r="CB8" s="3">
        <f t="shared" si="3"/>
        <v>5927212</v>
      </c>
      <c r="CC8" s="3">
        <f t="shared" si="3"/>
        <v>5185718</v>
      </c>
      <c r="CD8" s="3">
        <f t="shared" si="3"/>
        <v>4397061</v>
      </c>
      <c r="CE8" s="3">
        <f t="shared" si="3"/>
        <v>3457830</v>
      </c>
      <c r="CF8" s="3">
        <f t="shared" si="3"/>
        <v>2115304</v>
      </c>
      <c r="CG8" s="3">
        <f t="shared" si="3"/>
        <v>919481</v>
      </c>
      <c r="CH8" s="3">
        <f t="shared" si="3"/>
        <v>808881</v>
      </c>
    </row>
    <row r="9" spans="1:86">
      <c r="A9" s="6" t="s">
        <v>241</v>
      </c>
      <c r="B9" s="3">
        <v>0</v>
      </c>
      <c r="C9" s="3">
        <f>C8+B9</f>
        <v>948</v>
      </c>
      <c r="D9" s="3">
        <f>D8+C9</f>
        <v>2528</v>
      </c>
      <c r="E9" s="3">
        <f>E8+D9</f>
        <v>5451</v>
      </c>
      <c r="F9" s="3">
        <f t="shared" ref="F9:BQ9" si="4">F8+E9</f>
        <v>12087</v>
      </c>
      <c r="G9" s="3">
        <f t="shared" si="4"/>
        <v>26149</v>
      </c>
      <c r="H9" s="3">
        <f t="shared" si="4"/>
        <v>54036</v>
      </c>
      <c r="I9" s="3">
        <f t="shared" si="4"/>
        <v>110442</v>
      </c>
      <c r="J9" s="3">
        <f t="shared" si="4"/>
        <v>223412</v>
      </c>
      <c r="K9" s="3">
        <f t="shared" si="4"/>
        <v>449194</v>
      </c>
      <c r="L9" s="3">
        <f t="shared" si="4"/>
        <v>901390</v>
      </c>
      <c r="M9" s="3">
        <f t="shared" si="4"/>
        <v>1806019</v>
      </c>
      <c r="N9" s="3">
        <f t="shared" si="4"/>
        <v>3615356</v>
      </c>
      <c r="O9" s="3">
        <f t="shared" si="4"/>
        <v>5941827</v>
      </c>
      <c r="P9" s="3">
        <f t="shared" si="4"/>
        <v>8814899</v>
      </c>
      <c r="Q9" s="3">
        <f t="shared" si="4"/>
        <v>12198706</v>
      </c>
      <c r="R9" s="3">
        <f t="shared" si="4"/>
        <v>16056513</v>
      </c>
      <c r="S9" s="3">
        <f t="shared" si="4"/>
        <v>20131649</v>
      </c>
      <c r="T9" s="3">
        <f t="shared" si="4"/>
        <v>24433278</v>
      </c>
      <c r="U9" s="3">
        <f t="shared" si="4"/>
        <v>28878213</v>
      </c>
      <c r="V9" s="3">
        <f t="shared" si="4"/>
        <v>33465348</v>
      </c>
      <c r="W9" s="3">
        <f t="shared" si="4"/>
        <v>38167665</v>
      </c>
      <c r="X9" s="3">
        <f t="shared" si="4"/>
        <v>42987850</v>
      </c>
      <c r="Y9" s="3">
        <f t="shared" si="4"/>
        <v>47918714</v>
      </c>
      <c r="Z9" s="3">
        <f t="shared" si="4"/>
        <v>52996597</v>
      </c>
      <c r="AA9" s="3">
        <f t="shared" si="4"/>
        <v>58200485</v>
      </c>
      <c r="AB9" s="3">
        <f t="shared" si="4"/>
        <v>63493801</v>
      </c>
      <c r="AC9" s="3">
        <f t="shared" si="4"/>
        <v>68927342</v>
      </c>
      <c r="AD9" s="3">
        <f t="shared" si="4"/>
        <v>74514696</v>
      </c>
      <c r="AE9" s="3">
        <f t="shared" si="4"/>
        <v>80257048</v>
      </c>
      <c r="AF9" s="3">
        <f t="shared" si="4"/>
        <v>86082350</v>
      </c>
      <c r="AG9" s="3">
        <f t="shared" si="4"/>
        <v>92056330</v>
      </c>
      <c r="AH9" s="3">
        <f t="shared" si="4"/>
        <v>98126532</v>
      </c>
      <c r="AI9" s="3">
        <f t="shared" si="4"/>
        <v>104339724</v>
      </c>
      <c r="AJ9" s="3">
        <f t="shared" si="4"/>
        <v>110698592</v>
      </c>
      <c r="AK9" s="3">
        <f t="shared" si="4"/>
        <v>117211589</v>
      </c>
      <c r="AL9" s="3">
        <f t="shared" si="4"/>
        <v>123863073</v>
      </c>
      <c r="AM9" s="3">
        <f t="shared" si="4"/>
        <v>130653992</v>
      </c>
      <c r="AN9" s="3">
        <f t="shared" si="4"/>
        <v>137550218</v>
      </c>
      <c r="AO9" s="3">
        <f t="shared" si="4"/>
        <v>144530421</v>
      </c>
      <c r="AP9" s="3">
        <f t="shared" si="4"/>
        <v>151578722</v>
      </c>
      <c r="AQ9" s="3">
        <f t="shared" si="4"/>
        <v>158685799</v>
      </c>
      <c r="AR9" s="3">
        <f t="shared" si="4"/>
        <v>165786793</v>
      </c>
      <c r="AS9" s="3">
        <f t="shared" si="4"/>
        <v>172882573</v>
      </c>
      <c r="AT9" s="3">
        <f t="shared" si="4"/>
        <v>179979696</v>
      </c>
      <c r="AU9" s="3">
        <f t="shared" si="4"/>
        <v>187077451</v>
      </c>
      <c r="AV9" s="3">
        <f t="shared" si="4"/>
        <v>194173152</v>
      </c>
      <c r="AW9" s="3">
        <f t="shared" si="4"/>
        <v>201268537</v>
      </c>
      <c r="AX9" s="3">
        <f t="shared" si="4"/>
        <v>208364238</v>
      </c>
      <c r="AY9" s="3">
        <f t="shared" si="4"/>
        <v>215460571</v>
      </c>
      <c r="AZ9" s="3">
        <f t="shared" si="4"/>
        <v>222556430</v>
      </c>
      <c r="BA9" s="3">
        <f t="shared" si="4"/>
        <v>229651025</v>
      </c>
      <c r="BB9" s="3">
        <f t="shared" si="4"/>
        <v>236743566</v>
      </c>
      <c r="BC9" s="3">
        <f t="shared" si="4"/>
        <v>243835001</v>
      </c>
      <c r="BD9" s="3">
        <f t="shared" si="4"/>
        <v>250925409</v>
      </c>
      <c r="BE9" s="3">
        <f t="shared" si="4"/>
        <v>258015501</v>
      </c>
      <c r="BF9" s="3">
        <f t="shared" si="4"/>
        <v>265104329</v>
      </c>
      <c r="BG9" s="3">
        <f t="shared" si="4"/>
        <v>272192525</v>
      </c>
      <c r="BH9" s="3">
        <f t="shared" si="4"/>
        <v>279278509</v>
      </c>
      <c r="BI9" s="3">
        <f t="shared" si="4"/>
        <v>286364572</v>
      </c>
      <c r="BJ9" s="3">
        <f t="shared" si="4"/>
        <v>293451346</v>
      </c>
      <c r="BK9" s="3">
        <f t="shared" si="4"/>
        <v>300538199</v>
      </c>
      <c r="BL9" s="3">
        <f t="shared" si="4"/>
        <v>307623077</v>
      </c>
      <c r="BM9" s="3">
        <f t="shared" si="4"/>
        <v>314706849</v>
      </c>
      <c r="BN9" s="3">
        <f t="shared" si="4"/>
        <v>321791174</v>
      </c>
      <c r="BO9" s="3">
        <f t="shared" si="4"/>
        <v>328873840</v>
      </c>
      <c r="BP9" s="3">
        <f t="shared" si="4"/>
        <v>335957059</v>
      </c>
      <c r="BQ9" s="3">
        <f t="shared" si="4"/>
        <v>343040120</v>
      </c>
      <c r="BR9" s="3">
        <f t="shared" ref="BR9:CH9" si="5">BR8+BQ9</f>
        <v>350110146</v>
      </c>
      <c r="BS9" s="3">
        <f t="shared" si="5"/>
        <v>357157657</v>
      </c>
      <c r="BT9" s="3">
        <f t="shared" si="5"/>
        <v>364178545</v>
      </c>
      <c r="BU9" s="3">
        <f t="shared" si="5"/>
        <v>371162066</v>
      </c>
      <c r="BV9" s="3">
        <f t="shared" si="5"/>
        <v>378134211</v>
      </c>
      <c r="BW9" s="3">
        <f t="shared" si="5"/>
        <v>385066777</v>
      </c>
      <c r="BX9" s="3">
        <f t="shared" si="5"/>
        <v>391951706</v>
      </c>
      <c r="BY9" s="3">
        <f t="shared" si="5"/>
        <v>398724376</v>
      </c>
      <c r="BZ9" s="3">
        <f t="shared" si="5"/>
        <v>405305945</v>
      </c>
      <c r="CA9" s="3">
        <f t="shared" si="5"/>
        <v>411647354</v>
      </c>
      <c r="CB9" s="3">
        <f t="shared" si="5"/>
        <v>417574566</v>
      </c>
      <c r="CC9" s="3">
        <f t="shared" si="5"/>
        <v>422760284</v>
      </c>
      <c r="CD9" s="3">
        <f t="shared" si="5"/>
        <v>427157345</v>
      </c>
      <c r="CE9" s="3">
        <f t="shared" si="5"/>
        <v>430615175</v>
      </c>
      <c r="CF9" s="3">
        <f t="shared" si="5"/>
        <v>432730479</v>
      </c>
      <c r="CG9" s="3">
        <f t="shared" si="5"/>
        <v>433649960</v>
      </c>
      <c r="CH9" s="3">
        <f t="shared" si="5"/>
        <v>434458841</v>
      </c>
    </row>
    <row r="10" spans="1:86" ht="16" thickBot="1">
      <c r="A10" s="74" t="s">
        <v>242</v>
      </c>
      <c r="B10" s="75">
        <f>B8-(B6*B5)-B7-B3</f>
        <v>-4556598</v>
      </c>
      <c r="C10" s="75">
        <f>C8-(C6*$B$5)-C7</f>
        <v>-199310.36</v>
      </c>
      <c r="D10" s="75">
        <f t="shared" ref="D10:BO10" si="6">D8-(D6*$B$5)-D7</f>
        <v>-202850.6</v>
      </c>
      <c r="E10" s="75">
        <f t="shared" si="6"/>
        <v>-205953.61</v>
      </c>
      <c r="F10" s="75">
        <f t="shared" si="6"/>
        <v>-207414.12</v>
      </c>
      <c r="G10" s="75">
        <f t="shared" si="6"/>
        <v>-206256.772</v>
      </c>
      <c r="H10" s="75">
        <f t="shared" si="6"/>
        <v>-200529.25064000001</v>
      </c>
      <c r="I10" s="75">
        <f t="shared" si="6"/>
        <v>-184198.90385280002</v>
      </c>
      <c r="J10" s="75">
        <f t="shared" si="6"/>
        <v>-147555.03352985601</v>
      </c>
      <c r="K10" s="75">
        <f t="shared" si="6"/>
        <v>-70082.616200453136</v>
      </c>
      <c r="L10" s="75">
        <f t="shared" si="6"/>
        <v>89939.766275537811</v>
      </c>
      <c r="M10" s="75">
        <f t="shared" si="6"/>
        <v>414290.0860010485</v>
      </c>
      <c r="N10" s="75">
        <f t="shared" si="6"/>
        <v>1067560.5483210695</v>
      </c>
      <c r="O10" s="75">
        <f t="shared" si="6"/>
        <v>1438785.6710874906</v>
      </c>
      <c r="P10" s="75">
        <f t="shared" si="6"/>
        <v>1831347.6339092406</v>
      </c>
      <c r="Q10" s="75">
        <f t="shared" si="6"/>
        <v>2197716.7573874253</v>
      </c>
      <c r="R10" s="75">
        <f t="shared" si="6"/>
        <v>2537258.8423351739</v>
      </c>
      <c r="S10" s="75">
        <f t="shared" si="6"/>
        <v>2689975.3389818775</v>
      </c>
      <c r="T10" s="75">
        <f t="shared" si="6"/>
        <v>2849250.6861615148</v>
      </c>
      <c r="U10" s="75">
        <f t="shared" si="6"/>
        <v>2947900.3004847453</v>
      </c>
      <c r="V10" s="75">
        <f t="shared" si="6"/>
        <v>3045633.31549444</v>
      </c>
      <c r="W10" s="75">
        <f t="shared" si="6"/>
        <v>3123597.3308043284</v>
      </c>
      <c r="X10" s="75">
        <f t="shared" si="6"/>
        <v>3203398.7812204156</v>
      </c>
      <c r="Y10" s="75">
        <f t="shared" si="6"/>
        <v>3277851.5858448241</v>
      </c>
      <c r="Z10" s="75">
        <f t="shared" si="6"/>
        <v>3378619.3371617203</v>
      </c>
      <c r="AA10" s="75">
        <f t="shared" si="6"/>
        <v>3463976.3901049546</v>
      </c>
      <c r="AB10" s="75">
        <f t="shared" si="6"/>
        <v>3522598.6811070535</v>
      </c>
      <c r="AC10" s="75">
        <f t="shared" si="6"/>
        <v>3618045.5071291947</v>
      </c>
      <c r="AD10" s="75">
        <f t="shared" si="6"/>
        <v>3723245.9246717785</v>
      </c>
      <c r="AE10" s="75">
        <f t="shared" si="6"/>
        <v>3829174.5187652144</v>
      </c>
      <c r="AF10" s="75">
        <f t="shared" si="6"/>
        <v>3882553.9219405181</v>
      </c>
      <c r="AG10" s="75">
        <f t="shared" si="6"/>
        <v>3983609.0831793295</v>
      </c>
      <c r="AH10" s="75">
        <f t="shared" si="6"/>
        <v>4046362.0968429148</v>
      </c>
      <c r="AI10" s="75">
        <f t="shared" si="6"/>
        <v>4142992.4415797736</v>
      </c>
      <c r="AJ10" s="75">
        <f t="shared" si="6"/>
        <v>4241428.95921137</v>
      </c>
      <c r="AK10" s="75">
        <f t="shared" si="6"/>
        <v>4345864.0035955971</v>
      </c>
      <c r="AL10" s="75">
        <f t="shared" si="6"/>
        <v>4438766.2094675088</v>
      </c>
      <c r="AM10" s="75">
        <f t="shared" si="6"/>
        <v>4532201.2012568591</v>
      </c>
      <c r="AN10" s="75">
        <f t="shared" si="6"/>
        <v>4600649.1618819954</v>
      </c>
      <c r="AO10" s="75">
        <f t="shared" si="6"/>
        <v>4653417.0315196365</v>
      </c>
      <c r="AP10" s="75">
        <f t="shared" si="6"/>
        <v>4694466.9763500281</v>
      </c>
      <c r="AQ10" s="75">
        <f t="shared" si="6"/>
        <v>4728565.6772770286</v>
      </c>
      <c r="AR10" s="75">
        <f t="shared" si="6"/>
        <v>4715308.3286225703</v>
      </c>
      <c r="AS10" s="75">
        <f t="shared" si="6"/>
        <v>4702506.5067950217</v>
      </c>
      <c r="AT10" s="75">
        <f t="shared" si="6"/>
        <v>4694294.5189309213</v>
      </c>
      <c r="AU10" s="75">
        <f t="shared" si="6"/>
        <v>4685381.5215095403</v>
      </c>
      <c r="AV10" s="75">
        <f t="shared" si="6"/>
        <v>4674327.0889397301</v>
      </c>
      <c r="AW10" s="75">
        <f t="shared" si="6"/>
        <v>4664345.7921185251</v>
      </c>
      <c r="AX10" s="75">
        <f t="shared" si="6"/>
        <v>4654629.2269608956</v>
      </c>
      <c r="AY10" s="75">
        <f t="shared" si="6"/>
        <v>4644943.6129001137</v>
      </c>
      <c r="AZ10" s="75">
        <f t="shared" si="6"/>
        <v>4634250.5113581158</v>
      </c>
      <c r="BA10" s="75">
        <f t="shared" si="6"/>
        <v>4622775.7441852782</v>
      </c>
      <c r="BB10" s="75">
        <f t="shared" si="6"/>
        <v>4610515.1720689842</v>
      </c>
      <c r="BC10" s="75">
        <f t="shared" si="6"/>
        <v>4598728.9129103636</v>
      </c>
      <c r="BD10" s="75">
        <f t="shared" si="6"/>
        <v>4586780.4901685705</v>
      </c>
      <c r="BE10" s="75">
        <f t="shared" si="6"/>
        <v>4575125.2711719424</v>
      </c>
      <c r="BF10" s="75">
        <f t="shared" si="6"/>
        <v>4562551.9053953812</v>
      </c>
      <c r="BG10" s="75">
        <f t="shared" si="6"/>
        <v>4550205.2227032883</v>
      </c>
      <c r="BH10" s="75">
        <f t="shared" si="6"/>
        <v>4536471.4015573543</v>
      </c>
      <c r="BI10" s="75">
        <f t="shared" si="6"/>
        <v>4524161.7171885017</v>
      </c>
      <c r="BJ10" s="75">
        <f t="shared" si="6"/>
        <v>4512064.449732272</v>
      </c>
      <c r="BK10" s="75">
        <f t="shared" si="6"/>
        <v>4499255.1323269168</v>
      </c>
      <c r="BL10" s="75">
        <f t="shared" si="6"/>
        <v>4484694.2591734556</v>
      </c>
      <c r="BM10" s="75">
        <f t="shared" si="6"/>
        <v>4470503.0735569242</v>
      </c>
      <c r="BN10" s="75">
        <f t="shared" si="6"/>
        <v>4457251.0258280626</v>
      </c>
      <c r="BO10" s="75">
        <f t="shared" si="6"/>
        <v>4442116.7313446244</v>
      </c>
      <c r="BP10" s="75">
        <f t="shared" ref="BP10:CH10" si="7">BP8-(BP6*$B$5)-BP7</f>
        <v>4428313.0483715162</v>
      </c>
      <c r="BQ10" s="75">
        <f t="shared" si="7"/>
        <v>4413708.015938947</v>
      </c>
      <c r="BR10" s="75">
        <f t="shared" si="7"/>
        <v>4389445.5716577256</v>
      </c>
      <c r="BS10" s="75">
        <f t="shared" si="7"/>
        <v>4357991.1294908812</v>
      </c>
      <c r="BT10" s="75">
        <f t="shared" si="7"/>
        <v>4323246.7374806982</v>
      </c>
      <c r="BU10" s="75">
        <f t="shared" si="7"/>
        <v>4280378.8854303118</v>
      </c>
      <c r="BV10" s="75">
        <f t="shared" si="7"/>
        <v>4256104.9725389183</v>
      </c>
      <c r="BW10" s="75">
        <f t="shared" si="7"/>
        <v>4210994.3049896965</v>
      </c>
      <c r="BX10" s="75">
        <f t="shared" si="7"/>
        <v>4159695.3334894902</v>
      </c>
      <c r="BY10" s="75">
        <f t="shared" si="7"/>
        <v>4061053.0107592796</v>
      </c>
      <c r="BZ10" s="75">
        <f t="shared" si="7"/>
        <v>3904716.0789744658</v>
      </c>
      <c r="CA10" s="75">
        <f t="shared" si="7"/>
        <v>3712343.937153955</v>
      </c>
      <c r="CB10" s="75">
        <f t="shared" si="7"/>
        <v>3393012.1184970341</v>
      </c>
      <c r="CC10" s="75">
        <f t="shared" si="7"/>
        <v>2835221.7576669748</v>
      </c>
      <c r="CD10" s="75">
        <f t="shared" si="7"/>
        <v>2242754.2680203142</v>
      </c>
      <c r="CE10" s="75">
        <f t="shared" si="7"/>
        <v>1540374.0687807202</v>
      </c>
      <c r="CF10" s="75">
        <f t="shared" si="7"/>
        <v>544227.13215633482</v>
      </c>
      <c r="CG10" s="75">
        <f t="shared" si="7"/>
        <v>-345588.04960053856</v>
      </c>
      <c r="CH10" s="75">
        <f t="shared" si="7"/>
        <v>-446335.67719254934</v>
      </c>
    </row>
    <row r="11" spans="1:86" ht="16" thickBot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6"/>
      <c r="BL11" s="76"/>
      <c r="BM11" s="76"/>
      <c r="BN11" s="76"/>
      <c r="BO11" s="76"/>
      <c r="BP11" s="76"/>
      <c r="BQ11" s="76"/>
      <c r="BR11" s="76"/>
      <c r="BS11" s="76"/>
      <c r="BT11" s="76"/>
      <c r="BU11" s="76"/>
      <c r="BV11" s="76"/>
      <c r="BW11" s="76"/>
      <c r="BX11" s="76"/>
      <c r="BY11" s="76"/>
      <c r="BZ11" s="76"/>
      <c r="CA11" s="76"/>
      <c r="CB11" s="76"/>
      <c r="CC11" s="76"/>
      <c r="CD11" s="76"/>
      <c r="CE11" s="76"/>
      <c r="CF11" s="76"/>
      <c r="CG11" s="76"/>
      <c r="CH11" s="76"/>
    </row>
    <row r="12" spans="1:86">
      <c r="A12" s="70" t="s">
        <v>168</v>
      </c>
      <c r="B12" s="77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  <c r="AW12" s="77"/>
      <c r="AX12" s="77"/>
      <c r="AY12" s="77"/>
      <c r="AZ12" s="77"/>
      <c r="BA12" s="77"/>
      <c r="BB12" s="77"/>
      <c r="BC12" s="77"/>
      <c r="BD12" s="77"/>
      <c r="BE12" s="77"/>
      <c r="BF12" s="77"/>
      <c r="BG12" s="77"/>
      <c r="BH12" s="77"/>
      <c r="BI12" s="77"/>
      <c r="BJ12" s="77"/>
      <c r="BK12" s="77"/>
      <c r="BL12" s="77"/>
      <c r="BM12" s="77"/>
      <c r="BN12" s="77"/>
      <c r="BO12" s="77"/>
      <c r="BP12" s="77"/>
      <c r="BQ12" s="77"/>
      <c r="BR12" s="77"/>
      <c r="BS12" s="77"/>
      <c r="BT12" s="77"/>
      <c r="BU12" s="77"/>
      <c r="BV12" s="77"/>
      <c r="BW12" s="77"/>
      <c r="BX12" s="77"/>
      <c r="BY12" s="77"/>
      <c r="BZ12" s="77"/>
      <c r="CA12" s="77"/>
      <c r="CB12" s="77"/>
      <c r="CC12" s="77"/>
      <c r="CD12" s="77"/>
      <c r="CE12" s="77"/>
      <c r="CF12" s="77"/>
      <c r="CG12" s="77"/>
      <c r="CH12" s="78"/>
    </row>
    <row r="13" spans="1:86">
      <c r="A13" s="6" t="s">
        <v>258</v>
      </c>
      <c r="B13" s="3">
        <v>23765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7"/>
    </row>
    <row r="14" spans="1:86">
      <c r="A14" s="6" t="s">
        <v>243</v>
      </c>
      <c r="B14" s="3">
        <v>34.950000000000003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7"/>
    </row>
    <row r="15" spans="1:86">
      <c r="A15" s="6" t="s">
        <v>244</v>
      </c>
      <c r="B15" s="3">
        <v>6.24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7"/>
    </row>
    <row r="16" spans="1:86">
      <c r="A16" s="6" t="s">
        <v>245</v>
      </c>
      <c r="B16" s="3"/>
      <c r="C16" s="3">
        <v>4</v>
      </c>
      <c r="D16" s="3">
        <v>12</v>
      </c>
      <c r="E16" s="3">
        <v>14</v>
      </c>
      <c r="F16" s="3">
        <v>16</v>
      </c>
      <c r="G16" s="3">
        <v>19</v>
      </c>
      <c r="H16" s="3">
        <v>22</v>
      </c>
      <c r="I16" s="3">
        <v>26</v>
      </c>
      <c r="J16" s="3">
        <v>31</v>
      </c>
      <c r="K16" s="3">
        <v>37</v>
      </c>
      <c r="L16" s="3">
        <v>44</v>
      </c>
      <c r="M16" s="3">
        <v>52</v>
      </c>
      <c r="N16" s="3">
        <v>62</v>
      </c>
      <c r="O16" s="3">
        <v>74</v>
      </c>
      <c r="P16" s="3">
        <v>88</v>
      </c>
      <c r="Q16" s="3">
        <v>89</v>
      </c>
      <c r="R16" s="3">
        <v>93</v>
      </c>
      <c r="S16" s="3">
        <v>97</v>
      </c>
      <c r="T16" s="3">
        <v>92</v>
      </c>
      <c r="U16" s="3">
        <v>94</v>
      </c>
      <c r="V16" s="3">
        <v>91</v>
      </c>
      <c r="W16" s="3">
        <v>86</v>
      </c>
      <c r="X16" s="3">
        <v>70</v>
      </c>
      <c r="Y16" s="3">
        <v>58</v>
      </c>
      <c r="Z16" s="3">
        <v>47</v>
      </c>
      <c r="AA16" s="3">
        <v>30</v>
      </c>
      <c r="AB16" s="3">
        <v>20</v>
      </c>
      <c r="AC16" s="3">
        <v>4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</v>
      </c>
      <c r="BU16" s="3">
        <v>0</v>
      </c>
      <c r="BV16" s="3">
        <v>0</v>
      </c>
      <c r="BW16" s="3">
        <v>0</v>
      </c>
      <c r="BX16" s="3">
        <v>0</v>
      </c>
      <c r="BY16" s="3">
        <v>0</v>
      </c>
      <c r="BZ16" s="3">
        <v>0</v>
      </c>
      <c r="CA16" s="3">
        <v>0</v>
      </c>
      <c r="CB16" s="3">
        <v>0</v>
      </c>
      <c r="CC16" s="3">
        <v>0</v>
      </c>
      <c r="CD16" s="3">
        <v>0</v>
      </c>
      <c r="CE16" s="3">
        <v>0</v>
      </c>
      <c r="CF16" s="3">
        <v>0</v>
      </c>
      <c r="CG16" s="3">
        <v>0</v>
      </c>
      <c r="CH16" s="7">
        <v>0</v>
      </c>
    </row>
    <row r="17" spans="1:86">
      <c r="A17" s="6" t="s">
        <v>246</v>
      </c>
      <c r="B17" s="3">
        <v>670</v>
      </c>
      <c r="C17" s="3">
        <f ca="1">RANDBETWEEN(600, 750)</f>
        <v>609</v>
      </c>
      <c r="D17" s="3">
        <f t="shared" ref="D17:BO17" ca="1" si="8">RANDBETWEEN(600, 750)</f>
        <v>635</v>
      </c>
      <c r="E17" s="3">
        <f t="shared" ca="1" si="8"/>
        <v>606</v>
      </c>
      <c r="F17" s="3">
        <f t="shared" ca="1" si="8"/>
        <v>600</v>
      </c>
      <c r="G17" s="3">
        <f t="shared" ca="1" si="8"/>
        <v>602</v>
      </c>
      <c r="H17" s="3">
        <f t="shared" ca="1" si="8"/>
        <v>668</v>
      </c>
      <c r="I17" s="3">
        <f t="shared" ca="1" si="8"/>
        <v>646</v>
      </c>
      <c r="J17" s="3">
        <f t="shared" ca="1" si="8"/>
        <v>683</v>
      </c>
      <c r="K17" s="3">
        <f t="shared" ca="1" si="8"/>
        <v>604</v>
      </c>
      <c r="L17" s="3">
        <f t="shared" ca="1" si="8"/>
        <v>616</v>
      </c>
      <c r="M17" s="3">
        <f t="shared" ca="1" si="8"/>
        <v>643</v>
      </c>
      <c r="N17" s="3">
        <f t="shared" ca="1" si="8"/>
        <v>636</v>
      </c>
      <c r="O17" s="3">
        <f t="shared" ca="1" si="8"/>
        <v>740</v>
      </c>
      <c r="P17" s="3">
        <f t="shared" ca="1" si="8"/>
        <v>694</v>
      </c>
      <c r="Q17" s="3">
        <f t="shared" ca="1" si="8"/>
        <v>624</v>
      </c>
      <c r="R17" s="3">
        <f t="shared" ca="1" si="8"/>
        <v>674</v>
      </c>
      <c r="S17" s="3">
        <f t="shared" ca="1" si="8"/>
        <v>663</v>
      </c>
      <c r="T17" s="3">
        <f t="shared" ca="1" si="8"/>
        <v>653</v>
      </c>
      <c r="U17" s="3">
        <f t="shared" ca="1" si="8"/>
        <v>663</v>
      </c>
      <c r="V17" s="3">
        <f t="shared" ca="1" si="8"/>
        <v>683</v>
      </c>
      <c r="W17" s="3">
        <f t="shared" ca="1" si="8"/>
        <v>603</v>
      </c>
      <c r="X17" s="3">
        <f t="shared" ca="1" si="8"/>
        <v>734</v>
      </c>
      <c r="Y17" s="3">
        <f t="shared" ca="1" si="8"/>
        <v>646</v>
      </c>
      <c r="Z17" s="3">
        <f t="shared" ca="1" si="8"/>
        <v>650</v>
      </c>
      <c r="AA17" s="3">
        <f t="shared" ca="1" si="8"/>
        <v>738</v>
      </c>
      <c r="AB17" s="3">
        <f t="shared" ca="1" si="8"/>
        <v>716</v>
      </c>
      <c r="AC17" s="3">
        <f t="shared" ca="1" si="8"/>
        <v>635</v>
      </c>
      <c r="AD17" s="3">
        <f t="shared" ca="1" si="8"/>
        <v>603</v>
      </c>
      <c r="AE17" s="3">
        <f t="shared" ca="1" si="8"/>
        <v>691</v>
      </c>
      <c r="AF17" s="3">
        <f t="shared" ca="1" si="8"/>
        <v>691</v>
      </c>
      <c r="AG17" s="3">
        <f t="shared" ca="1" si="8"/>
        <v>742</v>
      </c>
      <c r="AH17" s="3">
        <f t="shared" ca="1" si="8"/>
        <v>656</v>
      </c>
      <c r="AI17" s="3">
        <f t="shared" ca="1" si="8"/>
        <v>716</v>
      </c>
      <c r="AJ17" s="3">
        <f t="shared" ca="1" si="8"/>
        <v>612</v>
      </c>
      <c r="AK17" s="3">
        <f t="shared" ca="1" si="8"/>
        <v>710</v>
      </c>
      <c r="AL17" s="3">
        <f t="shared" ca="1" si="8"/>
        <v>659</v>
      </c>
      <c r="AM17" s="3">
        <f t="shared" ca="1" si="8"/>
        <v>675</v>
      </c>
      <c r="AN17" s="3">
        <f t="shared" ca="1" si="8"/>
        <v>722</v>
      </c>
      <c r="AO17" s="3">
        <f t="shared" ca="1" si="8"/>
        <v>640</v>
      </c>
      <c r="AP17" s="3">
        <f t="shared" ca="1" si="8"/>
        <v>744</v>
      </c>
      <c r="AQ17" s="3">
        <f t="shared" ca="1" si="8"/>
        <v>679</v>
      </c>
      <c r="AR17" s="3">
        <f t="shared" ca="1" si="8"/>
        <v>638</v>
      </c>
      <c r="AS17" s="3">
        <f t="shared" ca="1" si="8"/>
        <v>602</v>
      </c>
      <c r="AT17" s="3">
        <f t="shared" ca="1" si="8"/>
        <v>675</v>
      </c>
      <c r="AU17" s="3">
        <f t="shared" ca="1" si="8"/>
        <v>643</v>
      </c>
      <c r="AV17" s="3">
        <f t="shared" ca="1" si="8"/>
        <v>733</v>
      </c>
      <c r="AW17" s="3">
        <f t="shared" ca="1" si="8"/>
        <v>614</v>
      </c>
      <c r="AX17" s="3">
        <f t="shared" ca="1" si="8"/>
        <v>651</v>
      </c>
      <c r="AY17" s="3">
        <f t="shared" ca="1" si="8"/>
        <v>744</v>
      </c>
      <c r="AZ17" s="3">
        <f t="shared" ca="1" si="8"/>
        <v>653</v>
      </c>
      <c r="BA17" s="3">
        <f t="shared" ca="1" si="8"/>
        <v>631</v>
      </c>
      <c r="BB17" s="3">
        <f t="shared" ca="1" si="8"/>
        <v>713</v>
      </c>
      <c r="BC17" s="3">
        <f t="shared" ca="1" si="8"/>
        <v>681</v>
      </c>
      <c r="BD17" s="3">
        <f t="shared" ca="1" si="8"/>
        <v>676</v>
      </c>
      <c r="BE17" s="3">
        <f t="shared" ca="1" si="8"/>
        <v>722</v>
      </c>
      <c r="BF17" s="3">
        <f t="shared" ca="1" si="8"/>
        <v>672</v>
      </c>
      <c r="BG17" s="3">
        <f t="shared" ca="1" si="8"/>
        <v>643</v>
      </c>
      <c r="BH17" s="3">
        <f t="shared" ca="1" si="8"/>
        <v>640</v>
      </c>
      <c r="BI17" s="3">
        <f t="shared" ca="1" si="8"/>
        <v>682</v>
      </c>
      <c r="BJ17" s="3">
        <f t="shared" ca="1" si="8"/>
        <v>658</v>
      </c>
      <c r="BK17" s="3">
        <f t="shared" ca="1" si="8"/>
        <v>678</v>
      </c>
      <c r="BL17" s="3">
        <f t="shared" ca="1" si="8"/>
        <v>654</v>
      </c>
      <c r="BM17" s="3">
        <f t="shared" ca="1" si="8"/>
        <v>606</v>
      </c>
      <c r="BN17" s="3">
        <f t="shared" ca="1" si="8"/>
        <v>720</v>
      </c>
      <c r="BO17" s="3">
        <f t="shared" ca="1" si="8"/>
        <v>729</v>
      </c>
      <c r="BP17" s="3">
        <f t="shared" ref="BP17:CH17" ca="1" si="9">RANDBETWEEN(600, 750)</f>
        <v>626</v>
      </c>
      <c r="BQ17" s="3">
        <f t="shared" ca="1" si="9"/>
        <v>666</v>
      </c>
      <c r="BR17" s="3">
        <f t="shared" ca="1" si="9"/>
        <v>632</v>
      </c>
      <c r="BS17" s="3">
        <f t="shared" ca="1" si="9"/>
        <v>656</v>
      </c>
      <c r="BT17" s="3">
        <f t="shared" ca="1" si="9"/>
        <v>707</v>
      </c>
      <c r="BU17" s="3">
        <f t="shared" ca="1" si="9"/>
        <v>642</v>
      </c>
      <c r="BV17" s="3">
        <f t="shared" ca="1" si="9"/>
        <v>708</v>
      </c>
      <c r="BW17" s="3">
        <f t="shared" ca="1" si="9"/>
        <v>736</v>
      </c>
      <c r="BX17" s="3">
        <f t="shared" ca="1" si="9"/>
        <v>647</v>
      </c>
      <c r="BY17" s="3">
        <f t="shared" ca="1" si="9"/>
        <v>724</v>
      </c>
      <c r="BZ17" s="3">
        <f t="shared" ca="1" si="9"/>
        <v>731</v>
      </c>
      <c r="CA17" s="3">
        <f t="shared" ca="1" si="9"/>
        <v>603</v>
      </c>
      <c r="CB17" s="3">
        <f t="shared" ca="1" si="9"/>
        <v>635</v>
      </c>
      <c r="CC17" s="3">
        <f t="shared" ca="1" si="9"/>
        <v>731</v>
      </c>
      <c r="CD17" s="3">
        <f t="shared" ca="1" si="9"/>
        <v>660</v>
      </c>
      <c r="CE17" s="3">
        <f t="shared" ca="1" si="9"/>
        <v>728</v>
      </c>
      <c r="CF17" s="3">
        <f t="shared" ca="1" si="9"/>
        <v>718</v>
      </c>
      <c r="CG17" s="3">
        <f t="shared" ca="1" si="9"/>
        <v>632</v>
      </c>
      <c r="CH17" s="7">
        <f t="shared" ca="1" si="9"/>
        <v>621</v>
      </c>
    </row>
    <row r="18" spans="1:86">
      <c r="A18" s="6" t="s">
        <v>247</v>
      </c>
      <c r="B18" s="3">
        <f>B16*$B$14</f>
        <v>0</v>
      </c>
      <c r="C18" s="3">
        <f>C16*$B$14-C13</f>
        <v>139.80000000000001</v>
      </c>
      <c r="D18" s="3">
        <f t="shared" ref="D18:BO18" si="10">D16*$B$14-D13</f>
        <v>419.40000000000003</v>
      </c>
      <c r="E18" s="3">
        <f t="shared" si="10"/>
        <v>489.30000000000007</v>
      </c>
      <c r="F18" s="3">
        <f t="shared" si="10"/>
        <v>559.20000000000005</v>
      </c>
      <c r="G18" s="3">
        <f t="shared" si="10"/>
        <v>664.05000000000007</v>
      </c>
      <c r="H18" s="3">
        <f t="shared" si="10"/>
        <v>768.90000000000009</v>
      </c>
      <c r="I18" s="3">
        <f t="shared" si="10"/>
        <v>908.7</v>
      </c>
      <c r="J18" s="3">
        <f t="shared" si="10"/>
        <v>1083.45</v>
      </c>
      <c r="K18" s="3">
        <f t="shared" si="10"/>
        <v>1293.1500000000001</v>
      </c>
      <c r="L18" s="3">
        <f t="shared" si="10"/>
        <v>1537.8000000000002</v>
      </c>
      <c r="M18" s="3">
        <f t="shared" si="10"/>
        <v>1817.4</v>
      </c>
      <c r="N18" s="3">
        <f t="shared" si="10"/>
        <v>2166.9</v>
      </c>
      <c r="O18" s="3">
        <f t="shared" si="10"/>
        <v>2586.3000000000002</v>
      </c>
      <c r="P18" s="3">
        <f t="shared" si="10"/>
        <v>3075.6000000000004</v>
      </c>
      <c r="Q18" s="3">
        <f t="shared" si="10"/>
        <v>3110.55</v>
      </c>
      <c r="R18" s="3">
        <f t="shared" si="10"/>
        <v>3250.3500000000004</v>
      </c>
      <c r="S18" s="3">
        <f t="shared" si="10"/>
        <v>3390.15</v>
      </c>
      <c r="T18" s="3">
        <f t="shared" si="10"/>
        <v>3215.4</v>
      </c>
      <c r="U18" s="3">
        <f t="shared" si="10"/>
        <v>3285.3</v>
      </c>
      <c r="V18" s="3">
        <f t="shared" si="10"/>
        <v>3180.4500000000003</v>
      </c>
      <c r="W18" s="3">
        <f t="shared" si="10"/>
        <v>3005.7000000000003</v>
      </c>
      <c r="X18" s="3">
        <f t="shared" si="10"/>
        <v>2446.5</v>
      </c>
      <c r="Y18" s="3">
        <f t="shared" si="10"/>
        <v>2027.1000000000001</v>
      </c>
      <c r="Z18" s="3">
        <f t="shared" si="10"/>
        <v>1642.65</v>
      </c>
      <c r="AA18" s="3">
        <f t="shared" si="10"/>
        <v>1048.5</v>
      </c>
      <c r="AB18" s="3">
        <f t="shared" si="10"/>
        <v>699</v>
      </c>
      <c r="AC18" s="3">
        <f t="shared" si="10"/>
        <v>139.80000000000001</v>
      </c>
      <c r="AD18" s="3">
        <f t="shared" si="10"/>
        <v>0</v>
      </c>
      <c r="AE18" s="3">
        <f t="shared" si="10"/>
        <v>0</v>
      </c>
      <c r="AF18" s="3">
        <f t="shared" si="10"/>
        <v>0</v>
      </c>
      <c r="AG18" s="3">
        <f t="shared" si="10"/>
        <v>0</v>
      </c>
      <c r="AH18" s="3">
        <f t="shared" si="10"/>
        <v>0</v>
      </c>
      <c r="AI18" s="3">
        <f t="shared" si="10"/>
        <v>0</v>
      </c>
      <c r="AJ18" s="3">
        <f t="shared" si="10"/>
        <v>0</v>
      </c>
      <c r="AK18" s="3">
        <f t="shared" si="10"/>
        <v>0</v>
      </c>
      <c r="AL18" s="3">
        <f t="shared" si="10"/>
        <v>0</v>
      </c>
      <c r="AM18" s="3">
        <f t="shared" si="10"/>
        <v>0</v>
      </c>
      <c r="AN18" s="3">
        <f t="shared" si="10"/>
        <v>0</v>
      </c>
      <c r="AO18" s="3">
        <f t="shared" si="10"/>
        <v>0</v>
      </c>
      <c r="AP18" s="3">
        <f t="shared" si="10"/>
        <v>0</v>
      </c>
      <c r="AQ18" s="3">
        <f t="shared" si="10"/>
        <v>0</v>
      </c>
      <c r="AR18" s="3">
        <f t="shared" si="10"/>
        <v>0</v>
      </c>
      <c r="AS18" s="3">
        <f t="shared" si="10"/>
        <v>0</v>
      </c>
      <c r="AT18" s="3">
        <f t="shared" si="10"/>
        <v>0</v>
      </c>
      <c r="AU18" s="3">
        <f t="shared" si="10"/>
        <v>0</v>
      </c>
      <c r="AV18" s="3">
        <f t="shared" si="10"/>
        <v>0</v>
      </c>
      <c r="AW18" s="3">
        <f t="shared" si="10"/>
        <v>0</v>
      </c>
      <c r="AX18" s="3">
        <f t="shared" si="10"/>
        <v>0</v>
      </c>
      <c r="AY18" s="3">
        <f t="shared" si="10"/>
        <v>0</v>
      </c>
      <c r="AZ18" s="3">
        <f t="shared" si="10"/>
        <v>0</v>
      </c>
      <c r="BA18" s="3">
        <f t="shared" si="10"/>
        <v>0</v>
      </c>
      <c r="BB18" s="3">
        <f t="shared" si="10"/>
        <v>0</v>
      </c>
      <c r="BC18" s="3">
        <f t="shared" si="10"/>
        <v>0</v>
      </c>
      <c r="BD18" s="3">
        <f t="shared" si="10"/>
        <v>0</v>
      </c>
      <c r="BE18" s="3">
        <f t="shared" si="10"/>
        <v>0</v>
      </c>
      <c r="BF18" s="3">
        <f t="shared" si="10"/>
        <v>0</v>
      </c>
      <c r="BG18" s="3">
        <f t="shared" si="10"/>
        <v>0</v>
      </c>
      <c r="BH18" s="3">
        <f t="shared" si="10"/>
        <v>0</v>
      </c>
      <c r="BI18" s="3">
        <f t="shared" si="10"/>
        <v>0</v>
      </c>
      <c r="BJ18" s="3">
        <f t="shared" si="10"/>
        <v>0</v>
      </c>
      <c r="BK18" s="3">
        <f t="shared" si="10"/>
        <v>0</v>
      </c>
      <c r="BL18" s="3">
        <f t="shared" si="10"/>
        <v>0</v>
      </c>
      <c r="BM18" s="3">
        <f t="shared" si="10"/>
        <v>0</v>
      </c>
      <c r="BN18" s="3">
        <f t="shared" si="10"/>
        <v>0</v>
      </c>
      <c r="BO18" s="3">
        <f t="shared" si="10"/>
        <v>0</v>
      </c>
      <c r="BP18" s="3">
        <f t="shared" ref="BP18:CH18" si="11">BP16*$B$14-BP13</f>
        <v>0</v>
      </c>
      <c r="BQ18" s="3">
        <f t="shared" si="11"/>
        <v>0</v>
      </c>
      <c r="BR18" s="3">
        <f t="shared" si="11"/>
        <v>0</v>
      </c>
      <c r="BS18" s="3">
        <f t="shared" si="11"/>
        <v>0</v>
      </c>
      <c r="BT18" s="3">
        <f t="shared" si="11"/>
        <v>0</v>
      </c>
      <c r="BU18" s="3">
        <f t="shared" si="11"/>
        <v>0</v>
      </c>
      <c r="BV18" s="3">
        <f t="shared" si="11"/>
        <v>0</v>
      </c>
      <c r="BW18" s="3">
        <f t="shared" si="11"/>
        <v>0</v>
      </c>
      <c r="BX18" s="3">
        <f t="shared" si="11"/>
        <v>0</v>
      </c>
      <c r="BY18" s="3">
        <f t="shared" si="11"/>
        <v>0</v>
      </c>
      <c r="BZ18" s="3">
        <f t="shared" si="11"/>
        <v>0</v>
      </c>
      <c r="CA18" s="3">
        <f t="shared" si="11"/>
        <v>0</v>
      </c>
      <c r="CB18" s="3">
        <f t="shared" si="11"/>
        <v>0</v>
      </c>
      <c r="CC18" s="3">
        <f t="shared" si="11"/>
        <v>0</v>
      </c>
      <c r="CD18" s="3">
        <f t="shared" si="11"/>
        <v>0</v>
      </c>
      <c r="CE18" s="3">
        <f t="shared" si="11"/>
        <v>0</v>
      </c>
      <c r="CF18" s="3">
        <f t="shared" si="11"/>
        <v>0</v>
      </c>
      <c r="CG18" s="3">
        <f t="shared" si="11"/>
        <v>0</v>
      </c>
      <c r="CH18" s="3">
        <f t="shared" si="11"/>
        <v>0</v>
      </c>
    </row>
    <row r="19" spans="1:86">
      <c r="A19" s="6" t="s">
        <v>248</v>
      </c>
      <c r="B19" s="3">
        <f>B18</f>
        <v>0</v>
      </c>
      <c r="C19" s="3">
        <f>C18+B19</f>
        <v>139.80000000000001</v>
      </c>
      <c r="D19" s="3">
        <f t="shared" ref="D19:BO19" si="12">D18+C19</f>
        <v>559.20000000000005</v>
      </c>
      <c r="E19" s="3">
        <f t="shared" si="12"/>
        <v>1048.5</v>
      </c>
      <c r="F19" s="3">
        <f t="shared" si="12"/>
        <v>1607.7</v>
      </c>
      <c r="G19" s="3">
        <f t="shared" si="12"/>
        <v>2271.75</v>
      </c>
      <c r="H19" s="3">
        <f t="shared" si="12"/>
        <v>3040.65</v>
      </c>
      <c r="I19" s="3">
        <f t="shared" si="12"/>
        <v>3949.3500000000004</v>
      </c>
      <c r="J19" s="3">
        <f t="shared" si="12"/>
        <v>5032.8</v>
      </c>
      <c r="K19" s="3">
        <f t="shared" si="12"/>
        <v>6325.9500000000007</v>
      </c>
      <c r="L19" s="3">
        <f t="shared" si="12"/>
        <v>7863.7500000000009</v>
      </c>
      <c r="M19" s="3">
        <f t="shared" si="12"/>
        <v>9681.1500000000015</v>
      </c>
      <c r="N19" s="3">
        <f t="shared" si="12"/>
        <v>11848.050000000001</v>
      </c>
      <c r="O19" s="3">
        <f t="shared" si="12"/>
        <v>14434.350000000002</v>
      </c>
      <c r="P19" s="3">
        <f t="shared" si="12"/>
        <v>17509.950000000004</v>
      </c>
      <c r="Q19" s="3">
        <f t="shared" si="12"/>
        <v>20620.500000000004</v>
      </c>
      <c r="R19" s="3">
        <f t="shared" si="12"/>
        <v>23870.850000000006</v>
      </c>
      <c r="S19" s="3">
        <f t="shared" si="12"/>
        <v>27261.000000000007</v>
      </c>
      <c r="T19" s="3">
        <f t="shared" si="12"/>
        <v>30476.400000000009</v>
      </c>
      <c r="U19" s="3">
        <f t="shared" si="12"/>
        <v>33761.700000000012</v>
      </c>
      <c r="V19" s="3">
        <f t="shared" si="12"/>
        <v>36942.150000000009</v>
      </c>
      <c r="W19" s="3">
        <f t="shared" si="12"/>
        <v>39947.850000000006</v>
      </c>
      <c r="X19" s="3">
        <f t="shared" si="12"/>
        <v>42394.350000000006</v>
      </c>
      <c r="Y19" s="3">
        <f t="shared" si="12"/>
        <v>44421.450000000004</v>
      </c>
      <c r="Z19" s="3">
        <f t="shared" si="12"/>
        <v>46064.100000000006</v>
      </c>
      <c r="AA19" s="3">
        <f t="shared" si="12"/>
        <v>47112.600000000006</v>
      </c>
      <c r="AB19" s="3">
        <f t="shared" si="12"/>
        <v>47811.600000000006</v>
      </c>
      <c r="AC19" s="3">
        <f t="shared" si="12"/>
        <v>47951.400000000009</v>
      </c>
      <c r="AD19" s="3">
        <f t="shared" si="12"/>
        <v>47951.400000000009</v>
      </c>
      <c r="AE19" s="3">
        <f t="shared" si="12"/>
        <v>47951.400000000009</v>
      </c>
      <c r="AF19" s="3">
        <f t="shared" si="12"/>
        <v>47951.400000000009</v>
      </c>
      <c r="AG19" s="3">
        <f t="shared" si="12"/>
        <v>47951.400000000009</v>
      </c>
      <c r="AH19" s="3">
        <f t="shared" si="12"/>
        <v>47951.400000000009</v>
      </c>
      <c r="AI19" s="3">
        <f t="shared" si="12"/>
        <v>47951.400000000009</v>
      </c>
      <c r="AJ19" s="3">
        <f t="shared" si="12"/>
        <v>47951.400000000009</v>
      </c>
      <c r="AK19" s="3">
        <f t="shared" si="12"/>
        <v>47951.400000000009</v>
      </c>
      <c r="AL19" s="3">
        <f t="shared" si="12"/>
        <v>47951.400000000009</v>
      </c>
      <c r="AM19" s="3">
        <f t="shared" si="12"/>
        <v>47951.400000000009</v>
      </c>
      <c r="AN19" s="3">
        <f t="shared" si="12"/>
        <v>47951.400000000009</v>
      </c>
      <c r="AO19" s="3">
        <f t="shared" si="12"/>
        <v>47951.400000000009</v>
      </c>
      <c r="AP19" s="3">
        <f t="shared" si="12"/>
        <v>47951.400000000009</v>
      </c>
      <c r="AQ19" s="3">
        <f t="shared" si="12"/>
        <v>47951.400000000009</v>
      </c>
      <c r="AR19" s="3">
        <f t="shared" si="12"/>
        <v>47951.400000000009</v>
      </c>
      <c r="AS19" s="3">
        <f t="shared" si="12"/>
        <v>47951.400000000009</v>
      </c>
      <c r="AT19" s="3">
        <f t="shared" si="12"/>
        <v>47951.400000000009</v>
      </c>
      <c r="AU19" s="3">
        <f t="shared" si="12"/>
        <v>47951.400000000009</v>
      </c>
      <c r="AV19" s="3">
        <f t="shared" si="12"/>
        <v>47951.400000000009</v>
      </c>
      <c r="AW19" s="3">
        <f t="shared" si="12"/>
        <v>47951.400000000009</v>
      </c>
      <c r="AX19" s="3">
        <f t="shared" si="12"/>
        <v>47951.400000000009</v>
      </c>
      <c r="AY19" s="3">
        <f t="shared" si="12"/>
        <v>47951.400000000009</v>
      </c>
      <c r="AZ19" s="3">
        <f t="shared" si="12"/>
        <v>47951.400000000009</v>
      </c>
      <c r="BA19" s="3">
        <f t="shared" si="12"/>
        <v>47951.400000000009</v>
      </c>
      <c r="BB19" s="3">
        <f t="shared" si="12"/>
        <v>47951.400000000009</v>
      </c>
      <c r="BC19" s="3">
        <f t="shared" si="12"/>
        <v>47951.400000000009</v>
      </c>
      <c r="BD19" s="3">
        <f t="shared" si="12"/>
        <v>47951.400000000009</v>
      </c>
      <c r="BE19" s="3">
        <f t="shared" si="12"/>
        <v>47951.400000000009</v>
      </c>
      <c r="BF19" s="3">
        <f t="shared" si="12"/>
        <v>47951.400000000009</v>
      </c>
      <c r="BG19" s="3">
        <f t="shared" si="12"/>
        <v>47951.400000000009</v>
      </c>
      <c r="BH19" s="3">
        <f t="shared" si="12"/>
        <v>47951.400000000009</v>
      </c>
      <c r="BI19" s="3">
        <f t="shared" si="12"/>
        <v>47951.400000000009</v>
      </c>
      <c r="BJ19" s="3">
        <f t="shared" si="12"/>
        <v>47951.400000000009</v>
      </c>
      <c r="BK19" s="3">
        <f t="shared" si="12"/>
        <v>47951.400000000009</v>
      </c>
      <c r="BL19" s="3">
        <f t="shared" si="12"/>
        <v>47951.400000000009</v>
      </c>
      <c r="BM19" s="3">
        <f t="shared" si="12"/>
        <v>47951.400000000009</v>
      </c>
      <c r="BN19" s="3">
        <f t="shared" si="12"/>
        <v>47951.400000000009</v>
      </c>
      <c r="BO19" s="3">
        <f t="shared" si="12"/>
        <v>47951.400000000009</v>
      </c>
      <c r="BP19" s="3">
        <f t="shared" ref="BP19:CH19" si="13">BP18+BO19</f>
        <v>47951.400000000009</v>
      </c>
      <c r="BQ19" s="3">
        <f t="shared" si="13"/>
        <v>47951.400000000009</v>
      </c>
      <c r="BR19" s="3">
        <f t="shared" si="13"/>
        <v>47951.400000000009</v>
      </c>
      <c r="BS19" s="3">
        <f t="shared" si="13"/>
        <v>47951.400000000009</v>
      </c>
      <c r="BT19" s="3">
        <f t="shared" si="13"/>
        <v>47951.400000000009</v>
      </c>
      <c r="BU19" s="3">
        <f t="shared" si="13"/>
        <v>47951.400000000009</v>
      </c>
      <c r="BV19" s="3">
        <f t="shared" si="13"/>
        <v>47951.400000000009</v>
      </c>
      <c r="BW19" s="3">
        <f t="shared" si="13"/>
        <v>47951.400000000009</v>
      </c>
      <c r="BX19" s="3">
        <f t="shared" si="13"/>
        <v>47951.400000000009</v>
      </c>
      <c r="BY19" s="3">
        <f t="shared" si="13"/>
        <v>47951.400000000009</v>
      </c>
      <c r="BZ19" s="3">
        <f t="shared" si="13"/>
        <v>47951.400000000009</v>
      </c>
      <c r="CA19" s="3">
        <f t="shared" si="13"/>
        <v>47951.400000000009</v>
      </c>
      <c r="CB19" s="3">
        <f t="shared" si="13"/>
        <v>47951.400000000009</v>
      </c>
      <c r="CC19" s="3">
        <f t="shared" si="13"/>
        <v>47951.400000000009</v>
      </c>
      <c r="CD19" s="3">
        <f t="shared" si="13"/>
        <v>47951.400000000009</v>
      </c>
      <c r="CE19" s="3">
        <f t="shared" si="13"/>
        <v>47951.400000000009</v>
      </c>
      <c r="CF19" s="3">
        <f t="shared" si="13"/>
        <v>47951.400000000009</v>
      </c>
      <c r="CG19" s="3">
        <f t="shared" si="13"/>
        <v>47951.400000000009</v>
      </c>
      <c r="CH19" s="3">
        <f t="shared" si="13"/>
        <v>47951.400000000009</v>
      </c>
    </row>
    <row r="20" spans="1:86" ht="16" thickBot="1">
      <c r="A20" s="74" t="s">
        <v>249</v>
      </c>
      <c r="B20" s="75">
        <f>B18-(B16*B15)-B17-B13</f>
        <v>-24435</v>
      </c>
      <c r="C20" s="75">
        <f ca="1">C18-($B$15*C16)-C17</f>
        <v>-494.15999999999997</v>
      </c>
      <c r="D20" s="75">
        <f ca="1">D18-($B$15*D16)-D17</f>
        <v>-290.47999999999996</v>
      </c>
      <c r="E20" s="75">
        <f t="shared" ref="E20:BP20" ca="1" si="14">E18-($B$15*E16)-E17</f>
        <v>-204.05999999999995</v>
      </c>
      <c r="F20" s="75">
        <f t="shared" ca="1" si="14"/>
        <v>-140.63999999999999</v>
      </c>
      <c r="G20" s="75">
        <f t="shared" ca="1" si="14"/>
        <v>-56.509999999999991</v>
      </c>
      <c r="H20" s="75">
        <f t="shared" ca="1" si="14"/>
        <v>-36.379999999999882</v>
      </c>
      <c r="I20" s="75">
        <f t="shared" ca="1" si="14"/>
        <v>100.46000000000004</v>
      </c>
      <c r="J20" s="75">
        <f t="shared" ca="1" si="14"/>
        <v>207.01</v>
      </c>
      <c r="K20" s="75">
        <f t="shared" ca="1" si="14"/>
        <v>458.27</v>
      </c>
      <c r="L20" s="75">
        <f t="shared" ca="1" si="14"/>
        <v>647.24000000000024</v>
      </c>
      <c r="M20" s="75">
        <f t="shared" ca="1" si="14"/>
        <v>849.92000000000007</v>
      </c>
      <c r="N20" s="75">
        <f t="shared" ca="1" si="14"/>
        <v>1144.02</v>
      </c>
      <c r="O20" s="75">
        <f t="shared" ca="1" si="14"/>
        <v>1384.54</v>
      </c>
      <c r="P20" s="75">
        <f t="shared" ca="1" si="14"/>
        <v>1832.4800000000005</v>
      </c>
      <c r="Q20" s="75">
        <f t="shared" ca="1" si="14"/>
        <v>1931.19</v>
      </c>
      <c r="R20" s="75">
        <f t="shared" ca="1" si="14"/>
        <v>1996.0300000000002</v>
      </c>
      <c r="S20" s="75">
        <f t="shared" ca="1" si="14"/>
        <v>2121.87</v>
      </c>
      <c r="T20" s="75">
        <f t="shared" ca="1" si="14"/>
        <v>1988.3200000000002</v>
      </c>
      <c r="U20" s="75">
        <f t="shared" ca="1" si="14"/>
        <v>2035.7400000000002</v>
      </c>
      <c r="V20" s="75">
        <f t="shared" ca="1" si="14"/>
        <v>1929.6100000000001</v>
      </c>
      <c r="W20" s="75">
        <f t="shared" ca="1" si="14"/>
        <v>1866.0600000000004</v>
      </c>
      <c r="X20" s="75">
        <f t="shared" ca="1" si="14"/>
        <v>1275.7</v>
      </c>
      <c r="Y20" s="75">
        <f t="shared" ca="1" si="14"/>
        <v>1019.1800000000001</v>
      </c>
      <c r="Z20" s="75">
        <f t="shared" ca="1" si="14"/>
        <v>699.37000000000012</v>
      </c>
      <c r="AA20" s="75">
        <f t="shared" ca="1" si="14"/>
        <v>123.29999999999995</v>
      </c>
      <c r="AB20" s="75">
        <f t="shared" ca="1" si="14"/>
        <v>-141.79999999999995</v>
      </c>
      <c r="AC20" s="75">
        <f t="shared" ca="1" si="14"/>
        <v>-520.16</v>
      </c>
      <c r="AD20" s="75">
        <f t="shared" ca="1" si="14"/>
        <v>-603</v>
      </c>
      <c r="AE20" s="75">
        <f t="shared" ca="1" si="14"/>
        <v>-691</v>
      </c>
      <c r="AF20" s="75">
        <f t="shared" ca="1" si="14"/>
        <v>-691</v>
      </c>
      <c r="AG20" s="75">
        <f t="shared" ca="1" si="14"/>
        <v>-742</v>
      </c>
      <c r="AH20" s="75">
        <f t="shared" ca="1" si="14"/>
        <v>-656</v>
      </c>
      <c r="AI20" s="75">
        <f t="shared" ca="1" si="14"/>
        <v>-716</v>
      </c>
      <c r="AJ20" s="75">
        <f t="shared" ca="1" si="14"/>
        <v>-612</v>
      </c>
      <c r="AK20" s="75">
        <f t="shared" ca="1" si="14"/>
        <v>-710</v>
      </c>
      <c r="AL20" s="75">
        <f t="shared" ca="1" si="14"/>
        <v>-659</v>
      </c>
      <c r="AM20" s="75">
        <f t="shared" ca="1" si="14"/>
        <v>-675</v>
      </c>
      <c r="AN20" s="75">
        <f t="shared" ca="1" si="14"/>
        <v>-722</v>
      </c>
      <c r="AO20" s="75">
        <f t="shared" ca="1" si="14"/>
        <v>-640</v>
      </c>
      <c r="AP20" s="75">
        <f t="shared" ca="1" si="14"/>
        <v>-744</v>
      </c>
      <c r="AQ20" s="75">
        <f t="shared" ca="1" si="14"/>
        <v>-679</v>
      </c>
      <c r="AR20" s="75">
        <f t="shared" ca="1" si="14"/>
        <v>-638</v>
      </c>
      <c r="AS20" s="75">
        <f t="shared" ca="1" si="14"/>
        <v>-602</v>
      </c>
      <c r="AT20" s="75">
        <f t="shared" ca="1" si="14"/>
        <v>-675</v>
      </c>
      <c r="AU20" s="75">
        <f t="shared" ca="1" si="14"/>
        <v>-643</v>
      </c>
      <c r="AV20" s="75">
        <f t="shared" ca="1" si="14"/>
        <v>-733</v>
      </c>
      <c r="AW20" s="75">
        <f t="shared" ca="1" si="14"/>
        <v>-614</v>
      </c>
      <c r="AX20" s="75">
        <f t="shared" ca="1" si="14"/>
        <v>-651</v>
      </c>
      <c r="AY20" s="75">
        <f t="shared" ca="1" si="14"/>
        <v>-744</v>
      </c>
      <c r="AZ20" s="75">
        <f t="shared" ca="1" si="14"/>
        <v>-653</v>
      </c>
      <c r="BA20" s="75">
        <f t="shared" ca="1" si="14"/>
        <v>-631</v>
      </c>
      <c r="BB20" s="75">
        <f t="shared" ca="1" si="14"/>
        <v>-713</v>
      </c>
      <c r="BC20" s="75">
        <f t="shared" ca="1" si="14"/>
        <v>-681</v>
      </c>
      <c r="BD20" s="75">
        <f t="shared" ca="1" si="14"/>
        <v>-676</v>
      </c>
      <c r="BE20" s="75">
        <f t="shared" ca="1" si="14"/>
        <v>-722</v>
      </c>
      <c r="BF20" s="75">
        <f t="shared" ca="1" si="14"/>
        <v>-672</v>
      </c>
      <c r="BG20" s="75">
        <f t="shared" ca="1" si="14"/>
        <v>-643</v>
      </c>
      <c r="BH20" s="75">
        <f t="shared" ca="1" si="14"/>
        <v>-640</v>
      </c>
      <c r="BI20" s="75">
        <f t="shared" ca="1" si="14"/>
        <v>-682</v>
      </c>
      <c r="BJ20" s="75">
        <f t="shared" ca="1" si="14"/>
        <v>-658</v>
      </c>
      <c r="BK20" s="75">
        <f t="shared" ca="1" si="14"/>
        <v>-678</v>
      </c>
      <c r="BL20" s="75">
        <f t="shared" ca="1" si="14"/>
        <v>-654</v>
      </c>
      <c r="BM20" s="75">
        <f t="shared" ca="1" si="14"/>
        <v>-606</v>
      </c>
      <c r="BN20" s="75">
        <f t="shared" ca="1" si="14"/>
        <v>-720</v>
      </c>
      <c r="BO20" s="75">
        <f t="shared" ca="1" si="14"/>
        <v>-729</v>
      </c>
      <c r="BP20" s="75">
        <f t="shared" ca="1" si="14"/>
        <v>-626</v>
      </c>
      <c r="BQ20" s="75">
        <f t="shared" ref="BQ20:CH20" ca="1" si="15">BQ18-($B$15*BQ16)-BQ17</f>
        <v>-666</v>
      </c>
      <c r="BR20" s="75">
        <f t="shared" ca="1" si="15"/>
        <v>-632</v>
      </c>
      <c r="BS20" s="75">
        <f t="shared" ca="1" si="15"/>
        <v>-656</v>
      </c>
      <c r="BT20" s="75">
        <f t="shared" ca="1" si="15"/>
        <v>-707</v>
      </c>
      <c r="BU20" s="75">
        <f t="shared" ca="1" si="15"/>
        <v>-642</v>
      </c>
      <c r="BV20" s="75">
        <f t="shared" ca="1" si="15"/>
        <v>-708</v>
      </c>
      <c r="BW20" s="75">
        <f t="shared" ca="1" si="15"/>
        <v>-736</v>
      </c>
      <c r="BX20" s="75">
        <f t="shared" ca="1" si="15"/>
        <v>-647</v>
      </c>
      <c r="BY20" s="75">
        <f t="shared" ca="1" si="15"/>
        <v>-724</v>
      </c>
      <c r="BZ20" s="75">
        <f t="shared" ca="1" si="15"/>
        <v>-731</v>
      </c>
      <c r="CA20" s="75">
        <f t="shared" ca="1" si="15"/>
        <v>-603</v>
      </c>
      <c r="CB20" s="75">
        <f t="shared" ca="1" si="15"/>
        <v>-635</v>
      </c>
      <c r="CC20" s="75">
        <f t="shared" ca="1" si="15"/>
        <v>-731</v>
      </c>
      <c r="CD20" s="75">
        <f t="shared" ca="1" si="15"/>
        <v>-660</v>
      </c>
      <c r="CE20" s="75">
        <f t="shared" ca="1" si="15"/>
        <v>-728</v>
      </c>
      <c r="CF20" s="75">
        <f t="shared" ca="1" si="15"/>
        <v>-718</v>
      </c>
      <c r="CG20" s="75">
        <f t="shared" ca="1" si="15"/>
        <v>-632</v>
      </c>
      <c r="CH20" s="75">
        <f t="shared" ca="1" si="15"/>
        <v>-621</v>
      </c>
    </row>
    <row r="21" spans="1:86" ht="16" thickBot="1">
      <c r="A21" s="76"/>
      <c r="B21" s="76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  <c r="AP21" s="76"/>
      <c r="AQ21" s="76"/>
      <c r="AR21" s="76"/>
      <c r="AS21" s="76"/>
      <c r="AT21" s="76"/>
      <c r="AU21" s="76"/>
      <c r="AV21" s="76"/>
      <c r="AW21" s="76"/>
      <c r="AX21" s="76"/>
      <c r="AY21" s="76"/>
      <c r="AZ21" s="76"/>
      <c r="BA21" s="76"/>
      <c r="BB21" s="76"/>
      <c r="BC21" s="76"/>
      <c r="BD21" s="76"/>
      <c r="BE21" s="76"/>
      <c r="BF21" s="76"/>
      <c r="BG21" s="76"/>
      <c r="BH21" s="76"/>
      <c r="BI21" s="76"/>
      <c r="BJ21" s="76"/>
      <c r="BK21" s="76"/>
      <c r="BL21" s="76"/>
      <c r="BM21" s="76"/>
      <c r="BN21" s="76"/>
      <c r="BO21" s="76"/>
      <c r="BP21" s="76"/>
      <c r="BQ21" s="76"/>
      <c r="BR21" s="76"/>
      <c r="BS21" s="76"/>
      <c r="BT21" s="76"/>
      <c r="BU21" s="76"/>
      <c r="BV21" s="76"/>
      <c r="BW21" s="76"/>
      <c r="BX21" s="76"/>
      <c r="BY21" s="76"/>
      <c r="BZ21" s="76"/>
      <c r="CA21" s="76"/>
      <c r="CB21" s="76"/>
      <c r="CC21" s="76"/>
      <c r="CD21" s="76"/>
      <c r="CE21" s="76"/>
      <c r="CF21" s="76"/>
      <c r="CG21" s="76"/>
      <c r="CH21" s="76"/>
    </row>
    <row r="22" spans="1:86">
      <c r="A22" s="70" t="s">
        <v>169</v>
      </c>
      <c r="B22" s="77"/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7"/>
      <c r="BE22" s="77"/>
      <c r="BF22" s="77"/>
      <c r="BG22" s="77"/>
      <c r="BH22" s="77"/>
      <c r="BI22" s="77"/>
      <c r="BJ22" s="77"/>
      <c r="BK22" s="77"/>
      <c r="BL22" s="77"/>
      <c r="BM22" s="77"/>
      <c r="BN22" s="77"/>
      <c r="BO22" s="77"/>
      <c r="BP22" s="77"/>
      <c r="BQ22" s="77"/>
      <c r="BR22" s="77"/>
      <c r="BS22" s="77"/>
      <c r="BT22" s="77"/>
      <c r="BU22" s="77"/>
      <c r="BV22" s="77"/>
      <c r="BW22" s="77"/>
      <c r="BX22" s="77"/>
      <c r="BY22" s="77"/>
      <c r="BZ22" s="77"/>
      <c r="CA22" s="77"/>
      <c r="CB22" s="77"/>
      <c r="CC22" s="77"/>
      <c r="CD22" s="77"/>
      <c r="CE22" s="77"/>
      <c r="CF22" s="77"/>
      <c r="CG22" s="77"/>
      <c r="CH22" s="78"/>
    </row>
    <row r="23" spans="1:86">
      <c r="A23" s="6" t="s">
        <v>259</v>
      </c>
      <c r="B23" s="3">
        <v>4356598</v>
      </c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7"/>
    </row>
    <row r="24" spans="1:86">
      <c r="A24" s="6" t="s">
        <v>250</v>
      </c>
      <c r="B24" s="3">
        <v>19.95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7"/>
    </row>
    <row r="25" spans="1:86">
      <c r="A25" s="6" t="s">
        <v>256</v>
      </c>
      <c r="B25" s="3">
        <v>4.6399999999999997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7"/>
    </row>
    <row r="26" spans="1:86">
      <c r="A26" s="6" t="s">
        <v>255</v>
      </c>
      <c r="B26" s="3"/>
      <c r="C26" s="3">
        <v>10</v>
      </c>
      <c r="D26" s="3">
        <v>11</v>
      </c>
      <c r="E26" s="3">
        <v>12</v>
      </c>
      <c r="F26" s="3">
        <v>13</v>
      </c>
      <c r="G26" s="3">
        <v>14</v>
      </c>
      <c r="H26" s="3">
        <v>15</v>
      </c>
      <c r="I26" s="3">
        <v>16</v>
      </c>
      <c r="J26" s="3">
        <v>17</v>
      </c>
      <c r="K26" s="3">
        <v>18</v>
      </c>
      <c r="L26" s="3">
        <v>19</v>
      </c>
      <c r="M26" s="3">
        <v>20</v>
      </c>
      <c r="N26" s="3">
        <v>22</v>
      </c>
      <c r="O26" s="3">
        <v>24</v>
      </c>
      <c r="P26" s="3">
        <v>26</v>
      </c>
      <c r="Q26" s="3">
        <v>28</v>
      </c>
      <c r="R26" s="3">
        <v>30</v>
      </c>
      <c r="S26" s="3">
        <v>33</v>
      </c>
      <c r="T26" s="3">
        <v>36</v>
      </c>
      <c r="U26" s="3">
        <v>39</v>
      </c>
      <c r="V26" s="3">
        <v>42</v>
      </c>
      <c r="W26" s="3">
        <v>46</v>
      </c>
      <c r="X26" s="3">
        <v>50</v>
      </c>
      <c r="Y26" s="3">
        <v>55</v>
      </c>
      <c r="Z26" s="3">
        <v>60</v>
      </c>
      <c r="AA26" s="3">
        <v>66</v>
      </c>
      <c r="AB26" s="3">
        <v>72</v>
      </c>
      <c r="AC26" s="3">
        <v>79</v>
      </c>
      <c r="AD26" s="3">
        <v>86</v>
      </c>
      <c r="AE26" s="3">
        <v>94</v>
      </c>
      <c r="AF26" s="3">
        <v>103</v>
      </c>
      <c r="AG26" s="3">
        <v>113</v>
      </c>
      <c r="AH26" s="3">
        <v>124</v>
      </c>
      <c r="AI26" s="3">
        <v>136</v>
      </c>
      <c r="AJ26" s="3">
        <v>149</v>
      </c>
      <c r="AK26" s="3">
        <v>163</v>
      </c>
      <c r="AL26" s="3">
        <v>179</v>
      </c>
      <c r="AM26" s="3">
        <v>196</v>
      </c>
      <c r="AN26" s="3">
        <v>215</v>
      </c>
      <c r="AO26" s="3">
        <v>236</v>
      </c>
      <c r="AP26" s="3">
        <v>259</v>
      </c>
      <c r="AQ26" s="3">
        <v>284</v>
      </c>
      <c r="AR26" s="3">
        <v>312</v>
      </c>
      <c r="AS26" s="3">
        <v>343</v>
      </c>
      <c r="AT26" s="3">
        <v>377</v>
      </c>
      <c r="AU26" s="3">
        <v>414</v>
      </c>
      <c r="AV26" s="3">
        <v>455</v>
      </c>
      <c r="AW26" s="3">
        <v>500</v>
      </c>
      <c r="AX26" s="3">
        <v>550</v>
      </c>
      <c r="AY26" s="3">
        <v>605</v>
      </c>
      <c r="AZ26" s="3">
        <v>665</v>
      </c>
      <c r="BA26" s="3">
        <v>675</v>
      </c>
      <c r="BB26" s="3">
        <v>687</v>
      </c>
      <c r="BC26" s="3">
        <v>698</v>
      </c>
      <c r="BD26" s="3">
        <v>714</v>
      </c>
      <c r="BE26" s="3">
        <v>730</v>
      </c>
      <c r="BF26" s="3">
        <v>749</v>
      </c>
      <c r="BG26" s="3">
        <v>735</v>
      </c>
      <c r="BH26" s="3">
        <v>716</v>
      </c>
      <c r="BI26" s="3">
        <v>702</v>
      </c>
      <c r="BJ26" s="3">
        <v>682</v>
      </c>
      <c r="BK26" s="3">
        <v>662</v>
      </c>
      <c r="BL26" s="3">
        <v>643</v>
      </c>
      <c r="BM26" s="3">
        <v>632</v>
      </c>
      <c r="BN26" s="3">
        <v>617</v>
      </c>
      <c r="BO26" s="3">
        <v>600</v>
      </c>
      <c r="BP26" s="3">
        <v>589</v>
      </c>
      <c r="BQ26" s="3">
        <v>569</v>
      </c>
      <c r="BR26" s="3">
        <v>557</v>
      </c>
      <c r="BS26" s="3">
        <v>538</v>
      </c>
      <c r="BT26" s="3">
        <v>521</v>
      </c>
      <c r="BU26" s="3">
        <v>511</v>
      </c>
      <c r="BV26" s="3">
        <v>494</v>
      </c>
      <c r="BW26" s="3">
        <v>482</v>
      </c>
      <c r="BX26" s="3">
        <v>468</v>
      </c>
      <c r="BY26" s="3">
        <v>454</v>
      </c>
      <c r="BZ26" s="3">
        <v>438</v>
      </c>
      <c r="CA26" s="3">
        <v>427</v>
      </c>
      <c r="CB26" s="3">
        <v>410</v>
      </c>
      <c r="CC26" s="3">
        <v>396</v>
      </c>
      <c r="CD26" s="3">
        <v>379</v>
      </c>
      <c r="CE26" s="3">
        <v>361</v>
      </c>
      <c r="CF26" s="3">
        <v>351</v>
      </c>
      <c r="CG26" s="3">
        <v>338</v>
      </c>
      <c r="CH26" s="7">
        <v>322</v>
      </c>
    </row>
    <row r="27" spans="1:86">
      <c r="A27" s="6" t="s">
        <v>254</v>
      </c>
      <c r="B27" s="3">
        <v>450</v>
      </c>
      <c r="C27" s="3">
        <f ca="1">RANDBETWEEN(350, 490)</f>
        <v>368</v>
      </c>
      <c r="D27" s="3">
        <f t="shared" ref="D27:BO27" ca="1" si="16">RANDBETWEEN(350, 490)</f>
        <v>460</v>
      </c>
      <c r="E27" s="3">
        <f t="shared" ca="1" si="16"/>
        <v>477</v>
      </c>
      <c r="F27" s="3">
        <f t="shared" ca="1" si="16"/>
        <v>385</v>
      </c>
      <c r="G27" s="3">
        <f t="shared" ca="1" si="16"/>
        <v>366</v>
      </c>
      <c r="H27" s="3">
        <f t="shared" ca="1" si="16"/>
        <v>464</v>
      </c>
      <c r="I27" s="3">
        <f t="shared" ca="1" si="16"/>
        <v>409</v>
      </c>
      <c r="J27" s="3">
        <f t="shared" ca="1" si="16"/>
        <v>423</v>
      </c>
      <c r="K27" s="3">
        <f t="shared" ca="1" si="16"/>
        <v>432</v>
      </c>
      <c r="L27" s="3">
        <f t="shared" ca="1" si="16"/>
        <v>409</v>
      </c>
      <c r="M27" s="3">
        <f t="shared" ca="1" si="16"/>
        <v>489</v>
      </c>
      <c r="N27" s="3">
        <f t="shared" ca="1" si="16"/>
        <v>432</v>
      </c>
      <c r="O27" s="3">
        <f t="shared" ca="1" si="16"/>
        <v>484</v>
      </c>
      <c r="P27" s="3">
        <f t="shared" ca="1" si="16"/>
        <v>412</v>
      </c>
      <c r="Q27" s="3">
        <f t="shared" ca="1" si="16"/>
        <v>448</v>
      </c>
      <c r="R27" s="3">
        <f t="shared" ca="1" si="16"/>
        <v>446</v>
      </c>
      <c r="S27" s="3">
        <f t="shared" ca="1" si="16"/>
        <v>487</v>
      </c>
      <c r="T27" s="3">
        <f t="shared" ca="1" si="16"/>
        <v>400</v>
      </c>
      <c r="U27" s="3">
        <f t="shared" ca="1" si="16"/>
        <v>486</v>
      </c>
      <c r="V27" s="3">
        <f t="shared" ca="1" si="16"/>
        <v>358</v>
      </c>
      <c r="W27" s="3">
        <f t="shared" ca="1" si="16"/>
        <v>463</v>
      </c>
      <c r="X27" s="3">
        <f t="shared" ca="1" si="16"/>
        <v>356</v>
      </c>
      <c r="Y27" s="3">
        <f t="shared" ca="1" si="16"/>
        <v>353</v>
      </c>
      <c r="Z27" s="3">
        <f t="shared" ca="1" si="16"/>
        <v>360</v>
      </c>
      <c r="AA27" s="3">
        <f t="shared" ca="1" si="16"/>
        <v>460</v>
      </c>
      <c r="AB27" s="3">
        <f t="shared" ca="1" si="16"/>
        <v>354</v>
      </c>
      <c r="AC27" s="3">
        <f t="shared" ca="1" si="16"/>
        <v>350</v>
      </c>
      <c r="AD27" s="3">
        <f t="shared" ca="1" si="16"/>
        <v>354</v>
      </c>
      <c r="AE27" s="3">
        <f t="shared" ca="1" si="16"/>
        <v>469</v>
      </c>
      <c r="AF27" s="3">
        <f t="shared" ca="1" si="16"/>
        <v>477</v>
      </c>
      <c r="AG27" s="3">
        <f t="shared" ca="1" si="16"/>
        <v>466</v>
      </c>
      <c r="AH27" s="3">
        <f t="shared" ca="1" si="16"/>
        <v>436</v>
      </c>
      <c r="AI27" s="3">
        <f t="shared" ca="1" si="16"/>
        <v>368</v>
      </c>
      <c r="AJ27" s="3">
        <f t="shared" ca="1" si="16"/>
        <v>363</v>
      </c>
      <c r="AK27" s="3">
        <f t="shared" ca="1" si="16"/>
        <v>370</v>
      </c>
      <c r="AL27" s="3">
        <f t="shared" ca="1" si="16"/>
        <v>356</v>
      </c>
      <c r="AM27" s="3">
        <f t="shared" ca="1" si="16"/>
        <v>483</v>
      </c>
      <c r="AN27" s="3">
        <f t="shared" ca="1" si="16"/>
        <v>413</v>
      </c>
      <c r="AO27" s="3">
        <f t="shared" ca="1" si="16"/>
        <v>449</v>
      </c>
      <c r="AP27" s="3">
        <f t="shared" ca="1" si="16"/>
        <v>355</v>
      </c>
      <c r="AQ27" s="3">
        <f t="shared" ca="1" si="16"/>
        <v>450</v>
      </c>
      <c r="AR27" s="3">
        <f t="shared" ca="1" si="16"/>
        <v>416</v>
      </c>
      <c r="AS27" s="3">
        <f t="shared" ca="1" si="16"/>
        <v>420</v>
      </c>
      <c r="AT27" s="3">
        <f t="shared" ca="1" si="16"/>
        <v>394</v>
      </c>
      <c r="AU27" s="3">
        <f t="shared" ca="1" si="16"/>
        <v>476</v>
      </c>
      <c r="AV27" s="3">
        <f t="shared" ca="1" si="16"/>
        <v>477</v>
      </c>
      <c r="AW27" s="3">
        <f t="shared" ca="1" si="16"/>
        <v>456</v>
      </c>
      <c r="AX27" s="3">
        <f t="shared" ca="1" si="16"/>
        <v>385</v>
      </c>
      <c r="AY27" s="3">
        <f t="shared" ca="1" si="16"/>
        <v>449</v>
      </c>
      <c r="AZ27" s="3">
        <f t="shared" ca="1" si="16"/>
        <v>470</v>
      </c>
      <c r="BA27" s="3">
        <f t="shared" ca="1" si="16"/>
        <v>352</v>
      </c>
      <c r="BB27" s="3">
        <f t="shared" ca="1" si="16"/>
        <v>380</v>
      </c>
      <c r="BC27" s="3">
        <f t="shared" ca="1" si="16"/>
        <v>442</v>
      </c>
      <c r="BD27" s="3">
        <f t="shared" ca="1" si="16"/>
        <v>383</v>
      </c>
      <c r="BE27" s="3">
        <f t="shared" ca="1" si="16"/>
        <v>425</v>
      </c>
      <c r="BF27" s="3">
        <f t="shared" ca="1" si="16"/>
        <v>435</v>
      </c>
      <c r="BG27" s="3">
        <f t="shared" ca="1" si="16"/>
        <v>455</v>
      </c>
      <c r="BH27" s="3">
        <f t="shared" ca="1" si="16"/>
        <v>434</v>
      </c>
      <c r="BI27" s="3">
        <f t="shared" ca="1" si="16"/>
        <v>370</v>
      </c>
      <c r="BJ27" s="3">
        <f t="shared" ca="1" si="16"/>
        <v>365</v>
      </c>
      <c r="BK27" s="3">
        <f t="shared" ca="1" si="16"/>
        <v>467</v>
      </c>
      <c r="BL27" s="3">
        <f t="shared" ca="1" si="16"/>
        <v>485</v>
      </c>
      <c r="BM27" s="3">
        <f t="shared" ca="1" si="16"/>
        <v>459</v>
      </c>
      <c r="BN27" s="3">
        <f t="shared" ca="1" si="16"/>
        <v>486</v>
      </c>
      <c r="BO27" s="3">
        <f t="shared" ca="1" si="16"/>
        <v>390</v>
      </c>
      <c r="BP27" s="3">
        <f t="shared" ref="BP27:CH27" ca="1" si="17">RANDBETWEEN(350, 490)</f>
        <v>416</v>
      </c>
      <c r="BQ27" s="3">
        <f t="shared" ca="1" si="17"/>
        <v>488</v>
      </c>
      <c r="BR27" s="3">
        <f t="shared" ca="1" si="17"/>
        <v>464</v>
      </c>
      <c r="BS27" s="3">
        <f t="shared" ca="1" si="17"/>
        <v>477</v>
      </c>
      <c r="BT27" s="3">
        <f t="shared" ca="1" si="17"/>
        <v>422</v>
      </c>
      <c r="BU27" s="3">
        <f t="shared" ca="1" si="17"/>
        <v>446</v>
      </c>
      <c r="BV27" s="3">
        <f t="shared" ca="1" si="17"/>
        <v>450</v>
      </c>
      <c r="BW27" s="3">
        <f t="shared" ca="1" si="17"/>
        <v>352</v>
      </c>
      <c r="BX27" s="3">
        <f t="shared" ca="1" si="17"/>
        <v>429</v>
      </c>
      <c r="BY27" s="3">
        <f t="shared" ca="1" si="17"/>
        <v>397</v>
      </c>
      <c r="BZ27" s="3">
        <f t="shared" ca="1" si="17"/>
        <v>411</v>
      </c>
      <c r="CA27" s="3">
        <f t="shared" ca="1" si="17"/>
        <v>379</v>
      </c>
      <c r="CB27" s="3">
        <f t="shared" ca="1" si="17"/>
        <v>361</v>
      </c>
      <c r="CC27" s="3">
        <f t="shared" ca="1" si="17"/>
        <v>373</v>
      </c>
      <c r="CD27" s="3">
        <f t="shared" ca="1" si="17"/>
        <v>440</v>
      </c>
      <c r="CE27" s="3">
        <f t="shared" ca="1" si="17"/>
        <v>453</v>
      </c>
      <c r="CF27" s="3">
        <f t="shared" ca="1" si="17"/>
        <v>447</v>
      </c>
      <c r="CG27" s="3">
        <f t="shared" ca="1" si="17"/>
        <v>441</v>
      </c>
      <c r="CH27" s="7">
        <f t="shared" ca="1" si="17"/>
        <v>458</v>
      </c>
    </row>
    <row r="28" spans="1:86">
      <c r="A28" s="6" t="s">
        <v>253</v>
      </c>
      <c r="B28" s="3">
        <f>B26*$B$24</f>
        <v>0</v>
      </c>
      <c r="C28" s="3">
        <f>C26*$B$24-C23</f>
        <v>199.5</v>
      </c>
      <c r="D28" s="3">
        <f t="shared" ref="D28:BO28" si="18">D26*$B$24-D23</f>
        <v>219.45</v>
      </c>
      <c r="E28" s="3">
        <f t="shared" si="18"/>
        <v>239.39999999999998</v>
      </c>
      <c r="F28" s="3">
        <f t="shared" si="18"/>
        <v>259.34999999999997</v>
      </c>
      <c r="G28" s="3">
        <f t="shared" si="18"/>
        <v>279.3</v>
      </c>
      <c r="H28" s="3">
        <f t="shared" si="18"/>
        <v>299.25</v>
      </c>
      <c r="I28" s="3">
        <f t="shared" si="18"/>
        <v>319.2</v>
      </c>
      <c r="J28" s="3">
        <f t="shared" si="18"/>
        <v>339.15</v>
      </c>
      <c r="K28" s="3">
        <f t="shared" si="18"/>
        <v>359.09999999999997</v>
      </c>
      <c r="L28" s="3">
        <f t="shared" si="18"/>
        <v>379.05</v>
      </c>
      <c r="M28" s="3">
        <f t="shared" si="18"/>
        <v>399</v>
      </c>
      <c r="N28" s="3">
        <f t="shared" si="18"/>
        <v>438.9</v>
      </c>
      <c r="O28" s="3">
        <f t="shared" si="18"/>
        <v>478.79999999999995</v>
      </c>
      <c r="P28" s="3">
        <f t="shared" si="18"/>
        <v>518.69999999999993</v>
      </c>
      <c r="Q28" s="3">
        <f t="shared" si="18"/>
        <v>558.6</v>
      </c>
      <c r="R28" s="3">
        <f t="shared" si="18"/>
        <v>598.5</v>
      </c>
      <c r="S28" s="3">
        <f t="shared" si="18"/>
        <v>658.35</v>
      </c>
      <c r="T28" s="3">
        <f t="shared" si="18"/>
        <v>718.19999999999993</v>
      </c>
      <c r="U28" s="3">
        <f t="shared" si="18"/>
        <v>778.05</v>
      </c>
      <c r="V28" s="3">
        <f t="shared" si="18"/>
        <v>837.9</v>
      </c>
      <c r="W28" s="3">
        <f t="shared" si="18"/>
        <v>917.69999999999993</v>
      </c>
      <c r="X28" s="3">
        <f t="shared" si="18"/>
        <v>997.5</v>
      </c>
      <c r="Y28" s="3">
        <f t="shared" si="18"/>
        <v>1097.25</v>
      </c>
      <c r="Z28" s="3">
        <f t="shared" si="18"/>
        <v>1197</v>
      </c>
      <c r="AA28" s="3">
        <f t="shared" si="18"/>
        <v>1316.7</v>
      </c>
      <c r="AB28" s="3">
        <f t="shared" si="18"/>
        <v>1436.3999999999999</v>
      </c>
      <c r="AC28" s="3">
        <f t="shared" si="18"/>
        <v>1576.05</v>
      </c>
      <c r="AD28" s="3">
        <f t="shared" si="18"/>
        <v>1715.7</v>
      </c>
      <c r="AE28" s="3">
        <f t="shared" si="18"/>
        <v>1875.3</v>
      </c>
      <c r="AF28" s="3">
        <f t="shared" si="18"/>
        <v>2054.85</v>
      </c>
      <c r="AG28" s="3">
        <f t="shared" si="18"/>
        <v>2254.35</v>
      </c>
      <c r="AH28" s="3">
        <f t="shared" si="18"/>
        <v>2473.7999999999997</v>
      </c>
      <c r="AI28" s="3">
        <f t="shared" si="18"/>
        <v>2713.2</v>
      </c>
      <c r="AJ28" s="3">
        <f t="shared" si="18"/>
        <v>2972.5499999999997</v>
      </c>
      <c r="AK28" s="3">
        <f t="shared" si="18"/>
        <v>3251.85</v>
      </c>
      <c r="AL28" s="3">
        <f t="shared" si="18"/>
        <v>3571.0499999999997</v>
      </c>
      <c r="AM28" s="3">
        <f t="shared" si="18"/>
        <v>3910.2</v>
      </c>
      <c r="AN28" s="3">
        <f t="shared" si="18"/>
        <v>4289.25</v>
      </c>
      <c r="AO28" s="3">
        <f t="shared" si="18"/>
        <v>4708.2</v>
      </c>
      <c r="AP28" s="3">
        <f t="shared" si="18"/>
        <v>5167.05</v>
      </c>
      <c r="AQ28" s="3">
        <f t="shared" si="18"/>
        <v>5665.8</v>
      </c>
      <c r="AR28" s="3">
        <f t="shared" si="18"/>
        <v>6224.4</v>
      </c>
      <c r="AS28" s="3">
        <f t="shared" si="18"/>
        <v>6842.8499999999995</v>
      </c>
      <c r="AT28" s="3">
        <f t="shared" si="18"/>
        <v>7521.15</v>
      </c>
      <c r="AU28" s="3">
        <f t="shared" si="18"/>
        <v>8259.2999999999993</v>
      </c>
      <c r="AV28" s="3">
        <f t="shared" si="18"/>
        <v>9077.25</v>
      </c>
      <c r="AW28" s="3">
        <f t="shared" si="18"/>
        <v>9975</v>
      </c>
      <c r="AX28" s="3">
        <f t="shared" si="18"/>
        <v>10972.5</v>
      </c>
      <c r="AY28" s="3">
        <f t="shared" si="18"/>
        <v>12069.75</v>
      </c>
      <c r="AZ28" s="3">
        <f t="shared" si="18"/>
        <v>13266.75</v>
      </c>
      <c r="BA28" s="3">
        <f t="shared" si="18"/>
        <v>13466.25</v>
      </c>
      <c r="BB28" s="3">
        <f t="shared" si="18"/>
        <v>13705.65</v>
      </c>
      <c r="BC28" s="3">
        <f t="shared" si="18"/>
        <v>13925.1</v>
      </c>
      <c r="BD28" s="3">
        <f t="shared" si="18"/>
        <v>14244.3</v>
      </c>
      <c r="BE28" s="3">
        <f t="shared" si="18"/>
        <v>14563.5</v>
      </c>
      <c r="BF28" s="3">
        <f t="shared" si="18"/>
        <v>14942.55</v>
      </c>
      <c r="BG28" s="3">
        <f t="shared" si="18"/>
        <v>14663.25</v>
      </c>
      <c r="BH28" s="3">
        <f t="shared" si="18"/>
        <v>14284.199999999999</v>
      </c>
      <c r="BI28" s="3">
        <f t="shared" si="18"/>
        <v>14004.9</v>
      </c>
      <c r="BJ28" s="3">
        <f t="shared" si="18"/>
        <v>13605.9</v>
      </c>
      <c r="BK28" s="3">
        <f t="shared" si="18"/>
        <v>13206.9</v>
      </c>
      <c r="BL28" s="3">
        <f t="shared" si="18"/>
        <v>12827.85</v>
      </c>
      <c r="BM28" s="3">
        <f t="shared" si="18"/>
        <v>12608.4</v>
      </c>
      <c r="BN28" s="3">
        <f t="shared" si="18"/>
        <v>12309.15</v>
      </c>
      <c r="BO28" s="3">
        <f t="shared" si="18"/>
        <v>11970</v>
      </c>
      <c r="BP28" s="3">
        <f t="shared" ref="BP28:CH28" si="19">BP26*$B$24-BP23</f>
        <v>11750.55</v>
      </c>
      <c r="BQ28" s="3">
        <f t="shared" si="19"/>
        <v>11351.55</v>
      </c>
      <c r="BR28" s="3">
        <f t="shared" si="19"/>
        <v>11112.15</v>
      </c>
      <c r="BS28" s="3">
        <f t="shared" si="19"/>
        <v>10733.1</v>
      </c>
      <c r="BT28" s="3">
        <f t="shared" si="19"/>
        <v>10393.949999999999</v>
      </c>
      <c r="BU28" s="3">
        <f t="shared" si="19"/>
        <v>10194.449999999999</v>
      </c>
      <c r="BV28" s="3">
        <f t="shared" si="19"/>
        <v>9855.2999999999993</v>
      </c>
      <c r="BW28" s="3">
        <f t="shared" si="19"/>
        <v>9615.9</v>
      </c>
      <c r="BX28" s="3">
        <f t="shared" si="19"/>
        <v>9336.6</v>
      </c>
      <c r="BY28" s="3">
        <f t="shared" si="19"/>
        <v>9057.2999999999993</v>
      </c>
      <c r="BZ28" s="3">
        <f t="shared" si="19"/>
        <v>8738.1</v>
      </c>
      <c r="CA28" s="3">
        <f t="shared" si="19"/>
        <v>8518.65</v>
      </c>
      <c r="CB28" s="3">
        <f t="shared" si="19"/>
        <v>8179.5</v>
      </c>
      <c r="CC28" s="3">
        <f t="shared" si="19"/>
        <v>7900.2</v>
      </c>
      <c r="CD28" s="3">
        <f t="shared" si="19"/>
        <v>7561.05</v>
      </c>
      <c r="CE28" s="3">
        <f t="shared" si="19"/>
        <v>7201.95</v>
      </c>
      <c r="CF28" s="3">
        <f t="shared" si="19"/>
        <v>7002.45</v>
      </c>
      <c r="CG28" s="3">
        <f t="shared" si="19"/>
        <v>6743.0999999999995</v>
      </c>
      <c r="CH28" s="3">
        <f t="shared" si="19"/>
        <v>6423.9</v>
      </c>
    </row>
    <row r="29" spans="1:86">
      <c r="A29" s="6" t="s">
        <v>252</v>
      </c>
      <c r="B29" s="3">
        <f>B28</f>
        <v>0</v>
      </c>
      <c r="C29" s="3">
        <f>C28+B29</f>
        <v>199.5</v>
      </c>
      <c r="D29" s="3">
        <f t="shared" ref="D29:BO29" si="20">D28+C29</f>
        <v>418.95</v>
      </c>
      <c r="E29" s="3">
        <f t="shared" si="20"/>
        <v>658.34999999999991</v>
      </c>
      <c r="F29" s="3">
        <f t="shared" si="20"/>
        <v>917.69999999999982</v>
      </c>
      <c r="G29" s="3">
        <f t="shared" si="20"/>
        <v>1196.9999999999998</v>
      </c>
      <c r="H29" s="3">
        <f t="shared" si="20"/>
        <v>1496.2499999999998</v>
      </c>
      <c r="I29" s="3">
        <f t="shared" si="20"/>
        <v>1815.4499999999998</v>
      </c>
      <c r="J29" s="3">
        <f t="shared" si="20"/>
        <v>2154.6</v>
      </c>
      <c r="K29" s="3">
        <f t="shared" si="20"/>
        <v>2513.6999999999998</v>
      </c>
      <c r="L29" s="3">
        <f t="shared" si="20"/>
        <v>2892.75</v>
      </c>
      <c r="M29" s="3">
        <f t="shared" si="20"/>
        <v>3291.75</v>
      </c>
      <c r="N29" s="3">
        <f t="shared" si="20"/>
        <v>3730.65</v>
      </c>
      <c r="O29" s="3">
        <f t="shared" si="20"/>
        <v>4209.45</v>
      </c>
      <c r="P29" s="3">
        <f t="shared" si="20"/>
        <v>4728.1499999999996</v>
      </c>
      <c r="Q29" s="3">
        <f t="shared" si="20"/>
        <v>5286.75</v>
      </c>
      <c r="R29" s="3">
        <f t="shared" si="20"/>
        <v>5885.25</v>
      </c>
      <c r="S29" s="3">
        <f t="shared" si="20"/>
        <v>6543.6</v>
      </c>
      <c r="T29" s="3">
        <f t="shared" si="20"/>
        <v>7261.8</v>
      </c>
      <c r="U29" s="3">
        <f t="shared" si="20"/>
        <v>8039.85</v>
      </c>
      <c r="V29" s="3">
        <f t="shared" si="20"/>
        <v>8877.75</v>
      </c>
      <c r="W29" s="3">
        <f t="shared" si="20"/>
        <v>9795.4500000000007</v>
      </c>
      <c r="X29" s="3">
        <f t="shared" si="20"/>
        <v>10792.95</v>
      </c>
      <c r="Y29" s="3">
        <f t="shared" si="20"/>
        <v>11890.2</v>
      </c>
      <c r="Z29" s="3">
        <f t="shared" si="20"/>
        <v>13087.2</v>
      </c>
      <c r="AA29" s="3">
        <f t="shared" si="20"/>
        <v>14403.900000000001</v>
      </c>
      <c r="AB29" s="3">
        <f t="shared" si="20"/>
        <v>15840.300000000001</v>
      </c>
      <c r="AC29" s="3">
        <f t="shared" si="20"/>
        <v>17416.350000000002</v>
      </c>
      <c r="AD29" s="3">
        <f t="shared" si="20"/>
        <v>19132.050000000003</v>
      </c>
      <c r="AE29" s="3">
        <f t="shared" si="20"/>
        <v>21007.350000000002</v>
      </c>
      <c r="AF29" s="3">
        <f t="shared" si="20"/>
        <v>23062.2</v>
      </c>
      <c r="AG29" s="3">
        <f t="shared" si="20"/>
        <v>25316.55</v>
      </c>
      <c r="AH29" s="3">
        <f t="shared" si="20"/>
        <v>27790.35</v>
      </c>
      <c r="AI29" s="3">
        <f t="shared" si="20"/>
        <v>30503.55</v>
      </c>
      <c r="AJ29" s="3">
        <f t="shared" si="20"/>
        <v>33476.1</v>
      </c>
      <c r="AK29" s="3">
        <f t="shared" si="20"/>
        <v>36727.949999999997</v>
      </c>
      <c r="AL29" s="3">
        <f t="shared" si="20"/>
        <v>40299</v>
      </c>
      <c r="AM29" s="3">
        <f t="shared" si="20"/>
        <v>44209.2</v>
      </c>
      <c r="AN29" s="3">
        <f t="shared" si="20"/>
        <v>48498.45</v>
      </c>
      <c r="AO29" s="3">
        <f t="shared" si="20"/>
        <v>53206.649999999994</v>
      </c>
      <c r="AP29" s="3">
        <f t="shared" si="20"/>
        <v>58373.7</v>
      </c>
      <c r="AQ29" s="3">
        <f t="shared" si="20"/>
        <v>64039.5</v>
      </c>
      <c r="AR29" s="3">
        <f t="shared" si="20"/>
        <v>70263.899999999994</v>
      </c>
      <c r="AS29" s="3">
        <f t="shared" si="20"/>
        <v>77106.75</v>
      </c>
      <c r="AT29" s="3">
        <f t="shared" si="20"/>
        <v>84627.9</v>
      </c>
      <c r="AU29" s="3">
        <f t="shared" si="20"/>
        <v>92887.2</v>
      </c>
      <c r="AV29" s="3">
        <f t="shared" si="20"/>
        <v>101964.45</v>
      </c>
      <c r="AW29" s="3">
        <f t="shared" si="20"/>
        <v>111939.45</v>
      </c>
      <c r="AX29" s="3">
        <f t="shared" si="20"/>
        <v>122911.95</v>
      </c>
      <c r="AY29" s="3">
        <f t="shared" si="20"/>
        <v>134981.70000000001</v>
      </c>
      <c r="AZ29" s="3">
        <f t="shared" si="20"/>
        <v>148248.45000000001</v>
      </c>
      <c r="BA29" s="3">
        <f t="shared" si="20"/>
        <v>161714.70000000001</v>
      </c>
      <c r="BB29" s="3">
        <f t="shared" si="20"/>
        <v>175420.35</v>
      </c>
      <c r="BC29" s="3">
        <f t="shared" si="20"/>
        <v>189345.45</v>
      </c>
      <c r="BD29" s="3">
        <f t="shared" si="20"/>
        <v>203589.75</v>
      </c>
      <c r="BE29" s="3">
        <f t="shared" si="20"/>
        <v>218153.25</v>
      </c>
      <c r="BF29" s="3">
        <f t="shared" si="20"/>
        <v>233095.8</v>
      </c>
      <c r="BG29" s="3">
        <f t="shared" si="20"/>
        <v>247759.05</v>
      </c>
      <c r="BH29" s="3">
        <f t="shared" si="20"/>
        <v>262043.25</v>
      </c>
      <c r="BI29" s="3">
        <f t="shared" si="20"/>
        <v>276048.15000000002</v>
      </c>
      <c r="BJ29" s="3">
        <f t="shared" si="20"/>
        <v>289654.05000000005</v>
      </c>
      <c r="BK29" s="3">
        <f t="shared" si="20"/>
        <v>302860.95000000007</v>
      </c>
      <c r="BL29" s="3">
        <f t="shared" si="20"/>
        <v>315688.80000000005</v>
      </c>
      <c r="BM29" s="3">
        <f t="shared" si="20"/>
        <v>328297.20000000007</v>
      </c>
      <c r="BN29" s="3">
        <f t="shared" si="20"/>
        <v>340606.35000000009</v>
      </c>
      <c r="BO29" s="3">
        <f t="shared" si="20"/>
        <v>352576.35000000009</v>
      </c>
      <c r="BP29" s="3">
        <f t="shared" ref="BP29:CH29" si="21">BP28+BO29</f>
        <v>364326.90000000008</v>
      </c>
      <c r="BQ29" s="3">
        <f t="shared" si="21"/>
        <v>375678.45000000007</v>
      </c>
      <c r="BR29" s="3">
        <f t="shared" si="21"/>
        <v>386790.60000000009</v>
      </c>
      <c r="BS29" s="3">
        <f t="shared" si="21"/>
        <v>397523.70000000007</v>
      </c>
      <c r="BT29" s="3">
        <f t="shared" si="21"/>
        <v>407917.65000000008</v>
      </c>
      <c r="BU29" s="3">
        <f t="shared" si="21"/>
        <v>418112.10000000009</v>
      </c>
      <c r="BV29" s="3">
        <f t="shared" si="21"/>
        <v>427967.40000000008</v>
      </c>
      <c r="BW29" s="3">
        <f t="shared" si="21"/>
        <v>437583.3000000001</v>
      </c>
      <c r="BX29" s="3">
        <f t="shared" si="21"/>
        <v>446919.90000000008</v>
      </c>
      <c r="BY29" s="3">
        <f t="shared" si="21"/>
        <v>455977.20000000007</v>
      </c>
      <c r="BZ29" s="3">
        <f t="shared" si="21"/>
        <v>464715.30000000005</v>
      </c>
      <c r="CA29" s="3">
        <f t="shared" si="21"/>
        <v>473233.95000000007</v>
      </c>
      <c r="CB29" s="3">
        <f t="shared" si="21"/>
        <v>481413.45000000007</v>
      </c>
      <c r="CC29" s="3">
        <f t="shared" si="21"/>
        <v>489313.65000000008</v>
      </c>
      <c r="CD29" s="3">
        <f t="shared" si="21"/>
        <v>496874.70000000007</v>
      </c>
      <c r="CE29" s="3">
        <f t="shared" si="21"/>
        <v>504076.65000000008</v>
      </c>
      <c r="CF29" s="3">
        <f t="shared" si="21"/>
        <v>511079.10000000009</v>
      </c>
      <c r="CG29" s="3">
        <f t="shared" si="21"/>
        <v>517822.20000000007</v>
      </c>
      <c r="CH29" s="3">
        <f t="shared" si="21"/>
        <v>524246.10000000009</v>
      </c>
    </row>
    <row r="30" spans="1:86" ht="16" thickBot="1">
      <c r="A30" s="74" t="s">
        <v>251</v>
      </c>
      <c r="B30" s="75">
        <f>B28-(B26*B25)-B27-B23</f>
        <v>-4357048</v>
      </c>
      <c r="C30" s="75">
        <f ca="1">C28-(C26*$B$25)-C27</f>
        <v>-214.9</v>
      </c>
      <c r="D30" s="75">
        <f t="shared" ref="D30:BO30" ca="1" si="22">D28-(D26*$B$25)-D27</f>
        <v>-291.59000000000003</v>
      </c>
      <c r="E30" s="75">
        <f t="shared" ca="1" si="22"/>
        <v>-293.28000000000003</v>
      </c>
      <c r="F30" s="75">
        <f t="shared" ca="1" si="22"/>
        <v>-185.97000000000003</v>
      </c>
      <c r="G30" s="75">
        <f t="shared" ca="1" si="22"/>
        <v>-151.65999999999997</v>
      </c>
      <c r="H30" s="75">
        <f t="shared" ca="1" si="22"/>
        <v>-234.35</v>
      </c>
      <c r="I30" s="75">
        <f t="shared" ca="1" si="22"/>
        <v>-164.04000000000002</v>
      </c>
      <c r="J30" s="75">
        <f t="shared" ca="1" si="22"/>
        <v>-162.73000000000002</v>
      </c>
      <c r="K30" s="75">
        <f t="shared" ca="1" si="22"/>
        <v>-156.42000000000002</v>
      </c>
      <c r="L30" s="75">
        <f t="shared" ca="1" si="22"/>
        <v>-118.11000000000001</v>
      </c>
      <c r="M30" s="75">
        <f t="shared" ca="1" si="22"/>
        <v>-182.8</v>
      </c>
      <c r="N30" s="75">
        <f t="shared" ca="1" si="22"/>
        <v>-95.18</v>
      </c>
      <c r="O30" s="75">
        <f t="shared" ca="1" si="22"/>
        <v>-116.56000000000006</v>
      </c>
      <c r="P30" s="75">
        <f t="shared" ca="1" si="22"/>
        <v>-13.940000000000055</v>
      </c>
      <c r="Q30" s="75">
        <f t="shared" ca="1" si="22"/>
        <v>-19.319999999999936</v>
      </c>
      <c r="R30" s="75">
        <f t="shared" ca="1" si="22"/>
        <v>13.300000000000011</v>
      </c>
      <c r="S30" s="75">
        <f t="shared" ca="1" si="22"/>
        <v>18.230000000000018</v>
      </c>
      <c r="T30" s="75">
        <f t="shared" ca="1" si="22"/>
        <v>151.15999999999997</v>
      </c>
      <c r="U30" s="75">
        <f t="shared" ca="1" si="22"/>
        <v>111.08999999999992</v>
      </c>
      <c r="V30" s="75">
        <f t="shared" ca="1" si="22"/>
        <v>285.02</v>
      </c>
      <c r="W30" s="75">
        <f t="shared" ca="1" si="22"/>
        <v>241.26</v>
      </c>
      <c r="X30" s="75">
        <f t="shared" ca="1" si="22"/>
        <v>409.5</v>
      </c>
      <c r="Y30" s="75">
        <f t="shared" ca="1" si="22"/>
        <v>489.04999999999995</v>
      </c>
      <c r="Z30" s="75">
        <f t="shared" ca="1" si="22"/>
        <v>558.6</v>
      </c>
      <c r="AA30" s="75">
        <f t="shared" ca="1" si="22"/>
        <v>550.46</v>
      </c>
      <c r="AB30" s="75">
        <f t="shared" ca="1" si="22"/>
        <v>748.31999999999994</v>
      </c>
      <c r="AC30" s="75">
        <f t="shared" ca="1" si="22"/>
        <v>859.49</v>
      </c>
      <c r="AD30" s="75">
        <f t="shared" ca="1" si="22"/>
        <v>962.66000000000008</v>
      </c>
      <c r="AE30" s="75">
        <f t="shared" ca="1" si="22"/>
        <v>970.13999999999987</v>
      </c>
      <c r="AF30" s="75">
        <f t="shared" ca="1" si="22"/>
        <v>1099.9299999999998</v>
      </c>
      <c r="AG30" s="75">
        <f t="shared" ca="1" si="22"/>
        <v>1264.03</v>
      </c>
      <c r="AH30" s="75">
        <f t="shared" ca="1" si="22"/>
        <v>1462.4399999999996</v>
      </c>
      <c r="AI30" s="75">
        <f t="shared" ca="1" si="22"/>
        <v>1714.1599999999999</v>
      </c>
      <c r="AJ30" s="75">
        <f t="shared" ca="1" si="22"/>
        <v>1918.1899999999996</v>
      </c>
      <c r="AK30" s="75">
        <f t="shared" ca="1" si="22"/>
        <v>2125.5299999999997</v>
      </c>
      <c r="AL30" s="75">
        <f t="shared" ca="1" si="22"/>
        <v>2384.4899999999998</v>
      </c>
      <c r="AM30" s="75">
        <f t="shared" ca="1" si="22"/>
        <v>2517.7599999999998</v>
      </c>
      <c r="AN30" s="75">
        <f t="shared" ca="1" si="22"/>
        <v>2878.65</v>
      </c>
      <c r="AO30" s="75">
        <f t="shared" ca="1" si="22"/>
        <v>3164.16</v>
      </c>
      <c r="AP30" s="75">
        <f t="shared" ca="1" si="22"/>
        <v>3610.29</v>
      </c>
      <c r="AQ30" s="75">
        <f t="shared" ca="1" si="22"/>
        <v>3898.04</v>
      </c>
      <c r="AR30" s="75">
        <f t="shared" ca="1" si="22"/>
        <v>4360.7199999999993</v>
      </c>
      <c r="AS30" s="75">
        <f t="shared" ca="1" si="22"/>
        <v>4831.33</v>
      </c>
      <c r="AT30" s="75">
        <f t="shared" ca="1" si="22"/>
        <v>5377.87</v>
      </c>
      <c r="AU30" s="75">
        <f t="shared" ca="1" si="22"/>
        <v>5862.3399999999992</v>
      </c>
      <c r="AV30" s="75">
        <f t="shared" ca="1" si="22"/>
        <v>6489.05</v>
      </c>
      <c r="AW30" s="75">
        <f t="shared" ca="1" si="22"/>
        <v>7199</v>
      </c>
      <c r="AX30" s="75">
        <f t="shared" ca="1" si="22"/>
        <v>8035.5</v>
      </c>
      <c r="AY30" s="75">
        <f t="shared" ca="1" si="22"/>
        <v>8813.5499999999993</v>
      </c>
      <c r="AZ30" s="75">
        <f t="shared" ca="1" si="22"/>
        <v>9711.15</v>
      </c>
      <c r="BA30" s="75">
        <f t="shared" ca="1" si="22"/>
        <v>9982.25</v>
      </c>
      <c r="BB30" s="75">
        <f t="shared" ca="1" si="22"/>
        <v>10137.969999999999</v>
      </c>
      <c r="BC30" s="75">
        <f t="shared" ca="1" si="22"/>
        <v>10244.380000000001</v>
      </c>
      <c r="BD30" s="75">
        <f t="shared" ca="1" si="22"/>
        <v>10548.34</v>
      </c>
      <c r="BE30" s="75">
        <f t="shared" ca="1" si="22"/>
        <v>10751.3</v>
      </c>
      <c r="BF30" s="75">
        <f t="shared" ca="1" si="22"/>
        <v>11032.189999999999</v>
      </c>
      <c r="BG30" s="75">
        <f t="shared" ca="1" si="22"/>
        <v>10797.85</v>
      </c>
      <c r="BH30" s="75">
        <f t="shared" ca="1" si="22"/>
        <v>10527.96</v>
      </c>
      <c r="BI30" s="75">
        <f t="shared" ca="1" si="22"/>
        <v>10377.619999999999</v>
      </c>
      <c r="BJ30" s="75">
        <f t="shared" ca="1" si="22"/>
        <v>10076.42</v>
      </c>
      <c r="BK30" s="75">
        <f t="shared" ca="1" si="22"/>
        <v>9668.2199999999993</v>
      </c>
      <c r="BL30" s="75">
        <f t="shared" ca="1" si="22"/>
        <v>9359.33</v>
      </c>
      <c r="BM30" s="75">
        <f t="shared" ca="1" si="22"/>
        <v>9216.92</v>
      </c>
      <c r="BN30" s="75">
        <f t="shared" ca="1" si="22"/>
        <v>8960.27</v>
      </c>
      <c r="BO30" s="75">
        <f t="shared" ca="1" si="22"/>
        <v>8796</v>
      </c>
      <c r="BP30" s="75">
        <f t="shared" ref="BP30:CH30" ca="1" si="23">BP28-(BP26*$B$25)-BP27</f>
        <v>8601.59</v>
      </c>
      <c r="BQ30" s="75">
        <f t="shared" ca="1" si="23"/>
        <v>8223.39</v>
      </c>
      <c r="BR30" s="75">
        <f t="shared" ca="1" si="23"/>
        <v>8063.67</v>
      </c>
      <c r="BS30" s="75">
        <f t="shared" ca="1" si="23"/>
        <v>7759.7800000000007</v>
      </c>
      <c r="BT30" s="75">
        <f t="shared" ca="1" si="23"/>
        <v>7554.5099999999984</v>
      </c>
      <c r="BU30" s="75">
        <f t="shared" ca="1" si="23"/>
        <v>7377.4099999999989</v>
      </c>
      <c r="BV30" s="75">
        <f t="shared" ca="1" si="23"/>
        <v>7113.1399999999994</v>
      </c>
      <c r="BW30" s="75">
        <f t="shared" ca="1" si="23"/>
        <v>7027.42</v>
      </c>
      <c r="BX30" s="75">
        <f t="shared" ca="1" si="23"/>
        <v>6736.08</v>
      </c>
      <c r="BY30" s="75">
        <f t="shared" ca="1" si="23"/>
        <v>6553.74</v>
      </c>
      <c r="BZ30" s="75">
        <f t="shared" ca="1" si="23"/>
        <v>6294.7800000000007</v>
      </c>
      <c r="CA30" s="75">
        <f t="shared" ca="1" si="23"/>
        <v>6158.37</v>
      </c>
      <c r="CB30" s="75">
        <f t="shared" ca="1" si="23"/>
        <v>5916.1</v>
      </c>
      <c r="CC30" s="75">
        <f t="shared" ca="1" si="23"/>
        <v>5689.76</v>
      </c>
      <c r="CD30" s="75">
        <f t="shared" ca="1" si="23"/>
        <v>5362.49</v>
      </c>
      <c r="CE30" s="75">
        <f t="shared" ca="1" si="23"/>
        <v>5073.91</v>
      </c>
      <c r="CF30" s="75">
        <f t="shared" ca="1" si="23"/>
        <v>4926.8099999999995</v>
      </c>
      <c r="CG30" s="75">
        <f t="shared" ca="1" si="23"/>
        <v>4733.78</v>
      </c>
      <c r="CH30" s="75">
        <f t="shared" ca="1" si="23"/>
        <v>4471.82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A1C12-0366-1646-9087-620BBDCC57C7}">
  <sheetPr codeName="Sheet5"/>
  <dimension ref="A1:K22"/>
  <sheetViews>
    <sheetView zoomScale="150" zoomScaleNormal="90" workbookViewId="0">
      <selection activeCell="A3" sqref="A3:A18"/>
    </sheetView>
  </sheetViews>
  <sheetFormatPr defaultColWidth="10.83203125" defaultRowHeight="15.5"/>
  <cols>
    <col min="1" max="1" width="22.1640625" style="25" customWidth="1"/>
    <col min="2" max="11" width="21.33203125" style="25" customWidth="1"/>
    <col min="12" max="16384" width="10.83203125" style="25"/>
  </cols>
  <sheetData>
    <row r="1" spans="1:11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1">
      <c r="A2" s="24"/>
      <c r="B2" s="26" t="str">
        <f>A3</f>
        <v>Style</v>
      </c>
      <c r="C2" s="26" t="str">
        <f>A4</f>
        <v>Lightweight</v>
      </c>
      <c r="D2" s="26" t="str">
        <f>A5</f>
        <v>Durable</v>
      </c>
      <c r="E2" s="26" t="str">
        <f>A6</f>
        <v>Simple locking system</v>
      </c>
      <c r="F2" s="26" t="str">
        <f>A7</f>
        <v>Short charging time</v>
      </c>
      <c r="G2" s="26" t="str">
        <f>A8</f>
        <v>Easy-to-replace parts</v>
      </c>
      <c r="H2" s="26" t="s">
        <v>170</v>
      </c>
      <c r="I2" s="26" t="s">
        <v>171</v>
      </c>
      <c r="J2" s="26" t="s">
        <v>172</v>
      </c>
      <c r="K2" s="26" t="s">
        <v>173</v>
      </c>
    </row>
    <row r="3" spans="1:11">
      <c r="A3" s="26" t="s">
        <v>174</v>
      </c>
      <c r="B3" s="27"/>
      <c r="C3" s="28">
        <f t="array" ref="C3:G3">TRANSPOSE(B4:B8)*(-1)</f>
        <v>3</v>
      </c>
      <c r="D3" s="28">
        <v>0</v>
      </c>
      <c r="E3" s="28">
        <v>3</v>
      </c>
      <c r="F3" s="28">
        <v>-1</v>
      </c>
      <c r="G3" s="28">
        <v>0</v>
      </c>
      <c r="H3" s="29" t="s">
        <v>170</v>
      </c>
      <c r="I3" s="28">
        <f t="shared" ref="I3:I8" si="0">SUM(B3:G3)</f>
        <v>5</v>
      </c>
      <c r="J3" s="28" cm="1">
        <f t="array" ref="J3">I3+ROUNDUP(MAX(ABS($I$3:$I$8)), -1)</f>
        <v>15</v>
      </c>
      <c r="K3" s="30">
        <f t="shared" ref="K3:K8" si="1">J3/SUM($J$3:$J$8)</f>
        <v>0.25</v>
      </c>
    </row>
    <row r="4" spans="1:11">
      <c r="A4" s="26" t="s">
        <v>175</v>
      </c>
      <c r="B4" s="28">
        <v>-3</v>
      </c>
      <c r="C4" s="27"/>
      <c r="D4" s="28">
        <f t="array" ref="D4:G4">TRANSPOSE(C5:C8)*(-1)</f>
        <v>-1</v>
      </c>
      <c r="E4" s="28">
        <v>0</v>
      </c>
      <c r="F4" s="28">
        <v>-1</v>
      </c>
      <c r="G4" s="31">
        <v>0</v>
      </c>
      <c r="H4" s="32" t="s">
        <v>170</v>
      </c>
      <c r="I4" s="28">
        <f t="shared" si="0"/>
        <v>-5</v>
      </c>
      <c r="J4" s="28" cm="1">
        <f t="array" ref="J4">I4+ROUNDUP(MAX(ABS($I$3:$I$8)), -1)</f>
        <v>5</v>
      </c>
      <c r="K4" s="30">
        <f t="shared" si="1"/>
        <v>8.3333333333333329E-2</v>
      </c>
    </row>
    <row r="5" spans="1:11">
      <c r="A5" s="26" t="s">
        <v>176</v>
      </c>
      <c r="B5" s="28">
        <v>0</v>
      </c>
      <c r="C5" s="28">
        <v>1</v>
      </c>
      <c r="D5" s="27"/>
      <c r="E5" s="28">
        <f t="array" ref="E5:G5">TRANSPOSE(D6:D8)*(-1)</f>
        <v>1</v>
      </c>
      <c r="F5" s="28">
        <v>0</v>
      </c>
      <c r="G5" s="31">
        <v>-1</v>
      </c>
      <c r="H5" s="32" t="s">
        <v>170</v>
      </c>
      <c r="I5" s="28">
        <f t="shared" si="0"/>
        <v>1</v>
      </c>
      <c r="J5" s="28" cm="1">
        <f t="array" ref="J5">I5+ROUNDUP(MAX(ABS($I$3:$I$8)), -1)</f>
        <v>11</v>
      </c>
      <c r="K5" s="30">
        <f t="shared" si="1"/>
        <v>0.18333333333333332</v>
      </c>
    </row>
    <row r="6" spans="1:11">
      <c r="A6" s="26" t="s">
        <v>177</v>
      </c>
      <c r="B6" s="28">
        <v>-3</v>
      </c>
      <c r="C6" s="28">
        <v>0</v>
      </c>
      <c r="D6" s="28">
        <v>-1</v>
      </c>
      <c r="E6" s="27"/>
      <c r="F6" s="28">
        <f t="array" ref="F6:G6">TRANSPOSE(E7:E8)*(-1)</f>
        <v>1</v>
      </c>
      <c r="G6" s="31">
        <v>-1</v>
      </c>
      <c r="H6" s="32" t="s">
        <v>170</v>
      </c>
      <c r="I6" s="28">
        <f t="shared" si="0"/>
        <v>-4</v>
      </c>
      <c r="J6" s="28" cm="1">
        <f t="array" ref="J6">I6+ROUNDUP(MAX(ABS($I$3:$I$8)), -1)</f>
        <v>6</v>
      </c>
      <c r="K6" s="30">
        <f t="shared" si="1"/>
        <v>0.1</v>
      </c>
    </row>
    <row r="7" spans="1:11">
      <c r="A7" s="26" t="s">
        <v>178</v>
      </c>
      <c r="B7" s="28">
        <v>1</v>
      </c>
      <c r="C7" s="28">
        <v>1</v>
      </c>
      <c r="D7" s="28">
        <v>0</v>
      </c>
      <c r="E7" s="28">
        <v>-1</v>
      </c>
      <c r="F7" s="27"/>
      <c r="G7" s="31">
        <f t="array" ref="G7">TRANSPOSE(F8)*(-1)</f>
        <v>1</v>
      </c>
      <c r="H7" s="32" t="s">
        <v>170</v>
      </c>
      <c r="I7" s="28">
        <f t="shared" si="0"/>
        <v>2</v>
      </c>
      <c r="J7" s="28" cm="1">
        <f t="array" ref="J7">I7+ROUNDUP(MAX(ABS($I$3:$I$8)), -1)</f>
        <v>12</v>
      </c>
      <c r="K7" s="30">
        <f t="shared" si="1"/>
        <v>0.2</v>
      </c>
    </row>
    <row r="8" spans="1:11">
      <c r="A8" s="26" t="s">
        <v>179</v>
      </c>
      <c r="B8" s="28">
        <v>0</v>
      </c>
      <c r="C8" s="28">
        <v>0</v>
      </c>
      <c r="D8" s="28">
        <v>1</v>
      </c>
      <c r="E8" s="28">
        <v>1</v>
      </c>
      <c r="F8" s="28">
        <v>-1</v>
      </c>
      <c r="G8" s="33"/>
      <c r="H8" s="32" t="s">
        <v>170</v>
      </c>
      <c r="I8" s="28">
        <f t="shared" si="0"/>
        <v>1</v>
      </c>
      <c r="J8" s="28" cm="1">
        <f t="array" ref="J8">I8+ROUNDUP(MAX(ABS($I$3:$I$8)), -1)</f>
        <v>11</v>
      </c>
      <c r="K8" s="30">
        <f t="shared" si="1"/>
        <v>0.18333333333333332</v>
      </c>
    </row>
    <row r="9" spans="1:11">
      <c r="A9" s="1" t="s">
        <v>180</v>
      </c>
      <c r="B9" s="29" t="s">
        <v>170</v>
      </c>
      <c r="C9" s="29" t="s">
        <v>170</v>
      </c>
      <c r="D9" s="29" t="s">
        <v>170</v>
      </c>
      <c r="E9" s="29" t="s">
        <v>170</v>
      </c>
      <c r="F9" s="29" t="s">
        <v>170</v>
      </c>
      <c r="G9" s="29" t="s">
        <v>170</v>
      </c>
      <c r="H9" s="29" t="s">
        <v>170</v>
      </c>
      <c r="J9" s="28"/>
      <c r="K9" s="28"/>
    </row>
    <row r="10" spans="1:11">
      <c r="A10" s="1" t="s">
        <v>181</v>
      </c>
      <c r="B10" s="29" t="s">
        <v>170</v>
      </c>
      <c r="C10" s="29" t="s">
        <v>170</v>
      </c>
      <c r="D10" s="29" t="s">
        <v>170</v>
      </c>
      <c r="E10" s="29" t="s">
        <v>170</v>
      </c>
      <c r="F10" s="29" t="s">
        <v>170</v>
      </c>
      <c r="G10" s="29" t="s">
        <v>170</v>
      </c>
      <c r="H10" s="29" t="s">
        <v>170</v>
      </c>
    </row>
    <row r="11" spans="1:11">
      <c r="A11" s="1" t="s">
        <v>182</v>
      </c>
      <c r="B11" s="29" t="s">
        <v>170</v>
      </c>
      <c r="C11" s="29" t="s">
        <v>170</v>
      </c>
      <c r="D11" s="29" t="s">
        <v>170</v>
      </c>
      <c r="E11" s="29" t="s">
        <v>170</v>
      </c>
      <c r="F11" s="29" t="s">
        <v>170</v>
      </c>
      <c r="G11" s="29" t="s">
        <v>170</v>
      </c>
      <c r="H11" s="29" t="s">
        <v>170</v>
      </c>
    </row>
    <row r="12" spans="1:11">
      <c r="A12" s="1" t="s">
        <v>183</v>
      </c>
      <c r="B12" s="29" t="s">
        <v>170</v>
      </c>
      <c r="C12" s="29" t="s">
        <v>170</v>
      </c>
      <c r="D12" s="29" t="s">
        <v>170</v>
      </c>
      <c r="E12" s="29" t="s">
        <v>170</v>
      </c>
      <c r="F12" s="29" t="s">
        <v>170</v>
      </c>
      <c r="G12" s="29" t="s">
        <v>170</v>
      </c>
      <c r="H12" s="29" t="s">
        <v>170</v>
      </c>
    </row>
    <row r="13" spans="1:11">
      <c r="A13" s="1" t="s">
        <v>184</v>
      </c>
      <c r="B13" s="29" t="s">
        <v>170</v>
      </c>
      <c r="C13" s="29" t="s">
        <v>170</v>
      </c>
      <c r="D13" s="29" t="s">
        <v>170</v>
      </c>
      <c r="E13" s="29" t="s">
        <v>170</v>
      </c>
      <c r="F13" s="29" t="s">
        <v>170</v>
      </c>
      <c r="G13" s="29" t="s">
        <v>170</v>
      </c>
      <c r="H13" s="29" t="s">
        <v>170</v>
      </c>
    </row>
    <row r="14" spans="1:11">
      <c r="A14" s="1" t="s">
        <v>185</v>
      </c>
      <c r="B14" s="29" t="s">
        <v>170</v>
      </c>
      <c r="C14" s="29" t="s">
        <v>170</v>
      </c>
      <c r="D14" s="29" t="s">
        <v>170</v>
      </c>
      <c r="E14" s="29" t="s">
        <v>170</v>
      </c>
      <c r="F14" s="29" t="s">
        <v>170</v>
      </c>
      <c r="G14" s="29" t="s">
        <v>170</v>
      </c>
      <c r="H14" s="29" t="s">
        <v>170</v>
      </c>
    </row>
    <row r="15" spans="1:11">
      <c r="A15" s="1" t="s">
        <v>186</v>
      </c>
      <c r="B15" s="29" t="s">
        <v>170</v>
      </c>
      <c r="C15" s="29" t="s">
        <v>170</v>
      </c>
      <c r="D15" s="29" t="s">
        <v>170</v>
      </c>
      <c r="E15" s="29" t="s">
        <v>170</v>
      </c>
      <c r="F15" s="29" t="s">
        <v>170</v>
      </c>
      <c r="G15" s="29" t="s">
        <v>170</v>
      </c>
      <c r="H15" s="29" t="s">
        <v>170</v>
      </c>
    </row>
    <row r="16" spans="1:11">
      <c r="A16" s="1" t="s">
        <v>187</v>
      </c>
      <c r="B16" s="29" t="s">
        <v>170</v>
      </c>
      <c r="C16" s="29" t="s">
        <v>170</v>
      </c>
      <c r="D16" s="29" t="s">
        <v>170</v>
      </c>
      <c r="E16" s="29" t="s">
        <v>170</v>
      </c>
      <c r="F16" s="29" t="s">
        <v>170</v>
      </c>
      <c r="G16" s="29" t="s">
        <v>170</v>
      </c>
      <c r="H16" s="29" t="s">
        <v>170</v>
      </c>
    </row>
    <row r="17" spans="1:8">
      <c r="A17" s="1" t="s">
        <v>188</v>
      </c>
      <c r="B17" s="29" t="s">
        <v>170</v>
      </c>
      <c r="C17" s="29" t="s">
        <v>170</v>
      </c>
      <c r="D17" s="29" t="s">
        <v>170</v>
      </c>
      <c r="E17" s="29" t="s">
        <v>170</v>
      </c>
      <c r="F17" s="29" t="s">
        <v>170</v>
      </c>
      <c r="G17" s="29" t="s">
        <v>170</v>
      </c>
      <c r="H17" s="29" t="s">
        <v>170</v>
      </c>
    </row>
    <row r="18" spans="1:8">
      <c r="A18" s="1" t="s">
        <v>189</v>
      </c>
      <c r="B18" s="29" t="s">
        <v>170</v>
      </c>
      <c r="C18" s="29" t="s">
        <v>170</v>
      </c>
      <c r="D18" s="29" t="s">
        <v>170</v>
      </c>
      <c r="E18" s="29" t="s">
        <v>170</v>
      </c>
      <c r="F18" s="29" t="s">
        <v>170</v>
      </c>
      <c r="G18" s="29" t="s">
        <v>170</v>
      </c>
      <c r="H18" s="29" t="s">
        <v>170</v>
      </c>
    </row>
    <row r="22" spans="1:8">
      <c r="C22" s="3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A531A-C80F-4043-B5C4-BFD7CB00E447}">
  <sheetPr codeName="Sheet6">
    <pageSetUpPr fitToPage="1"/>
  </sheetPr>
  <dimension ref="B1:CE57"/>
  <sheetViews>
    <sheetView topLeftCell="A22" zoomScale="107" zoomScaleNormal="85" workbookViewId="0">
      <selection activeCell="L37" sqref="L37:O37"/>
    </sheetView>
  </sheetViews>
  <sheetFormatPr defaultColWidth="9.1640625" defaultRowHeight="12.5"/>
  <cols>
    <col min="1" max="1" width="9.1640625" style="36"/>
    <col min="2" max="2" width="5" style="36" customWidth="1"/>
    <col min="3" max="3" width="14.33203125" style="36" customWidth="1"/>
    <col min="4" max="5" width="5" style="36" customWidth="1"/>
    <col min="6" max="7" width="17.83203125" style="36" customWidth="1"/>
    <col min="8" max="71" width="1.6640625" style="36" customWidth="1"/>
    <col min="72" max="74" width="5" style="36" customWidth="1"/>
    <col min="75" max="75" width="5" style="37" customWidth="1"/>
    <col min="76" max="76" width="5" style="36" customWidth="1"/>
    <col min="77" max="82" width="8.6640625" style="36" customWidth="1"/>
    <col min="83" max="83" width="5" style="36" customWidth="1"/>
    <col min="84" max="16384" width="9.1640625" style="36"/>
  </cols>
  <sheetData>
    <row r="1" spans="2:71" ht="10" customHeight="1"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8"/>
      <c r="AN1" s="39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</row>
    <row r="2" spans="2:71" ht="10" customHeight="1">
      <c r="H2" s="40"/>
      <c r="I2" s="40"/>
      <c r="J2" s="41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3"/>
      <c r="AM2" s="506"/>
      <c r="AN2" s="506"/>
      <c r="AO2" s="44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1"/>
      <c r="BR2" s="40"/>
      <c r="BS2" s="40"/>
    </row>
    <row r="3" spans="2:71" ht="10" customHeight="1">
      <c r="H3" s="40"/>
      <c r="I3" s="40"/>
      <c r="J3" s="41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3"/>
      <c r="AL3" s="44"/>
      <c r="AM3" s="506"/>
      <c r="AN3" s="506"/>
      <c r="AO3" s="43"/>
      <c r="AP3" s="44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1"/>
      <c r="BR3" s="40"/>
      <c r="BS3" s="40"/>
    </row>
    <row r="4" spans="2:71" ht="10" customHeight="1">
      <c r="H4" s="40"/>
      <c r="I4" s="40"/>
      <c r="J4" s="41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3"/>
      <c r="AK4" s="506"/>
      <c r="AL4" s="506"/>
      <c r="AM4" s="44"/>
      <c r="AN4" s="43"/>
      <c r="AO4" s="506"/>
      <c r="AP4" s="506"/>
      <c r="AQ4" s="44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1"/>
      <c r="BR4" s="40"/>
      <c r="BS4" s="40"/>
    </row>
    <row r="5" spans="2:71" ht="10" customHeight="1">
      <c r="B5" s="513" t="s">
        <v>190</v>
      </c>
      <c r="C5" s="514"/>
      <c r="D5" s="515"/>
      <c r="H5" s="40"/>
      <c r="I5" s="40"/>
      <c r="J5" s="41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3"/>
      <c r="AJ5" s="44"/>
      <c r="AK5" s="506"/>
      <c r="AL5" s="506"/>
      <c r="AM5" s="43"/>
      <c r="AN5" s="44"/>
      <c r="AO5" s="506"/>
      <c r="AP5" s="506"/>
      <c r="AQ5" s="43"/>
      <c r="AR5" s="44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1"/>
      <c r="BR5" s="40"/>
      <c r="BS5" s="40"/>
    </row>
    <row r="6" spans="2:71" ht="10" customHeight="1">
      <c r="B6" s="516"/>
      <c r="C6" s="517"/>
      <c r="D6" s="518"/>
      <c r="H6" s="40"/>
      <c r="I6" s="40"/>
      <c r="J6" s="41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3"/>
      <c r="AI6" s="506"/>
      <c r="AJ6" s="506"/>
      <c r="AK6" s="44"/>
      <c r="AL6" s="43"/>
      <c r="AM6" s="506"/>
      <c r="AN6" s="506"/>
      <c r="AO6" s="44"/>
      <c r="AP6" s="43"/>
      <c r="AQ6" s="506"/>
      <c r="AR6" s="506"/>
      <c r="AS6" s="44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1"/>
      <c r="BR6" s="40"/>
      <c r="BS6" s="40"/>
    </row>
    <row r="7" spans="2:71" ht="10" customHeight="1">
      <c r="B7" s="507" t="s">
        <v>191</v>
      </c>
      <c r="C7" s="508"/>
      <c r="D7" s="519" t="s">
        <v>192</v>
      </c>
      <c r="H7" s="40"/>
      <c r="I7" s="40"/>
      <c r="J7" s="41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3"/>
      <c r="AH7" s="44"/>
      <c r="AI7" s="506"/>
      <c r="AJ7" s="506"/>
      <c r="AK7" s="43"/>
      <c r="AL7" s="44"/>
      <c r="AM7" s="506"/>
      <c r="AN7" s="506"/>
      <c r="AO7" s="43"/>
      <c r="AP7" s="44"/>
      <c r="AQ7" s="506"/>
      <c r="AR7" s="506"/>
      <c r="AS7" s="43"/>
      <c r="AT7" s="44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1"/>
      <c r="BR7" s="40"/>
      <c r="BS7" s="40"/>
    </row>
    <row r="8" spans="2:71" ht="10" customHeight="1">
      <c r="B8" s="507"/>
      <c r="C8" s="508"/>
      <c r="D8" s="519"/>
      <c r="H8" s="40"/>
      <c r="I8" s="40"/>
      <c r="J8" s="41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3"/>
      <c r="AG8" s="506"/>
      <c r="AH8" s="506"/>
      <c r="AI8" s="44"/>
      <c r="AJ8" s="43"/>
      <c r="AK8" s="506"/>
      <c r="AL8" s="506"/>
      <c r="AM8" s="44"/>
      <c r="AN8" s="43"/>
      <c r="AO8" s="506"/>
      <c r="AP8" s="506"/>
      <c r="AQ8" s="44"/>
      <c r="AR8" s="43"/>
      <c r="AS8" s="506"/>
      <c r="AT8" s="506"/>
      <c r="AU8" s="44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1"/>
      <c r="BR8" s="40"/>
      <c r="BS8" s="40"/>
    </row>
    <row r="9" spans="2:71" ht="10" customHeight="1">
      <c r="B9" s="507" t="s">
        <v>193</v>
      </c>
      <c r="C9" s="508"/>
      <c r="D9" s="519" t="s">
        <v>194</v>
      </c>
      <c r="H9" s="40"/>
      <c r="I9" s="40"/>
      <c r="J9" s="41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3"/>
      <c r="AF9" s="44"/>
      <c r="AG9" s="506"/>
      <c r="AH9" s="506"/>
      <c r="AI9" s="43"/>
      <c r="AJ9" s="44"/>
      <c r="AK9" s="506"/>
      <c r="AL9" s="506"/>
      <c r="AM9" s="43"/>
      <c r="AN9" s="44"/>
      <c r="AO9" s="506"/>
      <c r="AP9" s="506"/>
      <c r="AQ9" s="43"/>
      <c r="AR9" s="44"/>
      <c r="AS9" s="506"/>
      <c r="AT9" s="506"/>
      <c r="AU9" s="43"/>
      <c r="AV9" s="44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1"/>
      <c r="BR9" s="40"/>
      <c r="BS9" s="40"/>
    </row>
    <row r="10" spans="2:71" ht="10" customHeight="1">
      <c r="B10" s="507"/>
      <c r="C10" s="508"/>
      <c r="D10" s="519"/>
      <c r="H10" s="40"/>
      <c r="I10" s="40"/>
      <c r="J10" s="41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3"/>
      <c r="AE10" s="506"/>
      <c r="AF10" s="506"/>
      <c r="AG10" s="44"/>
      <c r="AH10" s="43"/>
      <c r="AI10" s="506"/>
      <c r="AJ10" s="506"/>
      <c r="AK10" s="44"/>
      <c r="AL10" s="43"/>
      <c r="AM10" s="506"/>
      <c r="AN10" s="506"/>
      <c r="AO10" s="44"/>
      <c r="AP10" s="43"/>
      <c r="AQ10" s="506"/>
      <c r="AR10" s="506"/>
      <c r="AS10" s="44"/>
      <c r="AT10" s="43"/>
      <c r="AU10" s="506"/>
      <c r="AV10" s="506"/>
      <c r="AW10" s="44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1"/>
      <c r="BR10" s="40"/>
      <c r="BS10" s="40"/>
    </row>
    <row r="11" spans="2:71" ht="10" customHeight="1">
      <c r="B11" s="507" t="s">
        <v>195</v>
      </c>
      <c r="C11" s="508"/>
      <c r="D11" s="519"/>
      <c r="H11" s="40"/>
      <c r="I11" s="40"/>
      <c r="J11" s="41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3"/>
      <c r="AD11" s="44"/>
      <c r="AE11" s="506"/>
      <c r="AF11" s="506"/>
      <c r="AG11" s="43"/>
      <c r="AH11" s="44"/>
      <c r="AI11" s="506"/>
      <c r="AJ11" s="506"/>
      <c r="AK11" s="43"/>
      <c r="AL11" s="44"/>
      <c r="AM11" s="506"/>
      <c r="AN11" s="506"/>
      <c r="AO11" s="43"/>
      <c r="AP11" s="44"/>
      <c r="AQ11" s="506"/>
      <c r="AR11" s="506"/>
      <c r="AS11" s="43"/>
      <c r="AT11" s="44"/>
      <c r="AU11" s="506"/>
      <c r="AV11" s="506"/>
      <c r="AW11" s="43"/>
      <c r="AX11" s="44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1"/>
      <c r="BR11" s="40"/>
      <c r="BS11" s="40"/>
    </row>
    <row r="12" spans="2:71" ht="10" customHeight="1">
      <c r="B12" s="509"/>
      <c r="C12" s="510"/>
      <c r="D12" s="520"/>
      <c r="H12" s="40"/>
      <c r="I12" s="40"/>
      <c r="J12" s="41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3"/>
      <c r="AC12" s="506"/>
      <c r="AD12" s="506"/>
      <c r="AE12" s="44"/>
      <c r="AF12" s="43"/>
      <c r="AG12" s="506"/>
      <c r="AH12" s="506"/>
      <c r="AI12" s="44"/>
      <c r="AJ12" s="43"/>
      <c r="AK12" s="506"/>
      <c r="AL12" s="506"/>
      <c r="AM12" s="44"/>
      <c r="AN12" s="43"/>
      <c r="AO12" s="506"/>
      <c r="AP12" s="506"/>
      <c r="AQ12" s="44"/>
      <c r="AR12" s="43"/>
      <c r="AS12" s="506"/>
      <c r="AT12" s="506"/>
      <c r="AU12" s="44"/>
      <c r="AV12" s="43"/>
      <c r="AW12" s="506"/>
      <c r="AX12" s="506"/>
      <c r="AY12" s="44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1"/>
      <c r="BR12" s="40"/>
      <c r="BS12" s="40"/>
    </row>
    <row r="13" spans="2:71" ht="10" customHeight="1">
      <c r="H13" s="40"/>
      <c r="I13" s="40"/>
      <c r="J13" s="41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3"/>
      <c r="AB13" s="44"/>
      <c r="AC13" s="506"/>
      <c r="AD13" s="506"/>
      <c r="AE13" s="43"/>
      <c r="AF13" s="44"/>
      <c r="AG13" s="506"/>
      <c r="AH13" s="506"/>
      <c r="AI13" s="43"/>
      <c r="AJ13" s="44"/>
      <c r="AK13" s="506"/>
      <c r="AL13" s="506"/>
      <c r="AM13" s="43"/>
      <c r="AN13" s="44"/>
      <c r="AO13" s="506"/>
      <c r="AP13" s="506"/>
      <c r="AQ13" s="43"/>
      <c r="AR13" s="44"/>
      <c r="AS13" s="506"/>
      <c r="AT13" s="506"/>
      <c r="AU13" s="43"/>
      <c r="AV13" s="44"/>
      <c r="AW13" s="506"/>
      <c r="AX13" s="506"/>
      <c r="AY13" s="43"/>
      <c r="AZ13" s="44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1"/>
      <c r="BR13" s="40"/>
      <c r="BS13" s="40"/>
    </row>
    <row r="14" spans="2:71" ht="10" customHeight="1">
      <c r="B14" s="513" t="s">
        <v>196</v>
      </c>
      <c r="C14" s="514"/>
      <c r="D14" s="515"/>
      <c r="H14" s="40"/>
      <c r="I14" s="40"/>
      <c r="J14" s="41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3"/>
      <c r="AA14" s="506"/>
      <c r="AB14" s="506"/>
      <c r="AC14" s="44"/>
      <c r="AD14" s="43"/>
      <c r="AE14" s="506"/>
      <c r="AF14" s="506"/>
      <c r="AG14" s="44"/>
      <c r="AH14" s="43"/>
      <c r="AI14" s="506"/>
      <c r="AJ14" s="506"/>
      <c r="AK14" s="44"/>
      <c r="AL14" s="43"/>
      <c r="AM14" s="506"/>
      <c r="AN14" s="506"/>
      <c r="AO14" s="44"/>
      <c r="AP14" s="43"/>
      <c r="AQ14" s="506"/>
      <c r="AR14" s="506"/>
      <c r="AS14" s="44"/>
      <c r="AT14" s="43"/>
      <c r="AU14" s="506"/>
      <c r="AV14" s="506"/>
      <c r="AW14" s="44"/>
      <c r="AX14" s="43"/>
      <c r="AY14" s="506"/>
      <c r="AZ14" s="506"/>
      <c r="BA14" s="44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1"/>
      <c r="BR14" s="40"/>
      <c r="BS14" s="40"/>
    </row>
    <row r="15" spans="2:71" ht="10" customHeight="1">
      <c r="B15" s="516"/>
      <c r="C15" s="517"/>
      <c r="D15" s="518"/>
      <c r="H15" s="40"/>
      <c r="I15" s="40"/>
      <c r="J15" s="41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3"/>
      <c r="Z15" s="44"/>
      <c r="AA15" s="506"/>
      <c r="AB15" s="506"/>
      <c r="AC15" s="43"/>
      <c r="AD15" s="44"/>
      <c r="AE15" s="506"/>
      <c r="AF15" s="506"/>
      <c r="AG15" s="43"/>
      <c r="AH15" s="44"/>
      <c r="AI15" s="506"/>
      <c r="AJ15" s="506"/>
      <c r="AK15" s="43"/>
      <c r="AL15" s="44"/>
      <c r="AM15" s="506"/>
      <c r="AN15" s="506"/>
      <c r="AO15" s="43"/>
      <c r="AP15" s="44"/>
      <c r="AQ15" s="506"/>
      <c r="AR15" s="506"/>
      <c r="AS15" s="43"/>
      <c r="AT15" s="44"/>
      <c r="AU15" s="506"/>
      <c r="AV15" s="506"/>
      <c r="AW15" s="43"/>
      <c r="AX15" s="44"/>
      <c r="AY15" s="506"/>
      <c r="AZ15" s="506"/>
      <c r="BA15" s="43"/>
      <c r="BB15" s="44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1"/>
      <c r="BR15" s="40"/>
      <c r="BS15" s="40"/>
    </row>
    <row r="16" spans="2:71" ht="10" customHeight="1">
      <c r="B16" s="507" t="s">
        <v>197</v>
      </c>
      <c r="C16" s="508"/>
      <c r="D16" s="511" t="s">
        <v>198</v>
      </c>
      <c r="H16" s="40"/>
      <c r="I16" s="40"/>
      <c r="J16" s="41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3"/>
      <c r="Y16" s="506"/>
      <c r="Z16" s="506"/>
      <c r="AA16" s="44"/>
      <c r="AB16" s="43"/>
      <c r="AC16" s="506"/>
      <c r="AD16" s="506"/>
      <c r="AE16" s="44"/>
      <c r="AF16" s="43"/>
      <c r="AG16" s="506"/>
      <c r="AH16" s="506"/>
      <c r="AI16" s="44"/>
      <c r="AJ16" s="43"/>
      <c r="AK16" s="506"/>
      <c r="AL16" s="506"/>
      <c r="AM16" s="44"/>
      <c r="AN16" s="43"/>
      <c r="AO16" s="506"/>
      <c r="AP16" s="506"/>
      <c r="AQ16" s="44"/>
      <c r="AR16" s="43"/>
      <c r="AS16" s="506"/>
      <c r="AT16" s="506"/>
      <c r="AU16" s="44"/>
      <c r="AV16" s="43"/>
      <c r="AW16" s="506"/>
      <c r="AX16" s="506"/>
      <c r="AY16" s="44"/>
      <c r="AZ16" s="43"/>
      <c r="BA16" s="506"/>
      <c r="BB16" s="506"/>
      <c r="BC16" s="44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1"/>
      <c r="BR16" s="40"/>
      <c r="BS16" s="40"/>
    </row>
    <row r="17" spans="2:80" ht="10" customHeight="1">
      <c r="B17" s="507"/>
      <c r="C17" s="508"/>
      <c r="D17" s="511"/>
      <c r="H17" s="40"/>
      <c r="I17" s="40"/>
      <c r="J17" s="41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3"/>
      <c r="X17" s="44"/>
      <c r="Y17" s="506"/>
      <c r="Z17" s="506"/>
      <c r="AA17" s="43"/>
      <c r="AB17" s="44"/>
      <c r="AC17" s="506"/>
      <c r="AD17" s="506"/>
      <c r="AE17" s="43"/>
      <c r="AF17" s="44"/>
      <c r="AG17" s="506"/>
      <c r="AH17" s="506"/>
      <c r="AI17" s="43"/>
      <c r="AJ17" s="44"/>
      <c r="AK17" s="506"/>
      <c r="AL17" s="506"/>
      <c r="AM17" s="43"/>
      <c r="AN17" s="44"/>
      <c r="AO17" s="506"/>
      <c r="AP17" s="506"/>
      <c r="AQ17" s="43"/>
      <c r="AR17" s="44"/>
      <c r="AS17" s="506"/>
      <c r="AT17" s="506"/>
      <c r="AU17" s="43"/>
      <c r="AV17" s="44"/>
      <c r="AW17" s="506"/>
      <c r="AX17" s="506"/>
      <c r="AY17" s="43"/>
      <c r="AZ17" s="44"/>
      <c r="BA17" s="506"/>
      <c r="BB17" s="506"/>
      <c r="BC17" s="43"/>
      <c r="BD17" s="44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1"/>
      <c r="BR17" s="40"/>
      <c r="BS17" s="40"/>
    </row>
    <row r="18" spans="2:80" ht="10" customHeight="1">
      <c r="B18" s="507" t="s">
        <v>199</v>
      </c>
      <c r="C18" s="508"/>
      <c r="D18" s="511" t="s">
        <v>200</v>
      </c>
      <c r="H18" s="40"/>
      <c r="I18" s="40"/>
      <c r="J18" s="41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3"/>
      <c r="W18" s="506"/>
      <c r="X18" s="506"/>
      <c r="Y18" s="44"/>
      <c r="Z18" s="43"/>
      <c r="AA18" s="506"/>
      <c r="AB18" s="506"/>
      <c r="AC18" s="44"/>
      <c r="AD18" s="43"/>
      <c r="AE18" s="506"/>
      <c r="AF18" s="506"/>
      <c r="AG18" s="44"/>
      <c r="AH18" s="43"/>
      <c r="AI18" s="506"/>
      <c r="AJ18" s="506"/>
      <c r="AK18" s="44"/>
      <c r="AL18" s="43"/>
      <c r="AM18" s="506"/>
      <c r="AN18" s="506"/>
      <c r="AO18" s="44"/>
      <c r="AP18" s="43"/>
      <c r="AQ18" s="506"/>
      <c r="AR18" s="506"/>
      <c r="AS18" s="44"/>
      <c r="AT18" s="43"/>
      <c r="AU18" s="506"/>
      <c r="AV18" s="506"/>
      <c r="AW18" s="44"/>
      <c r="AX18" s="43"/>
      <c r="AY18" s="506"/>
      <c r="AZ18" s="506"/>
      <c r="BA18" s="44"/>
      <c r="BB18" s="43"/>
      <c r="BC18" s="506"/>
      <c r="BD18" s="506"/>
      <c r="BE18" s="44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1"/>
      <c r="BR18" s="40"/>
      <c r="BS18" s="40"/>
    </row>
    <row r="19" spans="2:80" ht="10" customHeight="1">
      <c r="B19" s="507"/>
      <c r="C19" s="508"/>
      <c r="D19" s="511"/>
      <c r="H19" s="40"/>
      <c r="I19" s="40"/>
      <c r="J19" s="41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3"/>
      <c r="V19" s="44"/>
      <c r="W19" s="506"/>
      <c r="X19" s="506"/>
      <c r="Y19" s="43"/>
      <c r="Z19" s="44"/>
      <c r="AA19" s="506"/>
      <c r="AB19" s="506"/>
      <c r="AC19" s="43"/>
      <c r="AD19" s="44"/>
      <c r="AE19" s="506"/>
      <c r="AF19" s="506"/>
      <c r="AG19" s="43"/>
      <c r="AH19" s="44"/>
      <c r="AI19" s="506"/>
      <c r="AJ19" s="506"/>
      <c r="AK19" s="43"/>
      <c r="AL19" s="44"/>
      <c r="AM19" s="506"/>
      <c r="AN19" s="506"/>
      <c r="AO19" s="43"/>
      <c r="AP19" s="44"/>
      <c r="AQ19" s="506"/>
      <c r="AR19" s="506"/>
      <c r="AS19" s="43"/>
      <c r="AT19" s="44"/>
      <c r="AU19" s="506"/>
      <c r="AV19" s="506"/>
      <c r="AW19" s="43"/>
      <c r="AX19" s="44"/>
      <c r="AY19" s="506"/>
      <c r="AZ19" s="506"/>
      <c r="BA19" s="43"/>
      <c r="BB19" s="44"/>
      <c r="BC19" s="506"/>
      <c r="BD19" s="506"/>
      <c r="BE19" s="43"/>
      <c r="BF19" s="44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1"/>
      <c r="BR19" s="40"/>
      <c r="BS19" s="40"/>
    </row>
    <row r="20" spans="2:80" ht="10" customHeight="1">
      <c r="B20" s="507" t="s">
        <v>201</v>
      </c>
      <c r="C20" s="508"/>
      <c r="D20" s="511" t="s">
        <v>202</v>
      </c>
      <c r="H20" s="40"/>
      <c r="I20" s="40"/>
      <c r="J20" s="41"/>
      <c r="K20" s="42"/>
      <c r="L20" s="42"/>
      <c r="M20" s="42"/>
      <c r="N20" s="42"/>
      <c r="O20" s="42"/>
      <c r="P20" s="42"/>
      <c r="Q20" s="42"/>
      <c r="R20" s="42"/>
      <c r="S20" s="42"/>
      <c r="T20" s="43"/>
      <c r="U20" s="506"/>
      <c r="V20" s="506"/>
      <c r="W20" s="44"/>
      <c r="X20" s="43"/>
      <c r="Y20" s="506"/>
      <c r="Z20" s="506"/>
      <c r="AA20" s="44"/>
      <c r="AB20" s="43"/>
      <c r="AC20" s="506"/>
      <c r="AD20" s="506"/>
      <c r="AE20" s="44"/>
      <c r="AF20" s="43"/>
      <c r="AG20" s="506"/>
      <c r="AH20" s="506"/>
      <c r="AI20" s="44"/>
      <c r="AJ20" s="43"/>
      <c r="AK20" s="506"/>
      <c r="AL20" s="506"/>
      <c r="AM20" s="44"/>
      <c r="AN20" s="43"/>
      <c r="AO20" s="506"/>
      <c r="AP20" s="506"/>
      <c r="AQ20" s="44"/>
      <c r="AR20" s="43"/>
      <c r="AS20" s="506"/>
      <c r="AT20" s="506"/>
      <c r="AU20" s="44"/>
      <c r="AV20" s="43"/>
      <c r="AW20" s="506"/>
      <c r="AX20" s="506"/>
      <c r="AY20" s="44"/>
      <c r="AZ20" s="43"/>
      <c r="BA20" s="506"/>
      <c r="BB20" s="506"/>
      <c r="BC20" s="44"/>
      <c r="BD20" s="43"/>
      <c r="BE20" s="506"/>
      <c r="BF20" s="506"/>
      <c r="BG20" s="44"/>
      <c r="BH20" s="42"/>
      <c r="BI20" s="42"/>
      <c r="BJ20" s="42"/>
      <c r="BK20" s="42"/>
      <c r="BL20" s="42"/>
      <c r="BM20" s="42"/>
      <c r="BN20" s="42"/>
      <c r="BO20" s="42"/>
      <c r="BP20" s="42"/>
      <c r="BQ20" s="41"/>
      <c r="BR20" s="40"/>
      <c r="BS20" s="40"/>
    </row>
    <row r="21" spans="2:80" ht="10" customHeight="1">
      <c r="B21" s="509"/>
      <c r="C21" s="510"/>
      <c r="D21" s="512"/>
      <c r="H21" s="40"/>
      <c r="I21" s="40"/>
      <c r="J21" s="41"/>
      <c r="K21" s="42"/>
      <c r="L21" s="42"/>
      <c r="M21" s="42"/>
      <c r="N21" s="42"/>
      <c r="O21" s="42"/>
      <c r="P21" s="42"/>
      <c r="Q21" s="42"/>
      <c r="R21" s="42"/>
      <c r="S21" s="43"/>
      <c r="T21" s="44"/>
      <c r="U21" s="506"/>
      <c r="V21" s="506"/>
      <c r="W21" s="43"/>
      <c r="X21" s="44"/>
      <c r="Y21" s="506"/>
      <c r="Z21" s="506"/>
      <c r="AA21" s="43"/>
      <c r="AB21" s="44"/>
      <c r="AC21" s="506"/>
      <c r="AD21" s="506"/>
      <c r="AE21" s="43"/>
      <c r="AF21" s="44"/>
      <c r="AG21" s="506"/>
      <c r="AH21" s="506"/>
      <c r="AI21" s="43"/>
      <c r="AJ21" s="44"/>
      <c r="AK21" s="506"/>
      <c r="AL21" s="506"/>
      <c r="AM21" s="43"/>
      <c r="AN21" s="44"/>
      <c r="AO21" s="506"/>
      <c r="AP21" s="506"/>
      <c r="AQ21" s="43"/>
      <c r="AR21" s="44"/>
      <c r="AS21" s="506"/>
      <c r="AT21" s="506"/>
      <c r="AU21" s="43"/>
      <c r="AV21" s="44"/>
      <c r="AW21" s="506"/>
      <c r="AX21" s="506"/>
      <c r="AY21" s="43"/>
      <c r="AZ21" s="44"/>
      <c r="BA21" s="506"/>
      <c r="BB21" s="506"/>
      <c r="BC21" s="43"/>
      <c r="BD21" s="44"/>
      <c r="BE21" s="506"/>
      <c r="BF21" s="506"/>
      <c r="BG21" s="43"/>
      <c r="BH21" s="44"/>
      <c r="BI21" s="42"/>
      <c r="BJ21" s="42"/>
      <c r="BK21" s="42"/>
      <c r="BL21" s="42"/>
      <c r="BM21" s="42"/>
      <c r="BN21" s="42"/>
      <c r="BO21" s="42"/>
      <c r="BP21" s="42"/>
      <c r="BQ21" s="41"/>
      <c r="BR21" s="40"/>
      <c r="BS21" s="40"/>
    </row>
    <row r="22" spans="2:80" ht="10" customHeight="1">
      <c r="H22" s="40"/>
      <c r="I22" s="40"/>
      <c r="J22" s="41"/>
      <c r="K22" s="42"/>
      <c r="L22" s="42"/>
      <c r="M22" s="42"/>
      <c r="N22" s="42"/>
      <c r="O22" s="42"/>
      <c r="P22" s="42"/>
      <c r="Q22" s="42"/>
      <c r="R22" s="43"/>
      <c r="S22" s="506" t="s">
        <v>194</v>
      </c>
      <c r="T22" s="506"/>
      <c r="U22" s="44"/>
      <c r="V22" s="43"/>
      <c r="W22" s="506"/>
      <c r="X22" s="506"/>
      <c r="Y22" s="44"/>
      <c r="Z22" s="43"/>
      <c r="AA22" s="506"/>
      <c r="AB22" s="506"/>
      <c r="AC22" s="44"/>
      <c r="AD22" s="43"/>
      <c r="AE22" s="506"/>
      <c r="AF22" s="506"/>
      <c r="AG22" s="44"/>
      <c r="AH22" s="43"/>
      <c r="AI22" s="506"/>
      <c r="AJ22" s="506"/>
      <c r="AK22" s="44"/>
      <c r="AL22" s="43"/>
      <c r="AM22" s="506"/>
      <c r="AN22" s="506"/>
      <c r="AO22" s="44"/>
      <c r="AP22" s="43"/>
      <c r="AQ22" s="506"/>
      <c r="AR22" s="506"/>
      <c r="AS22" s="44"/>
      <c r="AT22" s="43"/>
      <c r="AU22" s="506"/>
      <c r="AV22" s="506"/>
      <c r="AW22" s="44"/>
      <c r="AX22" s="43"/>
      <c r="AY22" s="506"/>
      <c r="AZ22" s="506"/>
      <c r="BA22" s="44"/>
      <c r="BB22" s="43"/>
      <c r="BC22" s="506"/>
      <c r="BD22" s="506"/>
      <c r="BE22" s="44"/>
      <c r="BF22" s="43"/>
      <c r="BG22" s="506"/>
      <c r="BH22" s="506"/>
      <c r="BI22" s="44"/>
      <c r="BJ22" s="42"/>
      <c r="BK22" s="42"/>
      <c r="BL22" s="42"/>
      <c r="BM22" s="42"/>
      <c r="BN22" s="42"/>
      <c r="BO22" s="42"/>
      <c r="BP22" s="42"/>
      <c r="BQ22" s="41"/>
      <c r="BR22" s="40"/>
      <c r="BS22" s="40"/>
    </row>
    <row r="23" spans="2:80" ht="10" customHeight="1">
      <c r="B23" s="513" t="s">
        <v>203</v>
      </c>
      <c r="C23" s="514"/>
      <c r="D23" s="515"/>
      <c r="H23" s="40"/>
      <c r="I23" s="40"/>
      <c r="J23" s="41"/>
      <c r="K23" s="42"/>
      <c r="L23" s="42"/>
      <c r="M23" s="42"/>
      <c r="N23" s="42"/>
      <c r="O23" s="42"/>
      <c r="P23" s="42"/>
      <c r="Q23" s="43"/>
      <c r="R23" s="44"/>
      <c r="S23" s="506"/>
      <c r="T23" s="506"/>
      <c r="U23" s="43"/>
      <c r="V23" s="44"/>
      <c r="W23" s="506"/>
      <c r="X23" s="506"/>
      <c r="Y23" s="43"/>
      <c r="Z23" s="44"/>
      <c r="AA23" s="506"/>
      <c r="AB23" s="506"/>
      <c r="AC23" s="43"/>
      <c r="AD23" s="44"/>
      <c r="AE23" s="506"/>
      <c r="AF23" s="506"/>
      <c r="AG23" s="43"/>
      <c r="AH23" s="44"/>
      <c r="AI23" s="506"/>
      <c r="AJ23" s="506"/>
      <c r="AK23" s="43"/>
      <c r="AL23" s="44"/>
      <c r="AM23" s="506"/>
      <c r="AN23" s="506"/>
      <c r="AO23" s="43"/>
      <c r="AP23" s="44"/>
      <c r="AQ23" s="506"/>
      <c r="AR23" s="506"/>
      <c r="AS23" s="43"/>
      <c r="AT23" s="44"/>
      <c r="AU23" s="506"/>
      <c r="AV23" s="506"/>
      <c r="AW23" s="43"/>
      <c r="AX23" s="44"/>
      <c r="AY23" s="506"/>
      <c r="AZ23" s="506"/>
      <c r="BA23" s="43"/>
      <c r="BB23" s="44"/>
      <c r="BC23" s="506"/>
      <c r="BD23" s="506"/>
      <c r="BE23" s="43"/>
      <c r="BF23" s="44"/>
      <c r="BG23" s="506"/>
      <c r="BH23" s="506"/>
      <c r="BI23" s="43"/>
      <c r="BJ23" s="44"/>
      <c r="BK23" s="42"/>
      <c r="BL23" s="42"/>
      <c r="BM23" s="42"/>
      <c r="BN23" s="42"/>
      <c r="BO23" s="42"/>
      <c r="BP23" s="42"/>
      <c r="BQ23" s="41"/>
      <c r="BR23" s="40"/>
      <c r="BS23" s="40"/>
    </row>
    <row r="24" spans="2:80" ht="10" customHeight="1">
      <c r="B24" s="516"/>
      <c r="C24" s="517"/>
      <c r="D24" s="518"/>
      <c r="H24" s="40"/>
      <c r="I24" s="40"/>
      <c r="J24" s="41"/>
      <c r="K24" s="42"/>
      <c r="L24" s="42"/>
      <c r="M24" s="42"/>
      <c r="N24" s="42"/>
      <c r="O24" s="42"/>
      <c r="P24" s="43"/>
      <c r="Q24" s="506"/>
      <c r="R24" s="506"/>
      <c r="S24" s="44"/>
      <c r="T24" s="43"/>
      <c r="U24" s="506"/>
      <c r="V24" s="506"/>
      <c r="W24" s="44"/>
      <c r="X24" s="43"/>
      <c r="Y24" s="506"/>
      <c r="Z24" s="506"/>
      <c r="AA24" s="44"/>
      <c r="AB24" s="43"/>
      <c r="AC24" s="506"/>
      <c r="AD24" s="506"/>
      <c r="AE24" s="44"/>
      <c r="AF24" s="43"/>
      <c r="AG24" s="506"/>
      <c r="AH24" s="506"/>
      <c r="AI24" s="44"/>
      <c r="AJ24" s="43"/>
      <c r="AK24" s="506"/>
      <c r="AL24" s="506"/>
      <c r="AM24" s="44"/>
      <c r="AN24" s="43"/>
      <c r="AO24" s="506"/>
      <c r="AP24" s="506"/>
      <c r="AQ24" s="44"/>
      <c r="AR24" s="43"/>
      <c r="AS24" s="506"/>
      <c r="AT24" s="506"/>
      <c r="AU24" s="44"/>
      <c r="AV24" s="43"/>
      <c r="AW24" s="506"/>
      <c r="AX24" s="506"/>
      <c r="AY24" s="44"/>
      <c r="AZ24" s="43"/>
      <c r="BA24" s="506"/>
      <c r="BB24" s="506"/>
      <c r="BC24" s="44"/>
      <c r="BD24" s="43"/>
      <c r="BE24" s="506"/>
      <c r="BF24" s="506"/>
      <c r="BG24" s="44"/>
      <c r="BH24" s="43"/>
      <c r="BI24" s="506"/>
      <c r="BJ24" s="506"/>
      <c r="BK24" s="44"/>
      <c r="BL24" s="42"/>
      <c r="BM24" s="42"/>
      <c r="BN24" s="42"/>
      <c r="BO24" s="42"/>
      <c r="BP24" s="42"/>
      <c r="BQ24" s="41"/>
      <c r="BR24" s="40"/>
      <c r="BS24" s="40"/>
    </row>
    <row r="25" spans="2:80" ht="10" customHeight="1">
      <c r="B25" s="507" t="s">
        <v>204</v>
      </c>
      <c r="C25" s="508"/>
      <c r="D25" s="511" t="s">
        <v>205</v>
      </c>
      <c r="H25" s="40"/>
      <c r="I25" s="40"/>
      <c r="J25" s="41"/>
      <c r="K25" s="42"/>
      <c r="L25" s="42"/>
      <c r="M25" s="42"/>
      <c r="N25" s="42"/>
      <c r="O25" s="43"/>
      <c r="P25" s="44"/>
      <c r="Q25" s="506"/>
      <c r="R25" s="506"/>
      <c r="S25" s="43"/>
      <c r="T25" s="44"/>
      <c r="U25" s="506"/>
      <c r="V25" s="506"/>
      <c r="W25" s="43"/>
      <c r="X25" s="44"/>
      <c r="Y25" s="506"/>
      <c r="Z25" s="506"/>
      <c r="AA25" s="43"/>
      <c r="AB25" s="44"/>
      <c r="AC25" s="506"/>
      <c r="AD25" s="506"/>
      <c r="AE25" s="43"/>
      <c r="AF25" s="44"/>
      <c r="AG25" s="506"/>
      <c r="AH25" s="506"/>
      <c r="AI25" s="43"/>
      <c r="AJ25" s="44"/>
      <c r="AK25" s="506"/>
      <c r="AL25" s="506"/>
      <c r="AM25" s="43"/>
      <c r="AN25" s="44"/>
      <c r="AO25" s="506"/>
      <c r="AP25" s="506"/>
      <c r="AQ25" s="43"/>
      <c r="AR25" s="44"/>
      <c r="AS25" s="506"/>
      <c r="AT25" s="506"/>
      <c r="AU25" s="43"/>
      <c r="AV25" s="44"/>
      <c r="AW25" s="506"/>
      <c r="AX25" s="506"/>
      <c r="AY25" s="43"/>
      <c r="AZ25" s="44"/>
      <c r="BA25" s="506"/>
      <c r="BB25" s="506"/>
      <c r="BC25" s="43"/>
      <c r="BD25" s="44"/>
      <c r="BE25" s="506"/>
      <c r="BF25" s="506"/>
      <c r="BG25" s="43"/>
      <c r="BH25" s="44"/>
      <c r="BI25" s="506"/>
      <c r="BJ25" s="506"/>
      <c r="BK25" s="43"/>
      <c r="BL25" s="44"/>
      <c r="BM25" s="42"/>
      <c r="BN25" s="42"/>
      <c r="BO25" s="42"/>
      <c r="BP25" s="42"/>
      <c r="BQ25" s="41"/>
      <c r="BR25" s="40"/>
      <c r="BS25" s="40"/>
    </row>
    <row r="26" spans="2:80" ht="10" customHeight="1">
      <c r="B26" s="507"/>
      <c r="C26" s="508"/>
      <c r="D26" s="511"/>
      <c r="H26" s="40"/>
      <c r="I26" s="40"/>
      <c r="J26" s="41"/>
      <c r="K26" s="42"/>
      <c r="L26" s="42"/>
      <c r="M26" s="42"/>
      <c r="N26" s="43"/>
      <c r="O26" s="506"/>
      <c r="P26" s="506"/>
      <c r="Q26" s="44"/>
      <c r="R26" s="43"/>
      <c r="S26" s="506"/>
      <c r="T26" s="506"/>
      <c r="U26" s="44"/>
      <c r="V26" s="43"/>
      <c r="W26" s="506"/>
      <c r="X26" s="506"/>
      <c r="Y26" s="44"/>
      <c r="Z26" s="43"/>
      <c r="AA26" s="506"/>
      <c r="AB26" s="506"/>
      <c r="AC26" s="44"/>
      <c r="AD26" s="43"/>
      <c r="AE26" s="506"/>
      <c r="AF26" s="506"/>
      <c r="AG26" s="44"/>
      <c r="AH26" s="43"/>
      <c r="AI26" s="506"/>
      <c r="AJ26" s="506"/>
      <c r="AK26" s="44"/>
      <c r="AL26" s="43"/>
      <c r="AM26" s="506"/>
      <c r="AN26" s="506"/>
      <c r="AO26" s="44"/>
      <c r="AP26" s="43"/>
      <c r="AQ26" s="506"/>
      <c r="AR26" s="506"/>
      <c r="AS26" s="44"/>
      <c r="AT26" s="43"/>
      <c r="AU26" s="506"/>
      <c r="AV26" s="506"/>
      <c r="AW26" s="44"/>
      <c r="AX26" s="43"/>
      <c r="AY26" s="506"/>
      <c r="AZ26" s="506"/>
      <c r="BA26" s="44"/>
      <c r="BB26" s="43"/>
      <c r="BC26" s="506"/>
      <c r="BD26" s="506"/>
      <c r="BE26" s="44"/>
      <c r="BF26" s="43"/>
      <c r="BG26" s="506"/>
      <c r="BH26" s="506"/>
      <c r="BI26" s="44"/>
      <c r="BJ26" s="43"/>
      <c r="BK26" s="506"/>
      <c r="BL26" s="506"/>
      <c r="BM26" s="44"/>
      <c r="BN26" s="42"/>
      <c r="BO26" s="42"/>
      <c r="BP26" s="42"/>
      <c r="BQ26" s="41"/>
      <c r="BR26" s="40"/>
      <c r="BS26" s="40"/>
    </row>
    <row r="27" spans="2:80" ht="10" customHeight="1">
      <c r="B27" s="507" t="s">
        <v>206</v>
      </c>
      <c r="C27" s="508"/>
      <c r="D27" s="511" t="s">
        <v>207</v>
      </c>
      <c r="H27" s="40"/>
      <c r="I27" s="40"/>
      <c r="J27" s="41"/>
      <c r="K27" s="42"/>
      <c r="L27" s="42"/>
      <c r="M27" s="43"/>
      <c r="N27" s="44"/>
      <c r="O27" s="506"/>
      <c r="P27" s="506"/>
      <c r="Q27" s="43"/>
      <c r="R27" s="44"/>
      <c r="S27" s="506"/>
      <c r="T27" s="506"/>
      <c r="U27" s="43"/>
      <c r="V27" s="44"/>
      <c r="W27" s="506"/>
      <c r="X27" s="506"/>
      <c r="Y27" s="43"/>
      <c r="Z27" s="44"/>
      <c r="AA27" s="506"/>
      <c r="AB27" s="506"/>
      <c r="AC27" s="43"/>
      <c r="AD27" s="44"/>
      <c r="AE27" s="506"/>
      <c r="AF27" s="506"/>
      <c r="AG27" s="43"/>
      <c r="AH27" s="44"/>
      <c r="AI27" s="506"/>
      <c r="AJ27" s="506"/>
      <c r="AK27" s="43"/>
      <c r="AL27" s="44"/>
      <c r="AM27" s="506"/>
      <c r="AN27" s="506"/>
      <c r="AO27" s="43"/>
      <c r="AP27" s="44"/>
      <c r="AQ27" s="506"/>
      <c r="AR27" s="506"/>
      <c r="AS27" s="43"/>
      <c r="AT27" s="44"/>
      <c r="AU27" s="506"/>
      <c r="AV27" s="506"/>
      <c r="AW27" s="43"/>
      <c r="AX27" s="44"/>
      <c r="AY27" s="506"/>
      <c r="AZ27" s="506"/>
      <c r="BA27" s="43"/>
      <c r="BB27" s="44"/>
      <c r="BC27" s="506"/>
      <c r="BD27" s="506"/>
      <c r="BE27" s="43"/>
      <c r="BF27" s="44"/>
      <c r="BG27" s="506"/>
      <c r="BH27" s="506"/>
      <c r="BI27" s="43"/>
      <c r="BJ27" s="44"/>
      <c r="BK27" s="506"/>
      <c r="BL27" s="506"/>
      <c r="BM27" s="43"/>
      <c r="BN27" s="44"/>
      <c r="BO27" s="42"/>
      <c r="BP27" s="42"/>
      <c r="BQ27" s="41"/>
      <c r="BR27" s="40"/>
      <c r="BS27" s="40"/>
    </row>
    <row r="28" spans="2:80" ht="10" customHeight="1">
      <c r="B28" s="507"/>
      <c r="C28" s="508"/>
      <c r="D28" s="511"/>
      <c r="H28" s="40"/>
      <c r="I28" s="40"/>
      <c r="J28" s="41"/>
      <c r="K28" s="42"/>
      <c r="L28" s="43"/>
      <c r="M28" s="506"/>
      <c r="N28" s="506"/>
      <c r="O28" s="44"/>
      <c r="P28" s="43"/>
      <c r="Q28" s="506"/>
      <c r="R28" s="506"/>
      <c r="S28" s="44"/>
      <c r="T28" s="43"/>
      <c r="U28" s="506"/>
      <c r="V28" s="506"/>
      <c r="W28" s="44"/>
      <c r="X28" s="43"/>
      <c r="Y28" s="506"/>
      <c r="Z28" s="506"/>
      <c r="AA28" s="44"/>
      <c r="AB28" s="43"/>
      <c r="AC28" s="506"/>
      <c r="AD28" s="506"/>
      <c r="AE28" s="44"/>
      <c r="AF28" s="43"/>
      <c r="AG28" s="506"/>
      <c r="AH28" s="506"/>
      <c r="AI28" s="44"/>
      <c r="AJ28" s="43"/>
      <c r="AK28" s="506"/>
      <c r="AL28" s="506"/>
      <c r="AM28" s="44"/>
      <c r="AN28" s="43"/>
      <c r="AO28" s="506"/>
      <c r="AP28" s="506"/>
      <c r="AQ28" s="44"/>
      <c r="AR28" s="43"/>
      <c r="AS28" s="506"/>
      <c r="AT28" s="506"/>
      <c r="AU28" s="44"/>
      <c r="AV28" s="43"/>
      <c r="AW28" s="506"/>
      <c r="AX28" s="506"/>
      <c r="AY28" s="44"/>
      <c r="AZ28" s="43"/>
      <c r="BA28" s="506"/>
      <c r="BB28" s="506"/>
      <c r="BC28" s="44"/>
      <c r="BD28" s="43"/>
      <c r="BE28" s="506"/>
      <c r="BF28" s="506"/>
      <c r="BG28" s="44"/>
      <c r="BH28" s="43"/>
      <c r="BI28" s="506"/>
      <c r="BJ28" s="506"/>
      <c r="BK28" s="44"/>
      <c r="BL28" s="43"/>
      <c r="BM28" s="506"/>
      <c r="BN28" s="506"/>
      <c r="BO28" s="44"/>
      <c r="BP28" s="42"/>
      <c r="BQ28" s="45"/>
      <c r="BR28" s="46"/>
      <c r="BS28" s="40"/>
      <c r="BU28" s="47"/>
      <c r="BV28" s="47"/>
      <c r="BY28" s="47"/>
      <c r="BZ28" s="47"/>
    </row>
    <row r="29" spans="2:80" ht="10" customHeight="1">
      <c r="B29" s="507" t="s">
        <v>208</v>
      </c>
      <c r="C29" s="508"/>
      <c r="D29" s="511" t="s">
        <v>209</v>
      </c>
      <c r="H29" s="40"/>
      <c r="I29" s="40"/>
      <c r="J29" s="41"/>
      <c r="K29" s="43"/>
      <c r="L29" s="44"/>
      <c r="M29" s="506"/>
      <c r="N29" s="506"/>
      <c r="O29" s="43"/>
      <c r="P29" s="44"/>
      <c r="Q29" s="506"/>
      <c r="R29" s="506"/>
      <c r="S29" s="43"/>
      <c r="T29" s="44"/>
      <c r="U29" s="506"/>
      <c r="V29" s="506"/>
      <c r="W29" s="43"/>
      <c r="X29" s="44"/>
      <c r="Y29" s="506"/>
      <c r="Z29" s="506"/>
      <c r="AA29" s="43"/>
      <c r="AB29" s="44"/>
      <c r="AC29" s="506"/>
      <c r="AD29" s="506"/>
      <c r="AE29" s="43"/>
      <c r="AF29" s="44"/>
      <c r="AG29" s="506"/>
      <c r="AH29" s="506"/>
      <c r="AI29" s="43"/>
      <c r="AJ29" s="44"/>
      <c r="AK29" s="506"/>
      <c r="AL29" s="506"/>
      <c r="AM29" s="43"/>
      <c r="AN29" s="44"/>
      <c r="AO29" s="506"/>
      <c r="AP29" s="506"/>
      <c r="AQ29" s="43"/>
      <c r="AR29" s="44"/>
      <c r="AS29" s="506"/>
      <c r="AT29" s="506"/>
      <c r="AU29" s="43"/>
      <c r="AV29" s="44"/>
      <c r="AW29" s="506"/>
      <c r="AX29" s="506"/>
      <c r="AY29" s="43"/>
      <c r="AZ29" s="44"/>
      <c r="BA29" s="506"/>
      <c r="BB29" s="506"/>
      <c r="BC29" s="43"/>
      <c r="BD29" s="44"/>
      <c r="BE29" s="506"/>
      <c r="BF29" s="506"/>
      <c r="BG29" s="43"/>
      <c r="BH29" s="44"/>
      <c r="BI29" s="506"/>
      <c r="BJ29" s="506"/>
      <c r="BK29" s="43"/>
      <c r="BL29" s="44"/>
      <c r="BM29" s="506"/>
      <c r="BN29" s="506"/>
      <c r="BO29" s="43"/>
      <c r="BP29" s="44"/>
      <c r="BQ29" s="45"/>
      <c r="BR29" s="46"/>
      <c r="BS29" s="40"/>
      <c r="BU29" s="47"/>
      <c r="BV29" s="47"/>
      <c r="BY29" s="47"/>
      <c r="BZ29" s="47"/>
    </row>
    <row r="30" spans="2:80" ht="10" customHeight="1">
      <c r="B30" s="509"/>
      <c r="C30" s="510"/>
      <c r="D30" s="512"/>
      <c r="H30" s="40"/>
      <c r="I30" s="40"/>
      <c r="J30" s="48"/>
      <c r="K30" s="506" t="s">
        <v>194</v>
      </c>
      <c r="L30" s="506"/>
      <c r="M30" s="44"/>
      <c r="N30" s="43"/>
      <c r="O30" s="506"/>
      <c r="P30" s="506"/>
      <c r="Q30" s="44"/>
      <c r="R30" s="43"/>
      <c r="S30" s="506"/>
      <c r="T30" s="506"/>
      <c r="U30" s="44"/>
      <c r="V30" s="43"/>
      <c r="W30" s="506"/>
      <c r="X30" s="506"/>
      <c r="Y30" s="44"/>
      <c r="Z30" s="43"/>
      <c r="AA30" s="506"/>
      <c r="AB30" s="506"/>
      <c r="AC30" s="44"/>
      <c r="AD30" s="43"/>
      <c r="AE30" s="506"/>
      <c r="AF30" s="506"/>
      <c r="AG30" s="44"/>
      <c r="AH30" s="43"/>
      <c r="AI30" s="506"/>
      <c r="AJ30" s="506"/>
      <c r="AK30" s="44"/>
      <c r="AL30" s="43"/>
      <c r="AM30" s="506"/>
      <c r="AN30" s="506"/>
      <c r="AO30" s="44"/>
      <c r="AP30" s="43"/>
      <c r="AQ30" s="506"/>
      <c r="AR30" s="506"/>
      <c r="AS30" s="44"/>
      <c r="AT30" s="43"/>
      <c r="AU30" s="506"/>
      <c r="AV30" s="506"/>
      <c r="AW30" s="44"/>
      <c r="AX30" s="43"/>
      <c r="AY30" s="506"/>
      <c r="AZ30" s="506"/>
      <c r="BA30" s="44"/>
      <c r="BB30" s="43"/>
      <c r="BC30" s="506"/>
      <c r="BD30" s="506"/>
      <c r="BE30" s="44"/>
      <c r="BF30" s="43"/>
      <c r="BG30" s="506"/>
      <c r="BH30" s="506"/>
      <c r="BI30" s="44"/>
      <c r="BJ30" s="43"/>
      <c r="BK30" s="506"/>
      <c r="BL30" s="506"/>
      <c r="BM30" s="44"/>
      <c r="BN30" s="43"/>
      <c r="BO30" s="506"/>
      <c r="BP30" s="506"/>
      <c r="BQ30" s="49"/>
      <c r="BR30" s="40"/>
      <c r="BS30" s="50"/>
      <c r="BT30" s="47"/>
      <c r="BW30" s="51"/>
      <c r="BX30" s="47"/>
      <c r="CA30" s="47"/>
      <c r="CB30" s="47"/>
    </row>
    <row r="31" spans="2:80" ht="10" customHeight="1">
      <c r="H31" s="40"/>
      <c r="I31" s="52"/>
      <c r="J31" s="49"/>
      <c r="K31" s="506"/>
      <c r="L31" s="506"/>
      <c r="M31" s="43"/>
      <c r="N31" s="44"/>
      <c r="O31" s="506"/>
      <c r="P31" s="506"/>
      <c r="Q31" s="43"/>
      <c r="R31" s="44"/>
      <c r="S31" s="506"/>
      <c r="T31" s="506"/>
      <c r="U31" s="43"/>
      <c r="V31" s="44"/>
      <c r="W31" s="506"/>
      <c r="X31" s="506"/>
      <c r="Y31" s="43"/>
      <c r="Z31" s="44"/>
      <c r="AA31" s="506"/>
      <c r="AB31" s="506"/>
      <c r="AC31" s="43"/>
      <c r="AD31" s="44"/>
      <c r="AE31" s="506"/>
      <c r="AF31" s="506"/>
      <c r="AG31" s="43"/>
      <c r="AH31" s="44"/>
      <c r="AI31" s="506"/>
      <c r="AJ31" s="506"/>
      <c r="AK31" s="43"/>
      <c r="AL31" s="44"/>
      <c r="AM31" s="506"/>
      <c r="AN31" s="506"/>
      <c r="AO31" s="43"/>
      <c r="AP31" s="44"/>
      <c r="AQ31" s="506"/>
      <c r="AR31" s="506"/>
      <c r="AS31" s="43"/>
      <c r="AT31" s="44"/>
      <c r="AU31" s="506"/>
      <c r="AV31" s="506"/>
      <c r="AW31" s="43"/>
      <c r="AX31" s="44"/>
      <c r="AY31" s="506"/>
      <c r="AZ31" s="506"/>
      <c r="BA31" s="43"/>
      <c r="BB31" s="44"/>
      <c r="BC31" s="506"/>
      <c r="BD31" s="506"/>
      <c r="BE31" s="43"/>
      <c r="BF31" s="44"/>
      <c r="BG31" s="506"/>
      <c r="BH31" s="506"/>
      <c r="BI31" s="43"/>
      <c r="BJ31" s="44"/>
      <c r="BK31" s="506"/>
      <c r="BL31" s="506"/>
      <c r="BM31" s="43"/>
      <c r="BN31" s="44"/>
      <c r="BO31" s="506"/>
      <c r="BP31" s="506"/>
      <c r="BQ31" s="48"/>
      <c r="BR31" s="53"/>
      <c r="BS31" s="50"/>
      <c r="BT31" s="47"/>
      <c r="BW31" s="51"/>
      <c r="BX31" s="47"/>
      <c r="CA31" s="47"/>
      <c r="CB31" s="47"/>
    </row>
    <row r="32" spans="2:80" ht="10" customHeight="1">
      <c r="H32" s="52"/>
      <c r="I32" s="40"/>
      <c r="J32" s="41"/>
      <c r="K32" s="49"/>
      <c r="L32" s="48"/>
      <c r="M32" s="41"/>
      <c r="N32" s="41"/>
      <c r="O32" s="49"/>
      <c r="P32" s="48"/>
      <c r="Q32" s="41"/>
      <c r="R32" s="41"/>
      <c r="S32" s="49"/>
      <c r="T32" s="48"/>
      <c r="U32" s="41"/>
      <c r="V32" s="41"/>
      <c r="W32" s="49"/>
      <c r="X32" s="48"/>
      <c r="Y32" s="41"/>
      <c r="Z32" s="41"/>
      <c r="AA32" s="49"/>
      <c r="AB32" s="48"/>
      <c r="AC32" s="41"/>
      <c r="AD32" s="41"/>
      <c r="AE32" s="49"/>
      <c r="AF32" s="48"/>
      <c r="AG32" s="41"/>
      <c r="AH32" s="41"/>
      <c r="AI32" s="49"/>
      <c r="AJ32" s="48"/>
      <c r="AK32" s="41"/>
      <c r="AL32" s="41"/>
      <c r="AM32" s="49"/>
      <c r="AN32" s="48"/>
      <c r="AO32" s="41"/>
      <c r="AP32" s="41"/>
      <c r="AQ32" s="49"/>
      <c r="AR32" s="48"/>
      <c r="AS32" s="41"/>
      <c r="AT32" s="41"/>
      <c r="AU32" s="49"/>
      <c r="AV32" s="48"/>
      <c r="AW32" s="41"/>
      <c r="AX32" s="41"/>
      <c r="AY32" s="49"/>
      <c r="AZ32" s="48"/>
      <c r="BA32" s="41"/>
      <c r="BB32" s="41"/>
      <c r="BC32" s="49"/>
      <c r="BD32" s="48"/>
      <c r="BE32" s="41"/>
      <c r="BF32" s="41"/>
      <c r="BG32" s="49"/>
      <c r="BH32" s="48"/>
      <c r="BI32" s="41"/>
      <c r="BJ32" s="41"/>
      <c r="BK32" s="49"/>
      <c r="BL32" s="48"/>
      <c r="BM32" s="41"/>
      <c r="BN32" s="41"/>
      <c r="BO32" s="49"/>
      <c r="BP32" s="48"/>
      <c r="BQ32" s="41"/>
      <c r="BR32" s="40"/>
      <c r="BS32" s="53"/>
    </row>
    <row r="33" spans="2:83" ht="19.5" customHeight="1">
      <c r="F33" s="470" t="s">
        <v>210</v>
      </c>
      <c r="G33" s="470"/>
      <c r="H33" s="503">
        <v>1</v>
      </c>
      <c r="I33" s="504"/>
      <c r="J33" s="504"/>
      <c r="K33" s="505"/>
      <c r="L33" s="503">
        <v>2</v>
      </c>
      <c r="M33" s="504"/>
      <c r="N33" s="504"/>
      <c r="O33" s="505"/>
      <c r="P33" s="503">
        <v>3</v>
      </c>
      <c r="Q33" s="504"/>
      <c r="R33" s="504"/>
      <c r="S33" s="505"/>
      <c r="T33" s="503">
        <v>4</v>
      </c>
      <c r="U33" s="504"/>
      <c r="V33" s="504"/>
      <c r="W33" s="505"/>
      <c r="X33" s="503">
        <v>5</v>
      </c>
      <c r="Y33" s="504"/>
      <c r="Z33" s="504"/>
      <c r="AA33" s="505"/>
      <c r="AB33" s="503">
        <v>6</v>
      </c>
      <c r="AC33" s="504"/>
      <c r="AD33" s="504"/>
      <c r="AE33" s="505"/>
      <c r="AF33" s="503">
        <v>7</v>
      </c>
      <c r="AG33" s="504"/>
      <c r="AH33" s="504"/>
      <c r="AI33" s="505"/>
      <c r="AJ33" s="503">
        <v>8</v>
      </c>
      <c r="AK33" s="504"/>
      <c r="AL33" s="504"/>
      <c r="AM33" s="505"/>
      <c r="AN33" s="503">
        <v>9</v>
      </c>
      <c r="AO33" s="504"/>
      <c r="AP33" s="504"/>
      <c r="AQ33" s="505"/>
      <c r="AR33" s="503">
        <v>10</v>
      </c>
      <c r="AS33" s="504"/>
      <c r="AT33" s="504"/>
      <c r="AU33" s="505"/>
      <c r="AV33" s="503">
        <v>11</v>
      </c>
      <c r="AW33" s="504"/>
      <c r="AX33" s="504"/>
      <c r="AY33" s="505"/>
      <c r="AZ33" s="503">
        <v>12</v>
      </c>
      <c r="BA33" s="504"/>
      <c r="BB33" s="504"/>
      <c r="BC33" s="505"/>
      <c r="BD33" s="503">
        <v>13</v>
      </c>
      <c r="BE33" s="504"/>
      <c r="BF33" s="504"/>
      <c r="BG33" s="505"/>
      <c r="BH33" s="503">
        <v>14</v>
      </c>
      <c r="BI33" s="504"/>
      <c r="BJ33" s="504"/>
      <c r="BK33" s="505"/>
      <c r="BL33" s="503">
        <v>15</v>
      </c>
      <c r="BM33" s="504"/>
      <c r="BN33" s="504"/>
      <c r="BO33" s="505"/>
      <c r="BP33" s="503">
        <v>16</v>
      </c>
      <c r="BQ33" s="504"/>
      <c r="BR33" s="504"/>
      <c r="BS33" s="505"/>
    </row>
    <row r="34" spans="2:83" ht="19.5" customHeight="1">
      <c r="F34" s="470" t="s">
        <v>211</v>
      </c>
      <c r="G34" s="470"/>
      <c r="H34" s="495"/>
      <c r="I34" s="496"/>
      <c r="J34" s="496"/>
      <c r="K34" s="497"/>
      <c r="L34" s="495"/>
      <c r="M34" s="496"/>
      <c r="N34" s="496"/>
      <c r="O34" s="497"/>
      <c r="P34" s="495"/>
      <c r="Q34" s="496"/>
      <c r="R34" s="496"/>
      <c r="S34" s="497"/>
      <c r="T34" s="495"/>
      <c r="U34" s="496"/>
      <c r="V34" s="496"/>
      <c r="W34" s="497"/>
      <c r="X34" s="495"/>
      <c r="Y34" s="496"/>
      <c r="Z34" s="496"/>
      <c r="AA34" s="497"/>
      <c r="AB34" s="495"/>
      <c r="AC34" s="496"/>
      <c r="AD34" s="496"/>
      <c r="AE34" s="497"/>
      <c r="AF34" s="495"/>
      <c r="AG34" s="496"/>
      <c r="AH34" s="496"/>
      <c r="AI34" s="497"/>
      <c r="AJ34" s="495"/>
      <c r="AK34" s="496"/>
      <c r="AL34" s="496"/>
      <c r="AM34" s="497"/>
      <c r="AN34" s="495"/>
      <c r="AO34" s="496"/>
      <c r="AP34" s="496"/>
      <c r="AQ34" s="497"/>
      <c r="AR34" s="495"/>
      <c r="AS34" s="496"/>
      <c r="AT34" s="496"/>
      <c r="AU34" s="497"/>
      <c r="AV34" s="495"/>
      <c r="AW34" s="496"/>
      <c r="AX34" s="496"/>
      <c r="AY34" s="497"/>
      <c r="AZ34" s="495"/>
      <c r="BA34" s="496"/>
      <c r="BB34" s="496"/>
      <c r="BC34" s="497"/>
      <c r="BD34" s="495"/>
      <c r="BE34" s="496"/>
      <c r="BF34" s="496"/>
      <c r="BG34" s="497"/>
      <c r="BH34" s="495"/>
      <c r="BI34" s="496"/>
      <c r="BJ34" s="496"/>
      <c r="BK34" s="497"/>
      <c r="BL34" s="495"/>
      <c r="BM34" s="496"/>
      <c r="BN34" s="496"/>
      <c r="BO34" s="497"/>
      <c r="BP34" s="495"/>
      <c r="BQ34" s="496"/>
      <c r="BR34" s="496"/>
      <c r="BS34" s="497"/>
      <c r="BT34" s="498" t="s">
        <v>212</v>
      </c>
      <c r="BU34" s="499"/>
      <c r="BV34" s="499"/>
      <c r="BW34" s="499"/>
      <c r="BX34" s="499"/>
      <c r="BY34" s="499"/>
      <c r="BZ34" s="499"/>
      <c r="CA34" s="499"/>
      <c r="CB34" s="499"/>
      <c r="CC34" s="499"/>
      <c r="CD34" s="500"/>
    </row>
    <row r="35" spans="2:83" ht="90" customHeight="1">
      <c r="B35" s="501" t="s">
        <v>213</v>
      </c>
      <c r="C35" s="502" t="s">
        <v>214</v>
      </c>
      <c r="D35" s="501" t="s">
        <v>215</v>
      </c>
      <c r="E35" s="501" t="s">
        <v>216</v>
      </c>
      <c r="F35" s="54"/>
      <c r="G35" s="55" t="s">
        <v>217</v>
      </c>
      <c r="H35" s="483" t="s">
        <v>260</v>
      </c>
      <c r="I35" s="484"/>
      <c r="J35" s="484"/>
      <c r="K35" s="485"/>
      <c r="L35" s="483" t="s">
        <v>262</v>
      </c>
      <c r="M35" s="484"/>
      <c r="N35" s="484"/>
      <c r="O35" s="485"/>
      <c r="P35" s="483" t="s">
        <v>263</v>
      </c>
      <c r="Q35" s="484"/>
      <c r="R35" s="484"/>
      <c r="S35" s="485"/>
      <c r="T35" s="483" t="s">
        <v>264</v>
      </c>
      <c r="U35" s="484"/>
      <c r="V35" s="484"/>
      <c r="W35" s="485"/>
      <c r="X35" s="483" t="s">
        <v>265</v>
      </c>
      <c r="Y35" s="484"/>
      <c r="Z35" s="484"/>
      <c r="AA35" s="485"/>
      <c r="AB35" s="483" t="s">
        <v>266</v>
      </c>
      <c r="AC35" s="484"/>
      <c r="AD35" s="484"/>
      <c r="AE35" s="485"/>
      <c r="AF35" s="483"/>
      <c r="AG35" s="484"/>
      <c r="AH35" s="484"/>
      <c r="AI35" s="485"/>
      <c r="AJ35" s="483"/>
      <c r="AK35" s="484"/>
      <c r="AL35" s="484"/>
      <c r="AM35" s="485"/>
      <c r="AN35" s="483"/>
      <c r="AO35" s="484"/>
      <c r="AP35" s="484"/>
      <c r="AQ35" s="485"/>
      <c r="AR35" s="483"/>
      <c r="AS35" s="484"/>
      <c r="AT35" s="484"/>
      <c r="AU35" s="485"/>
      <c r="AV35" s="483"/>
      <c r="AW35" s="484"/>
      <c r="AX35" s="484"/>
      <c r="AY35" s="485"/>
      <c r="AZ35" s="483"/>
      <c r="BA35" s="484"/>
      <c r="BB35" s="484"/>
      <c r="BC35" s="485"/>
      <c r="BD35" s="483"/>
      <c r="BE35" s="484"/>
      <c r="BF35" s="484"/>
      <c r="BG35" s="485"/>
      <c r="BH35" s="483"/>
      <c r="BI35" s="484"/>
      <c r="BJ35" s="484"/>
      <c r="BK35" s="485"/>
      <c r="BL35" s="483"/>
      <c r="BM35" s="484"/>
      <c r="BN35" s="484"/>
      <c r="BO35" s="485"/>
      <c r="BP35" s="483"/>
      <c r="BQ35" s="484"/>
      <c r="BR35" s="484"/>
      <c r="BS35" s="485"/>
      <c r="BT35" s="492" t="s">
        <v>218</v>
      </c>
      <c r="BU35" s="492" t="s">
        <v>219</v>
      </c>
      <c r="BV35" s="492" t="s">
        <v>220</v>
      </c>
      <c r="BW35" s="492" t="s">
        <v>221</v>
      </c>
      <c r="BX35" s="492" t="s">
        <v>222</v>
      </c>
      <c r="BY35" s="493" t="s">
        <v>223</v>
      </c>
      <c r="BZ35" s="479" t="s">
        <v>224</v>
      </c>
      <c r="CA35" s="479" t="s">
        <v>225</v>
      </c>
      <c r="CB35" s="479" t="s">
        <v>226</v>
      </c>
      <c r="CC35" s="479" t="s">
        <v>227</v>
      </c>
      <c r="CD35" s="481" t="s">
        <v>228</v>
      </c>
      <c r="CE35" s="490" t="s">
        <v>213</v>
      </c>
    </row>
    <row r="36" spans="2:83" ht="90" customHeight="1">
      <c r="B36" s="501"/>
      <c r="C36" s="501"/>
      <c r="D36" s="501"/>
      <c r="E36" s="501"/>
      <c r="F36" s="56" t="s">
        <v>229</v>
      </c>
      <c r="G36" s="57"/>
      <c r="H36" s="486"/>
      <c r="I36" s="487"/>
      <c r="J36" s="487"/>
      <c r="K36" s="488"/>
      <c r="L36" s="486"/>
      <c r="M36" s="487"/>
      <c r="N36" s="487"/>
      <c r="O36" s="488"/>
      <c r="P36" s="486"/>
      <c r="Q36" s="487"/>
      <c r="R36" s="487"/>
      <c r="S36" s="488"/>
      <c r="T36" s="486"/>
      <c r="U36" s="487"/>
      <c r="V36" s="487"/>
      <c r="W36" s="488"/>
      <c r="X36" s="486"/>
      <c r="Y36" s="487"/>
      <c r="Z36" s="487"/>
      <c r="AA36" s="488"/>
      <c r="AB36" s="486"/>
      <c r="AC36" s="487"/>
      <c r="AD36" s="487"/>
      <c r="AE36" s="488"/>
      <c r="AF36" s="486"/>
      <c r="AG36" s="487"/>
      <c r="AH36" s="487"/>
      <c r="AI36" s="488"/>
      <c r="AJ36" s="486"/>
      <c r="AK36" s="487"/>
      <c r="AL36" s="487"/>
      <c r="AM36" s="488"/>
      <c r="AN36" s="486"/>
      <c r="AO36" s="487"/>
      <c r="AP36" s="487"/>
      <c r="AQ36" s="488"/>
      <c r="AR36" s="486"/>
      <c r="AS36" s="487"/>
      <c r="AT36" s="487"/>
      <c r="AU36" s="488"/>
      <c r="AV36" s="486"/>
      <c r="AW36" s="487"/>
      <c r="AX36" s="487"/>
      <c r="AY36" s="488"/>
      <c r="AZ36" s="486"/>
      <c r="BA36" s="487"/>
      <c r="BB36" s="487"/>
      <c r="BC36" s="488"/>
      <c r="BD36" s="486"/>
      <c r="BE36" s="487"/>
      <c r="BF36" s="487"/>
      <c r="BG36" s="488"/>
      <c r="BH36" s="486"/>
      <c r="BI36" s="487"/>
      <c r="BJ36" s="487"/>
      <c r="BK36" s="488"/>
      <c r="BL36" s="486"/>
      <c r="BM36" s="487"/>
      <c r="BN36" s="487"/>
      <c r="BO36" s="488"/>
      <c r="BP36" s="486"/>
      <c r="BQ36" s="487"/>
      <c r="BR36" s="487"/>
      <c r="BS36" s="488"/>
      <c r="BT36" s="492"/>
      <c r="BU36" s="492"/>
      <c r="BV36" s="492"/>
      <c r="BW36" s="492"/>
      <c r="BX36" s="492"/>
      <c r="BY36" s="494"/>
      <c r="BZ36" s="480"/>
      <c r="CA36" s="480"/>
      <c r="CB36" s="480"/>
      <c r="CC36" s="480"/>
      <c r="CD36" s="482"/>
      <c r="CE36" s="491"/>
    </row>
    <row r="37" spans="2:83" ht="30" customHeight="1">
      <c r="B37" s="58">
        <v>1</v>
      </c>
      <c r="C37" s="59" t="str">
        <f>REPT("|", (D37*100))</f>
        <v>|||||||||||||||||||||||||</v>
      </c>
      <c r="D37" s="60">
        <f>'S05 Req Weights'!K3</f>
        <v>0.25</v>
      </c>
      <c r="E37" s="61">
        <f>IF(COUNTIF(H37:BP37,"●"),9,IF(COUNTIF(H37:BP37,"○"),3,IF(COUNTIF(H37:BP37,"▽"),1,"")))</f>
        <v>1</v>
      </c>
      <c r="F37" s="478" t="str">
        <f>'S05 Req Weights'!A3</f>
        <v>Style</v>
      </c>
      <c r="G37" s="478"/>
      <c r="H37" s="475" t="s">
        <v>202</v>
      </c>
      <c r="I37" s="476"/>
      <c r="J37" s="476"/>
      <c r="K37" s="477"/>
      <c r="L37" s="475" t="s">
        <v>202</v>
      </c>
      <c r="M37" s="476"/>
      <c r="N37" s="476"/>
      <c r="O37" s="477"/>
      <c r="P37" s="475"/>
      <c r="Q37" s="476"/>
      <c r="R37" s="476"/>
      <c r="S37" s="477"/>
      <c r="T37" s="475" t="s">
        <v>202</v>
      </c>
      <c r="U37" s="476"/>
      <c r="V37" s="476"/>
      <c r="W37" s="477"/>
      <c r="X37" s="475"/>
      <c r="Y37" s="476"/>
      <c r="Z37" s="476"/>
      <c r="AA37" s="477"/>
      <c r="AB37" s="475"/>
      <c r="AC37" s="476"/>
      <c r="AD37" s="476"/>
      <c r="AE37" s="477"/>
      <c r="AF37" s="475"/>
      <c r="AG37" s="476"/>
      <c r="AH37" s="476"/>
      <c r="AI37" s="477"/>
      <c r="AJ37" s="475"/>
      <c r="AK37" s="476"/>
      <c r="AL37" s="476"/>
      <c r="AM37" s="477"/>
      <c r="AN37" s="475"/>
      <c r="AO37" s="476"/>
      <c r="AP37" s="476"/>
      <c r="AQ37" s="477"/>
      <c r="AR37" s="475"/>
      <c r="AS37" s="476"/>
      <c r="AT37" s="476"/>
      <c r="AU37" s="477"/>
      <c r="AV37" s="475"/>
      <c r="AW37" s="476"/>
      <c r="AX37" s="476"/>
      <c r="AY37" s="477"/>
      <c r="AZ37" s="475"/>
      <c r="BA37" s="476"/>
      <c r="BB37" s="476"/>
      <c r="BC37" s="477"/>
      <c r="BD37" s="475"/>
      <c r="BE37" s="476"/>
      <c r="BF37" s="476"/>
      <c r="BG37" s="477"/>
      <c r="BH37" s="475"/>
      <c r="BI37" s="476"/>
      <c r="BJ37" s="476"/>
      <c r="BK37" s="477"/>
      <c r="BL37" s="475"/>
      <c r="BM37" s="476"/>
      <c r="BN37" s="476"/>
      <c r="BO37" s="477"/>
      <c r="BP37" s="475"/>
      <c r="BQ37" s="476"/>
      <c r="BR37" s="476"/>
      <c r="BS37" s="477"/>
      <c r="BT37" s="62">
        <v>5</v>
      </c>
      <c r="BU37" s="62">
        <v>4</v>
      </c>
      <c r="BV37" s="62">
        <v>3</v>
      </c>
      <c r="BW37" s="62">
        <v>3</v>
      </c>
      <c r="BX37" s="62">
        <v>3</v>
      </c>
      <c r="BY37" s="489"/>
      <c r="CE37" s="58">
        <v>1</v>
      </c>
    </row>
    <row r="38" spans="2:83" ht="30" customHeight="1">
      <c r="B38" s="58">
        <v>2</v>
      </c>
      <c r="C38" s="59" t="str">
        <f t="shared" ref="C38:C43" si="0">REPT("|", (D38*100))</f>
        <v>||||||||</v>
      </c>
      <c r="D38" s="60">
        <f>'S05 Req Weights'!K4</f>
        <v>8.3333333333333329E-2</v>
      </c>
      <c r="E38" s="61">
        <f t="shared" ref="E38:E52" si="1">IF(COUNTIF(H38:BP38,"●"),9,IF(COUNTIF(H38:BP38,"○"),3,IF(COUNTIF(H38:BP38,"▽"),1,"")))</f>
        <v>9</v>
      </c>
      <c r="F38" s="478" t="str">
        <f>'S05 Req Weights'!A4</f>
        <v>Lightweight</v>
      </c>
      <c r="G38" s="478"/>
      <c r="H38" s="475"/>
      <c r="I38" s="476"/>
      <c r="J38" s="476"/>
      <c r="K38" s="477"/>
      <c r="L38" s="475" t="s">
        <v>198</v>
      </c>
      <c r="M38" s="476"/>
      <c r="N38" s="476"/>
      <c r="O38" s="477"/>
      <c r="P38" s="475" t="s">
        <v>198</v>
      </c>
      <c r="Q38" s="476"/>
      <c r="R38" s="476"/>
      <c r="S38" s="477"/>
      <c r="T38" s="475"/>
      <c r="U38" s="476"/>
      <c r="V38" s="476"/>
      <c r="W38" s="477"/>
      <c r="X38" s="475"/>
      <c r="Y38" s="476"/>
      <c r="Z38" s="476"/>
      <c r="AA38" s="477"/>
      <c r="AB38" s="475"/>
      <c r="AC38" s="476"/>
      <c r="AD38" s="476"/>
      <c r="AE38" s="477"/>
      <c r="AF38" s="475"/>
      <c r="AG38" s="476"/>
      <c r="AH38" s="476"/>
      <c r="AI38" s="477"/>
      <c r="AJ38" s="475"/>
      <c r="AK38" s="476"/>
      <c r="AL38" s="476"/>
      <c r="AM38" s="477"/>
      <c r="AN38" s="475"/>
      <c r="AO38" s="476"/>
      <c r="AP38" s="476"/>
      <c r="AQ38" s="477"/>
      <c r="AR38" s="475"/>
      <c r="AS38" s="476"/>
      <c r="AT38" s="476"/>
      <c r="AU38" s="477"/>
      <c r="AV38" s="475"/>
      <c r="AW38" s="476"/>
      <c r="AX38" s="476"/>
      <c r="AY38" s="477"/>
      <c r="AZ38" s="475"/>
      <c r="BA38" s="476"/>
      <c r="BB38" s="476"/>
      <c r="BC38" s="477"/>
      <c r="BD38" s="475"/>
      <c r="BE38" s="476"/>
      <c r="BF38" s="476"/>
      <c r="BG38" s="477"/>
      <c r="BH38" s="475"/>
      <c r="BI38" s="476"/>
      <c r="BJ38" s="476"/>
      <c r="BK38" s="477"/>
      <c r="BL38" s="475"/>
      <c r="BM38" s="476"/>
      <c r="BN38" s="476"/>
      <c r="BO38" s="477"/>
      <c r="BP38" s="475"/>
      <c r="BQ38" s="476"/>
      <c r="BR38" s="476"/>
      <c r="BS38" s="477"/>
      <c r="BT38" s="62">
        <v>2</v>
      </c>
      <c r="BU38" s="62">
        <v>3</v>
      </c>
      <c r="BV38" s="62">
        <v>3</v>
      </c>
      <c r="BW38" s="62">
        <v>3</v>
      </c>
      <c r="BX38" s="62">
        <v>3</v>
      </c>
      <c r="BY38" s="489"/>
      <c r="CE38" s="58">
        <v>2</v>
      </c>
    </row>
    <row r="39" spans="2:83" ht="30" customHeight="1">
      <c r="B39" s="58">
        <v>3</v>
      </c>
      <c r="C39" s="59" t="str">
        <f t="shared" si="0"/>
        <v>||||||||||||||||||</v>
      </c>
      <c r="D39" s="60">
        <f>'S05 Req Weights'!K5</f>
        <v>0.18333333333333332</v>
      </c>
      <c r="E39" s="61">
        <f t="shared" si="1"/>
        <v>9</v>
      </c>
      <c r="F39" s="478" t="str">
        <f>'S05 Req Weights'!A5</f>
        <v>Durable</v>
      </c>
      <c r="G39" s="478"/>
      <c r="H39" s="475"/>
      <c r="I39" s="476"/>
      <c r="J39" s="476"/>
      <c r="K39" s="477"/>
      <c r="L39" s="475" t="s">
        <v>202</v>
      </c>
      <c r="M39" s="476"/>
      <c r="N39" s="476"/>
      <c r="O39" s="477"/>
      <c r="P39" s="475" t="s">
        <v>198</v>
      </c>
      <c r="Q39" s="476"/>
      <c r="R39" s="476"/>
      <c r="S39" s="477"/>
      <c r="T39" s="475"/>
      <c r="U39" s="476"/>
      <c r="V39" s="476"/>
      <c r="W39" s="477"/>
      <c r="X39" s="475"/>
      <c r="Y39" s="476"/>
      <c r="Z39" s="476"/>
      <c r="AA39" s="477"/>
      <c r="AB39" s="475"/>
      <c r="AC39" s="476"/>
      <c r="AD39" s="476"/>
      <c r="AE39" s="477"/>
      <c r="AF39" s="475"/>
      <c r="AG39" s="476"/>
      <c r="AH39" s="476"/>
      <c r="AI39" s="477"/>
      <c r="AJ39" s="475"/>
      <c r="AK39" s="476"/>
      <c r="AL39" s="476"/>
      <c r="AM39" s="477"/>
      <c r="AN39" s="475"/>
      <c r="AO39" s="476"/>
      <c r="AP39" s="476"/>
      <c r="AQ39" s="477"/>
      <c r="AR39" s="475"/>
      <c r="AS39" s="476"/>
      <c r="AT39" s="476"/>
      <c r="AU39" s="477"/>
      <c r="AV39" s="475"/>
      <c r="AW39" s="476"/>
      <c r="AX39" s="476"/>
      <c r="AY39" s="477"/>
      <c r="AZ39" s="475"/>
      <c r="BA39" s="476"/>
      <c r="BB39" s="476"/>
      <c r="BC39" s="477"/>
      <c r="BD39" s="475"/>
      <c r="BE39" s="476"/>
      <c r="BF39" s="476"/>
      <c r="BG39" s="477"/>
      <c r="BH39" s="475"/>
      <c r="BI39" s="476"/>
      <c r="BJ39" s="476"/>
      <c r="BK39" s="477"/>
      <c r="BL39" s="475"/>
      <c r="BM39" s="476"/>
      <c r="BN39" s="476"/>
      <c r="BO39" s="477"/>
      <c r="BP39" s="475"/>
      <c r="BQ39" s="476"/>
      <c r="BR39" s="476"/>
      <c r="BS39" s="477"/>
      <c r="BT39" s="62">
        <v>5</v>
      </c>
      <c r="BU39" s="62">
        <v>4</v>
      </c>
      <c r="BV39" s="62">
        <v>2</v>
      </c>
      <c r="BW39" s="62">
        <v>3</v>
      </c>
      <c r="BX39" s="62">
        <v>4</v>
      </c>
      <c r="BY39" s="489"/>
      <c r="CE39" s="58">
        <v>3</v>
      </c>
    </row>
    <row r="40" spans="2:83" ht="30" customHeight="1">
      <c r="B40" s="58">
        <v>4</v>
      </c>
      <c r="C40" s="59" t="str">
        <f t="shared" si="0"/>
        <v>||||||||||</v>
      </c>
      <c r="D40" s="60">
        <f>'S05 Req Weights'!K6</f>
        <v>0.1</v>
      </c>
      <c r="E40" s="61">
        <f t="shared" si="1"/>
        <v>9</v>
      </c>
      <c r="F40" s="478" t="str">
        <f>'S05 Req Weights'!A6</f>
        <v>Simple locking system</v>
      </c>
      <c r="G40" s="478"/>
      <c r="H40" s="475" t="s">
        <v>200</v>
      </c>
      <c r="I40" s="476"/>
      <c r="J40" s="476"/>
      <c r="K40" s="477"/>
      <c r="L40" s="475"/>
      <c r="M40" s="476"/>
      <c r="N40" s="476"/>
      <c r="O40" s="477"/>
      <c r="P40" s="475"/>
      <c r="Q40" s="476"/>
      <c r="R40" s="476"/>
      <c r="S40" s="477"/>
      <c r="T40" s="475" t="s">
        <v>198</v>
      </c>
      <c r="U40" s="476"/>
      <c r="V40" s="476"/>
      <c r="W40" s="477"/>
      <c r="X40" s="475"/>
      <c r="Y40" s="476"/>
      <c r="Z40" s="476"/>
      <c r="AA40" s="477"/>
      <c r="AB40" s="475" t="s">
        <v>202</v>
      </c>
      <c r="AC40" s="476"/>
      <c r="AD40" s="476"/>
      <c r="AE40" s="477"/>
      <c r="AF40" s="475"/>
      <c r="AG40" s="476"/>
      <c r="AH40" s="476"/>
      <c r="AI40" s="477"/>
      <c r="AJ40" s="475"/>
      <c r="AK40" s="476"/>
      <c r="AL40" s="476"/>
      <c r="AM40" s="477"/>
      <c r="AN40" s="475"/>
      <c r="AO40" s="476"/>
      <c r="AP40" s="476"/>
      <c r="AQ40" s="477"/>
      <c r="AR40" s="475"/>
      <c r="AS40" s="476"/>
      <c r="AT40" s="476"/>
      <c r="AU40" s="477"/>
      <c r="AV40" s="475"/>
      <c r="AW40" s="476"/>
      <c r="AX40" s="476"/>
      <c r="AY40" s="477"/>
      <c r="AZ40" s="475"/>
      <c r="BA40" s="476"/>
      <c r="BB40" s="476"/>
      <c r="BC40" s="477"/>
      <c r="BD40" s="475"/>
      <c r="BE40" s="476"/>
      <c r="BF40" s="476"/>
      <c r="BG40" s="477"/>
      <c r="BH40" s="475"/>
      <c r="BI40" s="476"/>
      <c r="BJ40" s="476"/>
      <c r="BK40" s="477"/>
      <c r="BL40" s="475"/>
      <c r="BM40" s="476"/>
      <c r="BN40" s="476"/>
      <c r="BO40" s="477"/>
      <c r="BP40" s="475"/>
      <c r="BQ40" s="476"/>
      <c r="BR40" s="476"/>
      <c r="BS40" s="477"/>
      <c r="BT40" s="62">
        <v>5</v>
      </c>
      <c r="BU40" s="62">
        <v>5</v>
      </c>
      <c r="BV40" s="62">
        <v>2</v>
      </c>
      <c r="BW40" s="62">
        <v>2</v>
      </c>
      <c r="BX40" s="62">
        <v>4</v>
      </c>
      <c r="BY40" s="489"/>
      <c r="CE40" s="58">
        <v>4</v>
      </c>
    </row>
    <row r="41" spans="2:83" ht="30" customHeight="1">
      <c r="B41" s="58">
        <v>5</v>
      </c>
      <c r="C41" s="59" t="str">
        <f t="shared" si="0"/>
        <v>||||||||||||||||||||</v>
      </c>
      <c r="D41" s="60">
        <f>'S05 Req Weights'!K7</f>
        <v>0.2</v>
      </c>
      <c r="E41" s="61">
        <f t="shared" si="1"/>
        <v>9</v>
      </c>
      <c r="F41" s="478" t="str">
        <f>'S05 Req Weights'!A7</f>
        <v>Short charging time</v>
      </c>
      <c r="G41" s="478"/>
      <c r="H41" s="475"/>
      <c r="I41" s="476"/>
      <c r="J41" s="476"/>
      <c r="K41" s="477"/>
      <c r="L41" s="475"/>
      <c r="M41" s="476"/>
      <c r="N41" s="476"/>
      <c r="O41" s="477"/>
      <c r="P41" s="475"/>
      <c r="Q41" s="476"/>
      <c r="R41" s="476"/>
      <c r="S41" s="477"/>
      <c r="T41" s="475"/>
      <c r="U41" s="476"/>
      <c r="V41" s="476"/>
      <c r="W41" s="477"/>
      <c r="X41" s="475" t="s">
        <v>198</v>
      </c>
      <c r="Y41" s="476"/>
      <c r="Z41" s="476"/>
      <c r="AA41" s="477"/>
      <c r="AB41" s="475" t="s">
        <v>202</v>
      </c>
      <c r="AC41" s="476"/>
      <c r="AD41" s="476"/>
      <c r="AE41" s="477"/>
      <c r="AF41" s="475"/>
      <c r="AG41" s="476"/>
      <c r="AH41" s="476"/>
      <c r="AI41" s="477"/>
      <c r="AJ41" s="475"/>
      <c r="AK41" s="476"/>
      <c r="AL41" s="476"/>
      <c r="AM41" s="477"/>
      <c r="AN41" s="475"/>
      <c r="AO41" s="476"/>
      <c r="AP41" s="476"/>
      <c r="AQ41" s="477"/>
      <c r="AR41" s="475"/>
      <c r="AS41" s="476"/>
      <c r="AT41" s="476"/>
      <c r="AU41" s="477"/>
      <c r="AV41" s="475"/>
      <c r="AW41" s="476"/>
      <c r="AX41" s="476"/>
      <c r="AY41" s="477"/>
      <c r="AZ41" s="475"/>
      <c r="BA41" s="476"/>
      <c r="BB41" s="476"/>
      <c r="BC41" s="477"/>
      <c r="BD41" s="475"/>
      <c r="BE41" s="476"/>
      <c r="BF41" s="476"/>
      <c r="BG41" s="477"/>
      <c r="BH41" s="475"/>
      <c r="BI41" s="476"/>
      <c r="BJ41" s="476"/>
      <c r="BK41" s="477"/>
      <c r="BL41" s="475"/>
      <c r="BM41" s="476"/>
      <c r="BN41" s="476"/>
      <c r="BO41" s="477"/>
      <c r="BP41" s="475"/>
      <c r="BQ41" s="476"/>
      <c r="BR41" s="476"/>
      <c r="BS41" s="477"/>
      <c r="BT41" s="62">
        <v>4</v>
      </c>
      <c r="BU41" s="62">
        <v>3</v>
      </c>
      <c r="BV41" s="62">
        <v>3</v>
      </c>
      <c r="BW41" s="62">
        <v>3</v>
      </c>
      <c r="BX41" s="62">
        <v>3</v>
      </c>
      <c r="BY41" s="489"/>
      <c r="CE41" s="58">
        <v>5</v>
      </c>
    </row>
    <row r="42" spans="2:83" ht="30" customHeight="1">
      <c r="B42" s="58">
        <v>6</v>
      </c>
      <c r="C42" s="59" t="str">
        <f t="shared" si="0"/>
        <v>||||||||||||||||||</v>
      </c>
      <c r="D42" s="60">
        <f>'S05 Req Weights'!K8</f>
        <v>0.18333333333333332</v>
      </c>
      <c r="E42" s="61">
        <f t="shared" si="1"/>
        <v>9</v>
      </c>
      <c r="F42" s="478" t="str">
        <f>'S05 Req Weights'!A8</f>
        <v>Easy-to-replace parts</v>
      </c>
      <c r="G42" s="478"/>
      <c r="H42" s="475" t="s">
        <v>198</v>
      </c>
      <c r="I42" s="476"/>
      <c r="J42" s="476"/>
      <c r="K42" s="477"/>
      <c r="L42" s="475"/>
      <c r="M42" s="476"/>
      <c r="N42" s="476"/>
      <c r="O42" s="477"/>
      <c r="P42" s="475"/>
      <c r="Q42" s="476"/>
      <c r="R42" s="476"/>
      <c r="S42" s="477"/>
      <c r="T42" s="475" t="s">
        <v>202</v>
      </c>
      <c r="U42" s="476"/>
      <c r="V42" s="476"/>
      <c r="W42" s="477"/>
      <c r="X42" s="475"/>
      <c r="Y42" s="476"/>
      <c r="Z42" s="476"/>
      <c r="AA42" s="477"/>
      <c r="AB42" s="475" t="s">
        <v>198</v>
      </c>
      <c r="AC42" s="476"/>
      <c r="AD42" s="476"/>
      <c r="AE42" s="477"/>
      <c r="AF42" s="475"/>
      <c r="AG42" s="476"/>
      <c r="AH42" s="476"/>
      <c r="AI42" s="477"/>
      <c r="AJ42" s="475"/>
      <c r="AK42" s="476"/>
      <c r="AL42" s="476"/>
      <c r="AM42" s="477"/>
      <c r="AN42" s="475"/>
      <c r="AO42" s="476"/>
      <c r="AP42" s="476"/>
      <c r="AQ42" s="477"/>
      <c r="AR42" s="475"/>
      <c r="AS42" s="476"/>
      <c r="AT42" s="476"/>
      <c r="AU42" s="477"/>
      <c r="AV42" s="475"/>
      <c r="AW42" s="476"/>
      <c r="AX42" s="476"/>
      <c r="AY42" s="477"/>
      <c r="AZ42" s="475"/>
      <c r="BA42" s="476"/>
      <c r="BB42" s="476"/>
      <c r="BC42" s="477"/>
      <c r="BD42" s="475"/>
      <c r="BE42" s="476"/>
      <c r="BF42" s="476"/>
      <c r="BG42" s="477"/>
      <c r="BH42" s="475"/>
      <c r="BI42" s="476"/>
      <c r="BJ42" s="476"/>
      <c r="BK42" s="477"/>
      <c r="BL42" s="475"/>
      <c r="BM42" s="476"/>
      <c r="BN42" s="476"/>
      <c r="BO42" s="477"/>
      <c r="BP42" s="475"/>
      <c r="BQ42" s="476"/>
      <c r="BR42" s="476"/>
      <c r="BS42" s="477"/>
      <c r="BT42" s="62">
        <v>5</v>
      </c>
      <c r="BU42" s="62">
        <v>4</v>
      </c>
      <c r="BV42" s="62">
        <v>2</v>
      </c>
      <c r="BW42" s="62">
        <v>2</v>
      </c>
      <c r="BX42" s="62">
        <v>2</v>
      </c>
      <c r="BY42" s="489"/>
      <c r="CE42" s="58">
        <v>6</v>
      </c>
    </row>
    <row r="43" spans="2:83" ht="30" customHeight="1">
      <c r="B43" s="58">
        <v>7</v>
      </c>
      <c r="C43" s="59" t="str">
        <f t="shared" si="0"/>
        <v/>
      </c>
      <c r="D43" s="60"/>
      <c r="E43" s="61" t="str">
        <f t="shared" si="1"/>
        <v/>
      </c>
      <c r="F43" s="478" t="str">
        <f>'S05 Req Weights'!A9</f>
        <v>Different sizes</v>
      </c>
      <c r="G43" s="478"/>
      <c r="H43" s="475"/>
      <c r="I43" s="476"/>
      <c r="J43" s="476"/>
      <c r="K43" s="477"/>
      <c r="L43" s="475"/>
      <c r="M43" s="476"/>
      <c r="N43" s="476"/>
      <c r="O43" s="477"/>
      <c r="P43" s="475"/>
      <c r="Q43" s="476"/>
      <c r="R43" s="476"/>
      <c r="S43" s="477"/>
      <c r="T43" s="475"/>
      <c r="U43" s="476"/>
      <c r="V43" s="476"/>
      <c r="W43" s="477"/>
      <c r="X43" s="475"/>
      <c r="Y43" s="476"/>
      <c r="Z43" s="476"/>
      <c r="AA43" s="477"/>
      <c r="AB43" s="475"/>
      <c r="AC43" s="476"/>
      <c r="AD43" s="476"/>
      <c r="AE43" s="477"/>
      <c r="AF43" s="475"/>
      <c r="AG43" s="476"/>
      <c r="AH43" s="476"/>
      <c r="AI43" s="477"/>
      <c r="AJ43" s="475"/>
      <c r="AK43" s="476"/>
      <c r="AL43" s="476"/>
      <c r="AM43" s="477"/>
      <c r="AN43" s="475"/>
      <c r="AO43" s="476"/>
      <c r="AP43" s="476"/>
      <c r="AQ43" s="477"/>
      <c r="AR43" s="475"/>
      <c r="AS43" s="476"/>
      <c r="AT43" s="476"/>
      <c r="AU43" s="477"/>
      <c r="AV43" s="475"/>
      <c r="AW43" s="476"/>
      <c r="AX43" s="476"/>
      <c r="AY43" s="477"/>
      <c r="AZ43" s="475"/>
      <c r="BA43" s="476"/>
      <c r="BB43" s="476"/>
      <c r="BC43" s="477"/>
      <c r="BD43" s="475"/>
      <c r="BE43" s="476"/>
      <c r="BF43" s="476"/>
      <c r="BG43" s="477"/>
      <c r="BH43" s="475"/>
      <c r="BI43" s="476"/>
      <c r="BJ43" s="476"/>
      <c r="BK43" s="477"/>
      <c r="BL43" s="475"/>
      <c r="BM43" s="476"/>
      <c r="BN43" s="476"/>
      <c r="BO43" s="477"/>
      <c r="BP43" s="475"/>
      <c r="BQ43" s="476"/>
      <c r="BR43" s="476"/>
      <c r="BS43" s="477"/>
      <c r="BT43" s="62">
        <v>2</v>
      </c>
      <c r="BU43" s="62">
        <v>5</v>
      </c>
      <c r="BV43" s="62">
        <v>2</v>
      </c>
      <c r="BW43" s="62">
        <v>3</v>
      </c>
      <c r="BX43" s="62">
        <v>3</v>
      </c>
      <c r="BY43" s="489"/>
      <c r="CE43" s="58">
        <v>7</v>
      </c>
    </row>
    <row r="44" spans="2:83" ht="30" customHeight="1">
      <c r="B44" s="58">
        <v>8</v>
      </c>
      <c r="C44" s="59"/>
      <c r="D44" s="60"/>
      <c r="E44" s="61" t="str">
        <f t="shared" si="1"/>
        <v/>
      </c>
      <c r="F44" s="478" t="str">
        <f>'S05 Req Weights'!A10</f>
        <v>Long-lasting battery</v>
      </c>
      <c r="G44" s="478"/>
      <c r="H44" s="475"/>
      <c r="I44" s="476"/>
      <c r="J44" s="476"/>
      <c r="K44" s="477"/>
      <c r="L44" s="475"/>
      <c r="M44" s="476"/>
      <c r="N44" s="476"/>
      <c r="O44" s="477"/>
      <c r="P44" s="475"/>
      <c r="Q44" s="476"/>
      <c r="R44" s="476"/>
      <c r="S44" s="477"/>
      <c r="T44" s="475"/>
      <c r="U44" s="476"/>
      <c r="V44" s="476"/>
      <c r="W44" s="477"/>
      <c r="X44" s="475"/>
      <c r="Y44" s="476"/>
      <c r="Z44" s="476"/>
      <c r="AA44" s="477"/>
      <c r="AB44" s="475"/>
      <c r="AC44" s="476"/>
      <c r="AD44" s="476"/>
      <c r="AE44" s="477"/>
      <c r="AF44" s="475"/>
      <c r="AG44" s="476"/>
      <c r="AH44" s="476"/>
      <c r="AI44" s="477"/>
      <c r="AJ44" s="475"/>
      <c r="AK44" s="476"/>
      <c r="AL44" s="476"/>
      <c r="AM44" s="477"/>
      <c r="AN44" s="475"/>
      <c r="AO44" s="476"/>
      <c r="AP44" s="476"/>
      <c r="AQ44" s="477"/>
      <c r="AR44" s="475"/>
      <c r="AS44" s="476"/>
      <c r="AT44" s="476"/>
      <c r="AU44" s="477"/>
      <c r="AV44" s="475"/>
      <c r="AW44" s="476"/>
      <c r="AX44" s="476"/>
      <c r="AY44" s="477"/>
      <c r="AZ44" s="475"/>
      <c r="BA44" s="476"/>
      <c r="BB44" s="476"/>
      <c r="BC44" s="477"/>
      <c r="BD44" s="475"/>
      <c r="BE44" s="476"/>
      <c r="BF44" s="476"/>
      <c r="BG44" s="477"/>
      <c r="BH44" s="475"/>
      <c r="BI44" s="476"/>
      <c r="BJ44" s="476"/>
      <c r="BK44" s="477"/>
      <c r="BL44" s="475"/>
      <c r="BM44" s="476"/>
      <c r="BN44" s="476"/>
      <c r="BO44" s="477"/>
      <c r="BP44" s="475"/>
      <c r="BQ44" s="476"/>
      <c r="BR44" s="476"/>
      <c r="BS44" s="477"/>
      <c r="BT44" s="62">
        <v>4</v>
      </c>
      <c r="BU44" s="62">
        <v>3</v>
      </c>
      <c r="BV44" s="62">
        <v>2</v>
      </c>
      <c r="BW44" s="62">
        <v>2</v>
      </c>
      <c r="BX44" s="62">
        <v>4</v>
      </c>
      <c r="BY44" s="489"/>
      <c r="CE44" s="58">
        <v>8</v>
      </c>
    </row>
    <row r="45" spans="2:83" ht="30" customHeight="1">
      <c r="B45" s="58">
        <v>9</v>
      </c>
      <c r="C45" s="59"/>
      <c r="D45" s="61"/>
      <c r="E45" s="61" t="str">
        <f t="shared" si="1"/>
        <v/>
      </c>
      <c r="F45" s="478" t="str">
        <f>'S05 Req Weights'!A11</f>
        <v>Display</v>
      </c>
      <c r="G45" s="478"/>
      <c r="H45" s="475"/>
      <c r="I45" s="476"/>
      <c r="J45" s="476"/>
      <c r="K45" s="477"/>
      <c r="L45" s="475"/>
      <c r="M45" s="476"/>
      <c r="N45" s="476"/>
      <c r="O45" s="477"/>
      <c r="P45" s="475"/>
      <c r="Q45" s="476"/>
      <c r="R45" s="476"/>
      <c r="S45" s="477"/>
      <c r="T45" s="475"/>
      <c r="U45" s="476"/>
      <c r="V45" s="476"/>
      <c r="W45" s="477"/>
      <c r="X45" s="475"/>
      <c r="Y45" s="476"/>
      <c r="Z45" s="476"/>
      <c r="AA45" s="477"/>
      <c r="AB45" s="475"/>
      <c r="AC45" s="476"/>
      <c r="AD45" s="476"/>
      <c r="AE45" s="477"/>
      <c r="AF45" s="475"/>
      <c r="AG45" s="476"/>
      <c r="AH45" s="476"/>
      <c r="AI45" s="477"/>
      <c r="AJ45" s="475"/>
      <c r="AK45" s="476"/>
      <c r="AL45" s="476"/>
      <c r="AM45" s="477"/>
      <c r="AN45" s="475"/>
      <c r="AO45" s="476"/>
      <c r="AP45" s="476"/>
      <c r="AQ45" s="477"/>
      <c r="AR45" s="475"/>
      <c r="AS45" s="476"/>
      <c r="AT45" s="476"/>
      <c r="AU45" s="477"/>
      <c r="AV45" s="475"/>
      <c r="AW45" s="476"/>
      <c r="AX45" s="476"/>
      <c r="AY45" s="477"/>
      <c r="AZ45" s="475"/>
      <c r="BA45" s="476"/>
      <c r="BB45" s="476"/>
      <c r="BC45" s="477"/>
      <c r="BD45" s="475"/>
      <c r="BE45" s="476"/>
      <c r="BF45" s="476"/>
      <c r="BG45" s="477"/>
      <c r="BH45" s="475"/>
      <c r="BI45" s="476"/>
      <c r="BJ45" s="476"/>
      <c r="BK45" s="477"/>
      <c r="BL45" s="475"/>
      <c r="BM45" s="476"/>
      <c r="BN45" s="476"/>
      <c r="BO45" s="477"/>
      <c r="BP45" s="475"/>
      <c r="BQ45" s="476"/>
      <c r="BR45" s="476"/>
      <c r="BS45" s="477"/>
      <c r="BT45" s="62">
        <v>3</v>
      </c>
      <c r="BU45" s="62">
        <v>4</v>
      </c>
      <c r="BV45" s="62">
        <v>1</v>
      </c>
      <c r="BW45" s="62">
        <v>3</v>
      </c>
      <c r="BX45" s="62">
        <v>2</v>
      </c>
      <c r="BY45" s="489"/>
      <c r="CE45" s="58">
        <v>9</v>
      </c>
    </row>
    <row r="46" spans="2:83" ht="30" customHeight="1">
      <c r="B46" s="58">
        <v>10</v>
      </c>
      <c r="C46" s="59"/>
      <c r="D46" s="61"/>
      <c r="E46" s="61" t="str">
        <f t="shared" si="1"/>
        <v/>
      </c>
      <c r="F46" s="478" t="str">
        <f>'S05 Req Weights'!A12</f>
        <v>Smartphone connectivity</v>
      </c>
      <c r="G46" s="478"/>
      <c r="H46" s="475"/>
      <c r="I46" s="476"/>
      <c r="J46" s="476"/>
      <c r="K46" s="477"/>
      <c r="L46" s="475"/>
      <c r="M46" s="476"/>
      <c r="N46" s="476"/>
      <c r="O46" s="477"/>
      <c r="P46" s="475"/>
      <c r="Q46" s="476"/>
      <c r="R46" s="476"/>
      <c r="S46" s="477"/>
      <c r="T46" s="475"/>
      <c r="U46" s="476"/>
      <c r="V46" s="476"/>
      <c r="W46" s="477"/>
      <c r="X46" s="475"/>
      <c r="Y46" s="476"/>
      <c r="Z46" s="476"/>
      <c r="AA46" s="477"/>
      <c r="AB46" s="475"/>
      <c r="AC46" s="476"/>
      <c r="AD46" s="476"/>
      <c r="AE46" s="477"/>
      <c r="AF46" s="475"/>
      <c r="AG46" s="476"/>
      <c r="AH46" s="476"/>
      <c r="AI46" s="477"/>
      <c r="AJ46" s="475"/>
      <c r="AK46" s="476"/>
      <c r="AL46" s="476"/>
      <c r="AM46" s="477"/>
      <c r="AN46" s="475"/>
      <c r="AO46" s="476"/>
      <c r="AP46" s="476"/>
      <c r="AQ46" s="477"/>
      <c r="AR46" s="475"/>
      <c r="AS46" s="476"/>
      <c r="AT46" s="476"/>
      <c r="AU46" s="477"/>
      <c r="AV46" s="475"/>
      <c r="AW46" s="476"/>
      <c r="AX46" s="476"/>
      <c r="AY46" s="477"/>
      <c r="AZ46" s="475"/>
      <c r="BA46" s="476"/>
      <c r="BB46" s="476"/>
      <c r="BC46" s="477"/>
      <c r="BD46" s="475"/>
      <c r="BE46" s="476"/>
      <c r="BF46" s="476"/>
      <c r="BG46" s="477"/>
      <c r="BH46" s="475"/>
      <c r="BI46" s="476"/>
      <c r="BJ46" s="476"/>
      <c r="BK46" s="477"/>
      <c r="BL46" s="475"/>
      <c r="BM46" s="476"/>
      <c r="BN46" s="476"/>
      <c r="BO46" s="477"/>
      <c r="BP46" s="475"/>
      <c r="BQ46" s="476"/>
      <c r="BR46" s="476"/>
      <c r="BS46" s="477"/>
      <c r="BT46" s="62">
        <v>2</v>
      </c>
      <c r="BU46" s="62">
        <v>4</v>
      </c>
      <c r="BV46" s="62">
        <v>3</v>
      </c>
      <c r="BW46" s="62">
        <v>1</v>
      </c>
      <c r="BX46" s="62">
        <v>3</v>
      </c>
      <c r="BY46" s="489"/>
      <c r="CE46" s="58">
        <v>10</v>
      </c>
    </row>
    <row r="47" spans="2:83" ht="30" customHeight="1">
      <c r="B47" s="58">
        <v>11</v>
      </c>
      <c r="C47" s="59"/>
      <c r="D47" s="61"/>
      <c r="E47" s="61" t="str">
        <f t="shared" si="1"/>
        <v/>
      </c>
      <c r="F47" s="478" t="str">
        <f>'S05 Req Weights'!A13</f>
        <v>GPS tracking</v>
      </c>
      <c r="G47" s="478"/>
      <c r="H47" s="475"/>
      <c r="I47" s="476"/>
      <c r="J47" s="476"/>
      <c r="K47" s="477"/>
      <c r="L47" s="475"/>
      <c r="M47" s="476"/>
      <c r="N47" s="476"/>
      <c r="O47" s="477"/>
      <c r="P47" s="475"/>
      <c r="Q47" s="476"/>
      <c r="R47" s="476"/>
      <c r="S47" s="477"/>
      <c r="T47" s="475"/>
      <c r="U47" s="476"/>
      <c r="V47" s="476"/>
      <c r="W47" s="477"/>
      <c r="X47" s="475"/>
      <c r="Y47" s="476"/>
      <c r="Z47" s="476"/>
      <c r="AA47" s="477"/>
      <c r="AB47" s="475"/>
      <c r="AC47" s="476"/>
      <c r="AD47" s="476"/>
      <c r="AE47" s="477"/>
      <c r="AF47" s="475"/>
      <c r="AG47" s="476"/>
      <c r="AH47" s="476"/>
      <c r="AI47" s="477"/>
      <c r="AJ47" s="475"/>
      <c r="AK47" s="476"/>
      <c r="AL47" s="476"/>
      <c r="AM47" s="477"/>
      <c r="AN47" s="475"/>
      <c r="AO47" s="476"/>
      <c r="AP47" s="476"/>
      <c r="AQ47" s="477"/>
      <c r="AR47" s="475"/>
      <c r="AS47" s="476"/>
      <c r="AT47" s="476"/>
      <c r="AU47" s="477"/>
      <c r="AV47" s="475"/>
      <c r="AW47" s="476"/>
      <c r="AX47" s="476"/>
      <c r="AY47" s="477"/>
      <c r="AZ47" s="475"/>
      <c r="BA47" s="476"/>
      <c r="BB47" s="476"/>
      <c r="BC47" s="477"/>
      <c r="BD47" s="475"/>
      <c r="BE47" s="476"/>
      <c r="BF47" s="476"/>
      <c r="BG47" s="477"/>
      <c r="BH47" s="475"/>
      <c r="BI47" s="476"/>
      <c r="BJ47" s="476"/>
      <c r="BK47" s="477"/>
      <c r="BL47" s="475"/>
      <c r="BM47" s="476"/>
      <c r="BN47" s="476"/>
      <c r="BO47" s="477"/>
      <c r="BP47" s="475"/>
      <c r="BQ47" s="476"/>
      <c r="BR47" s="476"/>
      <c r="BS47" s="477"/>
      <c r="BT47" s="62">
        <v>4</v>
      </c>
      <c r="BU47" s="62">
        <v>2</v>
      </c>
      <c r="BV47" s="62">
        <v>4</v>
      </c>
      <c r="BW47" s="62">
        <v>4</v>
      </c>
      <c r="BX47" s="62">
        <v>1</v>
      </c>
      <c r="BY47" s="489"/>
      <c r="CE47" s="58">
        <v>11</v>
      </c>
    </row>
    <row r="48" spans="2:83" ht="30" customHeight="1">
      <c r="B48" s="58">
        <v>12</v>
      </c>
      <c r="C48" s="59"/>
      <c r="D48" s="61"/>
      <c r="E48" s="61" t="str">
        <f t="shared" si="1"/>
        <v/>
      </c>
      <c r="F48" s="478" t="str">
        <f>'S05 Req Weights'!A14</f>
        <v>Basket</v>
      </c>
      <c r="G48" s="478"/>
      <c r="H48" s="475"/>
      <c r="I48" s="476"/>
      <c r="J48" s="476"/>
      <c r="K48" s="477"/>
      <c r="L48" s="475"/>
      <c r="M48" s="476"/>
      <c r="N48" s="476"/>
      <c r="O48" s="477"/>
      <c r="P48" s="475"/>
      <c r="Q48" s="476"/>
      <c r="R48" s="476"/>
      <c r="S48" s="477"/>
      <c r="T48" s="475"/>
      <c r="U48" s="476"/>
      <c r="V48" s="476"/>
      <c r="W48" s="477"/>
      <c r="X48" s="475"/>
      <c r="Y48" s="476"/>
      <c r="Z48" s="476"/>
      <c r="AA48" s="477"/>
      <c r="AB48" s="475"/>
      <c r="AC48" s="476"/>
      <c r="AD48" s="476"/>
      <c r="AE48" s="477"/>
      <c r="AF48" s="475"/>
      <c r="AG48" s="476"/>
      <c r="AH48" s="476"/>
      <c r="AI48" s="477"/>
      <c r="AJ48" s="475"/>
      <c r="AK48" s="476"/>
      <c r="AL48" s="476"/>
      <c r="AM48" s="477"/>
      <c r="AN48" s="475"/>
      <c r="AO48" s="476"/>
      <c r="AP48" s="476"/>
      <c r="AQ48" s="477"/>
      <c r="AR48" s="475"/>
      <c r="AS48" s="476"/>
      <c r="AT48" s="476"/>
      <c r="AU48" s="477"/>
      <c r="AV48" s="475"/>
      <c r="AW48" s="476"/>
      <c r="AX48" s="476"/>
      <c r="AY48" s="477"/>
      <c r="AZ48" s="475"/>
      <c r="BA48" s="476"/>
      <c r="BB48" s="476"/>
      <c r="BC48" s="477"/>
      <c r="BD48" s="475"/>
      <c r="BE48" s="476"/>
      <c r="BF48" s="476"/>
      <c r="BG48" s="477"/>
      <c r="BH48" s="475"/>
      <c r="BI48" s="476"/>
      <c r="BJ48" s="476"/>
      <c r="BK48" s="477"/>
      <c r="BL48" s="475"/>
      <c r="BM48" s="476"/>
      <c r="BN48" s="476"/>
      <c r="BO48" s="477"/>
      <c r="BP48" s="475"/>
      <c r="BQ48" s="476"/>
      <c r="BR48" s="476"/>
      <c r="BS48" s="477"/>
      <c r="BT48" s="62">
        <v>5</v>
      </c>
      <c r="BU48" s="62">
        <v>1</v>
      </c>
      <c r="BV48" s="62">
        <v>5</v>
      </c>
      <c r="BW48" s="62">
        <v>2</v>
      </c>
      <c r="BX48" s="62">
        <v>2</v>
      </c>
      <c r="BY48" s="489"/>
      <c r="CE48" s="58">
        <v>12</v>
      </c>
    </row>
    <row r="49" spans="2:83" ht="30" customHeight="1">
      <c r="B49" s="58">
        <v>13</v>
      </c>
      <c r="C49" s="59"/>
      <c r="D49" s="61"/>
      <c r="E49" s="61" t="str">
        <f t="shared" si="1"/>
        <v/>
      </c>
      <c r="F49" s="478" t="str">
        <f>'S05 Req Weights'!A15</f>
        <v>Gear system</v>
      </c>
      <c r="G49" s="478"/>
      <c r="H49" s="475"/>
      <c r="I49" s="476"/>
      <c r="J49" s="476"/>
      <c r="K49" s="477"/>
      <c r="L49" s="475"/>
      <c r="M49" s="476"/>
      <c r="N49" s="476"/>
      <c r="O49" s="477"/>
      <c r="P49" s="475"/>
      <c r="Q49" s="476"/>
      <c r="R49" s="476"/>
      <c r="S49" s="477"/>
      <c r="T49" s="475"/>
      <c r="U49" s="476"/>
      <c r="V49" s="476"/>
      <c r="W49" s="477"/>
      <c r="X49" s="475"/>
      <c r="Y49" s="476"/>
      <c r="Z49" s="476"/>
      <c r="AA49" s="477"/>
      <c r="AB49" s="475"/>
      <c r="AC49" s="476"/>
      <c r="AD49" s="476"/>
      <c r="AE49" s="477"/>
      <c r="AF49" s="475"/>
      <c r="AG49" s="476"/>
      <c r="AH49" s="476"/>
      <c r="AI49" s="477"/>
      <c r="AJ49" s="475"/>
      <c r="AK49" s="476"/>
      <c r="AL49" s="476"/>
      <c r="AM49" s="477"/>
      <c r="AN49" s="475"/>
      <c r="AO49" s="476"/>
      <c r="AP49" s="476"/>
      <c r="AQ49" s="477"/>
      <c r="AR49" s="475"/>
      <c r="AS49" s="476"/>
      <c r="AT49" s="476"/>
      <c r="AU49" s="477"/>
      <c r="AV49" s="475"/>
      <c r="AW49" s="476"/>
      <c r="AX49" s="476"/>
      <c r="AY49" s="477"/>
      <c r="AZ49" s="475"/>
      <c r="BA49" s="476"/>
      <c r="BB49" s="476"/>
      <c r="BC49" s="477"/>
      <c r="BD49" s="475"/>
      <c r="BE49" s="476"/>
      <c r="BF49" s="476"/>
      <c r="BG49" s="477"/>
      <c r="BH49" s="475"/>
      <c r="BI49" s="476"/>
      <c r="BJ49" s="476"/>
      <c r="BK49" s="477"/>
      <c r="BL49" s="475"/>
      <c r="BM49" s="476"/>
      <c r="BN49" s="476"/>
      <c r="BO49" s="477"/>
      <c r="BP49" s="475"/>
      <c r="BQ49" s="476"/>
      <c r="BR49" s="476"/>
      <c r="BS49" s="477"/>
      <c r="BT49" s="62">
        <v>3</v>
      </c>
      <c r="BU49" s="62">
        <v>2</v>
      </c>
      <c r="BV49" s="62">
        <v>5</v>
      </c>
      <c r="BW49" s="62">
        <v>1</v>
      </c>
      <c r="BX49" s="62">
        <v>1</v>
      </c>
      <c r="BY49" s="489"/>
      <c r="CE49" s="58">
        <v>13</v>
      </c>
    </row>
    <row r="50" spans="2:83" ht="30" customHeight="1">
      <c r="B50" s="58">
        <v>14</v>
      </c>
      <c r="C50" s="59"/>
      <c r="D50" s="61"/>
      <c r="E50" s="61" t="str">
        <f t="shared" si="1"/>
        <v/>
      </c>
      <c r="F50" s="478" t="str">
        <f>'S05 Req Weights'!A16</f>
        <v>Break system</v>
      </c>
      <c r="G50" s="478"/>
      <c r="H50" s="475"/>
      <c r="I50" s="476"/>
      <c r="J50" s="476"/>
      <c r="K50" s="477"/>
      <c r="L50" s="475"/>
      <c r="M50" s="476"/>
      <c r="N50" s="476"/>
      <c r="O50" s="477"/>
      <c r="P50" s="475"/>
      <c r="Q50" s="476"/>
      <c r="R50" s="476"/>
      <c r="S50" s="477"/>
      <c r="T50" s="475"/>
      <c r="U50" s="476"/>
      <c r="V50" s="476"/>
      <c r="W50" s="477"/>
      <c r="X50" s="475"/>
      <c r="Y50" s="476"/>
      <c r="Z50" s="476"/>
      <c r="AA50" s="477"/>
      <c r="AB50" s="475"/>
      <c r="AC50" s="476"/>
      <c r="AD50" s="476"/>
      <c r="AE50" s="477"/>
      <c r="AF50" s="475"/>
      <c r="AG50" s="476"/>
      <c r="AH50" s="476"/>
      <c r="AI50" s="477"/>
      <c r="AJ50" s="475"/>
      <c r="AK50" s="476"/>
      <c r="AL50" s="476"/>
      <c r="AM50" s="477"/>
      <c r="AN50" s="475"/>
      <c r="AO50" s="476"/>
      <c r="AP50" s="476"/>
      <c r="AQ50" s="477"/>
      <c r="AR50" s="475"/>
      <c r="AS50" s="476"/>
      <c r="AT50" s="476"/>
      <c r="AU50" s="477"/>
      <c r="AV50" s="475"/>
      <c r="AW50" s="476"/>
      <c r="AX50" s="476"/>
      <c r="AY50" s="477"/>
      <c r="AZ50" s="475"/>
      <c r="BA50" s="476"/>
      <c r="BB50" s="476"/>
      <c r="BC50" s="477"/>
      <c r="BD50" s="475"/>
      <c r="BE50" s="476"/>
      <c r="BF50" s="476"/>
      <c r="BG50" s="477"/>
      <c r="BH50" s="475"/>
      <c r="BI50" s="476"/>
      <c r="BJ50" s="476"/>
      <c r="BK50" s="477"/>
      <c r="BL50" s="475"/>
      <c r="BM50" s="476"/>
      <c r="BN50" s="476"/>
      <c r="BO50" s="477"/>
      <c r="BP50" s="475"/>
      <c r="BQ50" s="476"/>
      <c r="BR50" s="476"/>
      <c r="BS50" s="477"/>
      <c r="BT50" s="62">
        <v>5</v>
      </c>
      <c r="BU50" s="62">
        <v>2</v>
      </c>
      <c r="BV50" s="62">
        <v>4</v>
      </c>
      <c r="BW50" s="62">
        <v>2</v>
      </c>
      <c r="BX50" s="62">
        <v>2</v>
      </c>
      <c r="BY50" s="489"/>
      <c r="CE50" s="58">
        <v>14</v>
      </c>
    </row>
    <row r="51" spans="2:83" ht="30" customHeight="1">
      <c r="B51" s="58">
        <v>15</v>
      </c>
      <c r="C51" s="59"/>
      <c r="D51" s="61"/>
      <c r="E51" s="61" t="str">
        <f t="shared" si="1"/>
        <v/>
      </c>
      <c r="F51" s="478" t="str">
        <f>'S05 Req Weights'!A17</f>
        <v>Different colors</v>
      </c>
      <c r="G51" s="478"/>
      <c r="H51" s="475"/>
      <c r="I51" s="476"/>
      <c r="J51" s="476"/>
      <c r="K51" s="477"/>
      <c r="L51" s="475"/>
      <c r="M51" s="476"/>
      <c r="N51" s="476"/>
      <c r="O51" s="477"/>
      <c r="P51" s="475"/>
      <c r="Q51" s="476"/>
      <c r="R51" s="476"/>
      <c r="S51" s="477"/>
      <c r="T51" s="475"/>
      <c r="U51" s="476"/>
      <c r="V51" s="476"/>
      <c r="W51" s="477"/>
      <c r="X51" s="475"/>
      <c r="Y51" s="476"/>
      <c r="Z51" s="476"/>
      <c r="AA51" s="477"/>
      <c r="AB51" s="475"/>
      <c r="AC51" s="476"/>
      <c r="AD51" s="476"/>
      <c r="AE51" s="477"/>
      <c r="AF51" s="475"/>
      <c r="AG51" s="476"/>
      <c r="AH51" s="476"/>
      <c r="AI51" s="477"/>
      <c r="AJ51" s="475"/>
      <c r="AK51" s="476"/>
      <c r="AL51" s="476"/>
      <c r="AM51" s="477"/>
      <c r="AN51" s="475"/>
      <c r="AO51" s="476"/>
      <c r="AP51" s="476"/>
      <c r="AQ51" s="477"/>
      <c r="AR51" s="475"/>
      <c r="AS51" s="476"/>
      <c r="AT51" s="476"/>
      <c r="AU51" s="477"/>
      <c r="AV51" s="475"/>
      <c r="AW51" s="476"/>
      <c r="AX51" s="476"/>
      <c r="AY51" s="477"/>
      <c r="AZ51" s="475"/>
      <c r="BA51" s="476"/>
      <c r="BB51" s="476"/>
      <c r="BC51" s="477"/>
      <c r="BD51" s="475"/>
      <c r="BE51" s="476"/>
      <c r="BF51" s="476"/>
      <c r="BG51" s="477"/>
      <c r="BH51" s="475"/>
      <c r="BI51" s="476"/>
      <c r="BJ51" s="476"/>
      <c r="BK51" s="477"/>
      <c r="BL51" s="475"/>
      <c r="BM51" s="476"/>
      <c r="BN51" s="476"/>
      <c r="BO51" s="477"/>
      <c r="BP51" s="475"/>
      <c r="BQ51" s="476"/>
      <c r="BR51" s="476"/>
      <c r="BS51" s="477"/>
      <c r="BT51" s="62">
        <v>3</v>
      </c>
      <c r="BU51" s="62">
        <v>3</v>
      </c>
      <c r="BV51" s="62">
        <v>2</v>
      </c>
      <c r="BW51" s="62">
        <v>3</v>
      </c>
      <c r="BX51" s="62">
        <v>2</v>
      </c>
      <c r="BY51" s="489"/>
      <c r="CE51" s="58">
        <v>15</v>
      </c>
    </row>
    <row r="52" spans="2:83" ht="30" customHeight="1">
      <c r="B52" s="58">
        <v>16</v>
      </c>
      <c r="C52" s="59"/>
      <c r="D52" s="61"/>
      <c r="E52" s="61" t="str">
        <f t="shared" si="1"/>
        <v/>
      </c>
      <c r="F52" s="478" t="str">
        <f>'S05 Req Weights'!A18</f>
        <v>Custom design</v>
      </c>
      <c r="G52" s="478"/>
      <c r="H52" s="475"/>
      <c r="I52" s="476"/>
      <c r="J52" s="476"/>
      <c r="K52" s="477"/>
      <c r="L52" s="475"/>
      <c r="M52" s="476"/>
      <c r="N52" s="476"/>
      <c r="O52" s="477"/>
      <c r="P52" s="475"/>
      <c r="Q52" s="476"/>
      <c r="R52" s="476"/>
      <c r="S52" s="477"/>
      <c r="T52" s="475"/>
      <c r="U52" s="476"/>
      <c r="V52" s="476"/>
      <c r="W52" s="477"/>
      <c r="X52" s="475"/>
      <c r="Y52" s="476"/>
      <c r="Z52" s="476"/>
      <c r="AA52" s="477"/>
      <c r="AB52" s="475"/>
      <c r="AC52" s="476"/>
      <c r="AD52" s="476"/>
      <c r="AE52" s="477"/>
      <c r="AF52" s="475"/>
      <c r="AG52" s="476"/>
      <c r="AH52" s="476"/>
      <c r="AI52" s="477"/>
      <c r="AJ52" s="475"/>
      <c r="AK52" s="476"/>
      <c r="AL52" s="476"/>
      <c r="AM52" s="477"/>
      <c r="AN52" s="475"/>
      <c r="AO52" s="476"/>
      <c r="AP52" s="476"/>
      <c r="AQ52" s="477"/>
      <c r="AR52" s="475"/>
      <c r="AS52" s="476"/>
      <c r="AT52" s="476"/>
      <c r="AU52" s="477"/>
      <c r="AV52" s="475"/>
      <c r="AW52" s="476"/>
      <c r="AX52" s="476"/>
      <c r="AY52" s="477"/>
      <c r="AZ52" s="475"/>
      <c r="BA52" s="476"/>
      <c r="BB52" s="476"/>
      <c r="BC52" s="477"/>
      <c r="BD52" s="475"/>
      <c r="BE52" s="476"/>
      <c r="BF52" s="476"/>
      <c r="BG52" s="477"/>
      <c r="BH52" s="475"/>
      <c r="BI52" s="476"/>
      <c r="BJ52" s="476"/>
      <c r="BK52" s="477"/>
      <c r="BL52" s="475"/>
      <c r="BM52" s="476"/>
      <c r="BN52" s="476"/>
      <c r="BO52" s="477"/>
      <c r="BP52" s="475"/>
      <c r="BQ52" s="476"/>
      <c r="BR52" s="476"/>
      <c r="BS52" s="477"/>
      <c r="BT52" s="62">
        <v>3</v>
      </c>
      <c r="BU52" s="62">
        <v>4</v>
      </c>
      <c r="BV52" s="62">
        <v>1</v>
      </c>
      <c r="BW52" s="62">
        <v>4</v>
      </c>
      <c r="BX52" s="62">
        <v>2</v>
      </c>
      <c r="BY52" s="489"/>
      <c r="CE52" s="58">
        <v>16</v>
      </c>
    </row>
    <row r="53" spans="2:83" ht="129.75" customHeight="1">
      <c r="F53" s="462" t="s">
        <v>230</v>
      </c>
      <c r="G53" s="462"/>
      <c r="H53" s="471" t="s">
        <v>261</v>
      </c>
      <c r="I53" s="472"/>
      <c r="J53" s="472"/>
      <c r="K53" s="473"/>
      <c r="L53" s="471" t="s">
        <v>267</v>
      </c>
      <c r="M53" s="472"/>
      <c r="N53" s="472"/>
      <c r="O53" s="473"/>
      <c r="P53" s="471" t="s">
        <v>268</v>
      </c>
      <c r="Q53" s="472"/>
      <c r="R53" s="472"/>
      <c r="S53" s="473"/>
      <c r="T53" s="471" t="s">
        <v>269</v>
      </c>
      <c r="U53" s="472"/>
      <c r="V53" s="472"/>
      <c r="W53" s="473"/>
      <c r="X53" s="471" t="s">
        <v>270</v>
      </c>
      <c r="Y53" s="472"/>
      <c r="Z53" s="472"/>
      <c r="AA53" s="473"/>
      <c r="AB53" s="474">
        <v>0.6</v>
      </c>
      <c r="AC53" s="472"/>
      <c r="AD53" s="472"/>
      <c r="AE53" s="473"/>
      <c r="AF53" s="471"/>
      <c r="AG53" s="472"/>
      <c r="AH53" s="472"/>
      <c r="AI53" s="473"/>
      <c r="AJ53" s="471"/>
      <c r="AK53" s="472"/>
      <c r="AL53" s="472"/>
      <c r="AM53" s="473"/>
      <c r="AN53" s="471"/>
      <c r="AO53" s="472"/>
      <c r="AP53" s="472"/>
      <c r="AQ53" s="473"/>
      <c r="AR53" s="471"/>
      <c r="AS53" s="472"/>
      <c r="AT53" s="472"/>
      <c r="AU53" s="473"/>
      <c r="AV53" s="471"/>
      <c r="AW53" s="472"/>
      <c r="AX53" s="472"/>
      <c r="AY53" s="473"/>
      <c r="AZ53" s="471"/>
      <c r="BA53" s="472"/>
      <c r="BB53" s="472"/>
      <c r="BC53" s="473"/>
      <c r="BD53" s="471"/>
      <c r="BE53" s="472"/>
      <c r="BF53" s="472"/>
      <c r="BG53" s="473"/>
      <c r="BH53" s="471"/>
      <c r="BI53" s="472"/>
      <c r="BJ53" s="472"/>
      <c r="BK53" s="473"/>
      <c r="BL53" s="471"/>
      <c r="BM53" s="472"/>
      <c r="BN53" s="472"/>
      <c r="BO53" s="473"/>
      <c r="BP53" s="471"/>
      <c r="BQ53" s="472"/>
      <c r="BR53" s="472"/>
      <c r="BS53" s="473"/>
    </row>
    <row r="54" spans="2:83" s="63" customFormat="1" ht="18.75" customHeight="1">
      <c r="F54" s="470" t="s">
        <v>231</v>
      </c>
      <c r="G54" s="470"/>
      <c r="H54" s="467">
        <f>IF(COUNTIF(H37:H52,"●"),9,IF(COUNTIF(H37:H52,"○"),3,IF(COUNTIF(H37:H52,"▽"),1,"")))</f>
        <v>9</v>
      </c>
      <c r="I54" s="468"/>
      <c r="J54" s="468"/>
      <c r="K54" s="469"/>
      <c r="L54" s="467">
        <f>IF(COUNTIF(L37:L52,"●"),9,IF(COUNTIF(L37:L52,"○"),3,IF(COUNTIF(L37:L52,"▽"),1,"")))</f>
        <v>9</v>
      </c>
      <c r="M54" s="468"/>
      <c r="N54" s="468"/>
      <c r="O54" s="469"/>
      <c r="P54" s="467">
        <f>IF(COUNTIF(P37:P52,"●"),9,IF(COUNTIF(P37:P52,"○"),3,IF(COUNTIF(P37:P52,"▽"),1,"")))</f>
        <v>9</v>
      </c>
      <c r="Q54" s="468"/>
      <c r="R54" s="468"/>
      <c r="S54" s="469"/>
      <c r="T54" s="467">
        <f>IF(COUNTIF(T37:T52,"●"),9,IF(COUNTIF(T37:T52,"○"),3,IF(COUNTIF(T37:T52,"▽"),1,"")))</f>
        <v>9</v>
      </c>
      <c r="U54" s="468"/>
      <c r="V54" s="468"/>
      <c r="W54" s="469"/>
      <c r="X54" s="467">
        <f>IF(COUNTIF(X37:X52,"●"),9,IF(COUNTIF(X37:X52,"○"),3,IF(COUNTIF(X37:X52,"▽"),1,"")))</f>
        <v>9</v>
      </c>
      <c r="Y54" s="468"/>
      <c r="Z54" s="468"/>
      <c r="AA54" s="469"/>
      <c r="AB54" s="467">
        <f>IF(COUNTIF(AB37:AB52,"●"),9,IF(COUNTIF(AB37:AB52,"○"),3,IF(COUNTIF(AB37:AB52,"▽"),1,"")))</f>
        <v>9</v>
      </c>
      <c r="AC54" s="468"/>
      <c r="AD54" s="468"/>
      <c r="AE54" s="469"/>
      <c r="AF54" s="467" t="str">
        <f>IF(COUNTIF(AF37:AF52,"●"),9,IF(COUNTIF(AF37:AF52,"○"),3,IF(COUNTIF(AF37:AF52,"▽"),1,"")))</f>
        <v/>
      </c>
      <c r="AG54" s="468"/>
      <c r="AH54" s="468"/>
      <c r="AI54" s="469"/>
      <c r="AJ54" s="467" t="str">
        <f>IF(COUNTIF(AJ37:AJ52,"●"),9,IF(COUNTIF(AJ37:AJ52,"○"),3,IF(COUNTIF(AJ37:AJ52,"▽"),1,"")))</f>
        <v/>
      </c>
      <c r="AK54" s="468"/>
      <c r="AL54" s="468"/>
      <c r="AM54" s="469"/>
      <c r="AN54" s="467" t="str">
        <f>IF(COUNTIF(AN37:AN52,"●"),9,IF(COUNTIF(AN37:AN52,"○"),3,IF(COUNTIF(AN37:AN52,"▽"),1,"")))</f>
        <v/>
      </c>
      <c r="AO54" s="468"/>
      <c r="AP54" s="468"/>
      <c r="AQ54" s="469"/>
      <c r="AR54" s="467" t="str">
        <f>IF(COUNTIF(AR37:AR52,"●"),9,IF(COUNTIF(AR37:AR52,"○"),3,IF(COUNTIF(AR37:AR52,"▽"),1,"")))</f>
        <v/>
      </c>
      <c r="AS54" s="468"/>
      <c r="AT54" s="468"/>
      <c r="AU54" s="469"/>
      <c r="AV54" s="467" t="str">
        <f>IF(COUNTIF(AV37:AV52,"●"),9,IF(COUNTIF(AV37:AV52,"○"),3,IF(COUNTIF(AV37:AV52,"▽"),1,"")))</f>
        <v/>
      </c>
      <c r="AW54" s="468"/>
      <c r="AX54" s="468"/>
      <c r="AY54" s="469"/>
      <c r="AZ54" s="467" t="str">
        <f>IF(COUNTIF(AZ37:AZ52,"●"),9,IF(COUNTIF(AZ37:AZ52,"○"),3,IF(COUNTIF(AZ37:AZ52,"▽"),1,"")))</f>
        <v/>
      </c>
      <c r="BA54" s="468"/>
      <c r="BB54" s="468"/>
      <c r="BC54" s="469"/>
      <c r="BD54" s="467" t="str">
        <f>IF(COUNTIF(BD37:BD52,"●"),9,IF(COUNTIF(BD37:BD52,"○"),3,IF(COUNTIF(BD37:BD52,"▽"),1,"")))</f>
        <v/>
      </c>
      <c r="BE54" s="468"/>
      <c r="BF54" s="468"/>
      <c r="BG54" s="469"/>
      <c r="BH54" s="467" t="str">
        <f>IF(COUNTIF(BH37:BH52,"●"),9,IF(COUNTIF(BH37:BH52,"○"),3,IF(COUNTIF(BH37:BH52,"▽"),1,"")))</f>
        <v/>
      </c>
      <c r="BI54" s="468"/>
      <c r="BJ54" s="468"/>
      <c r="BK54" s="469"/>
      <c r="BL54" s="467" t="str">
        <f>IF(COUNTIF(BL37:BL52,"●"),9,IF(COUNTIF(BL37:BL52,"○"),3,IF(COUNTIF(BL37:BL52,"▽"),1,"")))</f>
        <v/>
      </c>
      <c r="BM54" s="468"/>
      <c r="BN54" s="468"/>
      <c r="BO54" s="469"/>
      <c r="BP54" s="467" t="str">
        <f>IF(COUNTIF(BP37:BP52,"●"),9,IF(COUNTIF(BP37:BP52,"○"),3,IF(COUNTIF(BP37:BP52,"▽"),1,"")))</f>
        <v/>
      </c>
      <c r="BQ54" s="468"/>
      <c r="BR54" s="468"/>
      <c r="BS54" s="469"/>
    </row>
    <row r="55" spans="2:83" s="63" customFormat="1" ht="18.75" customHeight="1">
      <c r="F55" s="470" t="s">
        <v>232</v>
      </c>
      <c r="G55" s="470"/>
      <c r="H55" s="464">
        <f ca="1">10*SUM(SUMIF(H$37:K$52,$D$20,$D$37:$D$52)*1,
SUMIF(H$37:K$52,$D$18,$D$37:$D$52)*3,
SUMIF(H$37:K$52,$D$16,$D$37:$D$52)*9)</f>
        <v>22</v>
      </c>
      <c r="I55" s="465"/>
      <c r="J55" s="465"/>
      <c r="K55" s="466"/>
      <c r="L55" s="464">
        <f ca="1">10*SUM(SUMIF(L$37:O$52,$D$20,$D$37:$D$52)*1,
SUMIF(L$37:O$52,$D$18,$D$37:$D$52)*3,
SUMIF(L$37:O$52,$D$16,$D$37:$D$52)*9)</f>
        <v>11.833333333333334</v>
      </c>
      <c r="M55" s="465"/>
      <c r="N55" s="465"/>
      <c r="O55" s="466"/>
      <c r="P55" s="464">
        <f ca="1">10*SUM(SUMIF(P$37:S$52,$D$20,$D$37:$D$52)*1,
SUMIF(P$37:S$52,$D$18,$D$37:$D$52)*3,
SUMIF(P$37:S$52,$D$16,$D$37:$D$52)*9)</f>
        <v>24</v>
      </c>
      <c r="Q55" s="465"/>
      <c r="R55" s="465"/>
      <c r="S55" s="466"/>
      <c r="T55" s="464">
        <f ca="1">10*SUM(SUMIF(T$37:W$52,$D$20,$D$37:$D$52)*1,
SUMIF(T$37:W$52,$D$18,$D$37:$D$52)*3,
SUMIF(T$37:W$52,$D$16,$D$37:$D$52)*9)</f>
        <v>13.333333333333336</v>
      </c>
      <c r="U55" s="465"/>
      <c r="V55" s="465"/>
      <c r="W55" s="466"/>
      <c r="X55" s="464">
        <f ca="1">10*SUM(SUMIF(X$37:AA$52,$D$20,$D$37:$D$52)*1,
SUMIF(X$37:AA$52,$D$18,$D$37:$D$52)*3,
SUMIF(X$37:AA$52,$D$16,$D$37:$D$52)*9)</f>
        <v>18</v>
      </c>
      <c r="Y55" s="465"/>
      <c r="Z55" s="465"/>
      <c r="AA55" s="466"/>
      <c r="AB55" s="464">
        <f ca="1">10*SUM(SUMIF(AB$37:AE$52,$D$20,$D$37:$D$52)*1,
SUMIF(AB$37:AE$52,$D$18,$D$37:$D$52)*3,
SUMIF(AB$37:AE$52,$D$16,$D$37:$D$52)*9)</f>
        <v>19.5</v>
      </c>
      <c r="AC55" s="465"/>
      <c r="AD55" s="465"/>
      <c r="AE55" s="466"/>
      <c r="AF55" s="464"/>
      <c r="AG55" s="465"/>
      <c r="AH55" s="465"/>
      <c r="AI55" s="466"/>
      <c r="AJ55" s="464"/>
      <c r="AK55" s="465"/>
      <c r="AL55" s="465"/>
      <c r="AM55" s="466"/>
      <c r="AN55" s="464"/>
      <c r="AO55" s="465"/>
      <c r="AP55" s="465"/>
      <c r="AQ55" s="466"/>
      <c r="AR55" s="464"/>
      <c r="AS55" s="465"/>
      <c r="AT55" s="465"/>
      <c r="AU55" s="466"/>
      <c r="AV55" s="464"/>
      <c r="AW55" s="465"/>
      <c r="AX55" s="465"/>
      <c r="AY55" s="466"/>
      <c r="AZ55" s="464"/>
      <c r="BA55" s="465"/>
      <c r="BB55" s="465"/>
      <c r="BC55" s="466"/>
      <c r="BD55" s="464"/>
      <c r="BE55" s="465"/>
      <c r="BF55" s="465"/>
      <c r="BG55" s="466"/>
      <c r="BH55" s="464"/>
      <c r="BI55" s="465"/>
      <c r="BJ55" s="465"/>
      <c r="BK55" s="466"/>
      <c r="BL55" s="464"/>
      <c r="BM55" s="465"/>
      <c r="BN55" s="465"/>
      <c r="BO55" s="466"/>
      <c r="BP55" s="464"/>
      <c r="BQ55" s="465"/>
      <c r="BR55" s="465"/>
      <c r="BS55" s="466"/>
    </row>
    <row r="56" spans="2:83" s="64" customFormat="1" ht="18.75" customHeight="1">
      <c r="F56" s="463" t="s">
        <v>233</v>
      </c>
      <c r="G56" s="463"/>
      <c r="H56" s="459">
        <f ca="1">IFERROR(H55/SUM($H$55:$BS$55), 0)</f>
        <v>0.20245398773006135</v>
      </c>
      <c r="I56" s="460"/>
      <c r="J56" s="460"/>
      <c r="K56" s="461"/>
      <c r="L56" s="459">
        <f ca="1">IFERROR(L55/SUM($H$55:$BS$55), 0)</f>
        <v>0.10889570552147239</v>
      </c>
      <c r="M56" s="460"/>
      <c r="N56" s="460"/>
      <c r="O56" s="461"/>
      <c r="P56" s="459">
        <f ca="1">IFERROR(P55/SUM($H$55:$BS$55), 0)</f>
        <v>0.22085889570552147</v>
      </c>
      <c r="Q56" s="460"/>
      <c r="R56" s="460"/>
      <c r="S56" s="461"/>
      <c r="T56" s="459">
        <f ca="1">IFERROR(T55/SUM($H$55:$BS$55), 0)</f>
        <v>0.1226993865030675</v>
      </c>
      <c r="U56" s="460"/>
      <c r="V56" s="460"/>
      <c r="W56" s="461"/>
      <c r="X56" s="459">
        <f ca="1">IFERROR(X55/SUM($H$55:$BS$55), 0)</f>
        <v>0.16564417177914109</v>
      </c>
      <c r="Y56" s="460"/>
      <c r="Z56" s="460"/>
      <c r="AA56" s="461"/>
      <c r="AB56" s="459">
        <f ca="1">IFERROR(AB55/SUM($H$55:$BS$55), 0)</f>
        <v>0.17944785276073619</v>
      </c>
      <c r="AC56" s="460"/>
      <c r="AD56" s="460"/>
      <c r="AE56" s="461"/>
      <c r="AF56" s="459">
        <f ca="1">IFERROR(AF55/SUM($H$55:$BS$55), 0)</f>
        <v>0</v>
      </c>
      <c r="AG56" s="460"/>
      <c r="AH56" s="460"/>
      <c r="AI56" s="461"/>
      <c r="AJ56" s="459">
        <f ca="1">IFERROR(AJ55/SUM($H$55:$BS$55), 0)</f>
        <v>0</v>
      </c>
      <c r="AK56" s="460"/>
      <c r="AL56" s="460"/>
      <c r="AM56" s="461"/>
      <c r="AN56" s="459">
        <f ca="1">IFERROR(AN55/SUM($H$55:$BS$55), 0)</f>
        <v>0</v>
      </c>
      <c r="AO56" s="460"/>
      <c r="AP56" s="460"/>
      <c r="AQ56" s="461"/>
      <c r="AR56" s="459">
        <f ca="1">IFERROR(AR55/SUM($H$55:$BS$55), 0)</f>
        <v>0</v>
      </c>
      <c r="AS56" s="460"/>
      <c r="AT56" s="460"/>
      <c r="AU56" s="461"/>
      <c r="AV56" s="459">
        <f ca="1">IFERROR(AV55/SUM($H$55:$BS$55), 0)</f>
        <v>0</v>
      </c>
      <c r="AW56" s="460"/>
      <c r="AX56" s="460"/>
      <c r="AY56" s="461"/>
      <c r="AZ56" s="459">
        <f ca="1">IFERROR(AZ55/SUM($H$55:$BS$55), 0)</f>
        <v>0</v>
      </c>
      <c r="BA56" s="460"/>
      <c r="BB56" s="460"/>
      <c r="BC56" s="461"/>
      <c r="BD56" s="459">
        <f ca="1">IFERROR(BD55/SUM($H$55:$BS$55), 0)</f>
        <v>0</v>
      </c>
      <c r="BE56" s="460"/>
      <c r="BF56" s="460"/>
      <c r="BG56" s="461"/>
      <c r="BH56" s="459">
        <f ca="1">IFERROR(BH55/SUM($H$55:$BS$55), 0)</f>
        <v>0</v>
      </c>
      <c r="BI56" s="460"/>
      <c r="BJ56" s="460"/>
      <c r="BK56" s="461"/>
      <c r="BL56" s="459">
        <f ca="1">IFERROR(BL55/SUM($H$55:$BS$55), 0)</f>
        <v>0</v>
      </c>
      <c r="BM56" s="460"/>
      <c r="BN56" s="460"/>
      <c r="BO56" s="461"/>
      <c r="BP56" s="459">
        <f ca="1">IFERROR(BP55/SUM($H$55:$BS$55), 0)</f>
        <v>0</v>
      </c>
      <c r="BQ56" s="460"/>
      <c r="BR56" s="460"/>
      <c r="BS56" s="461"/>
    </row>
    <row r="57" spans="2:83" ht="75" customHeight="1">
      <c r="F57" s="462" t="s">
        <v>234</v>
      </c>
      <c r="G57" s="462"/>
      <c r="H57" s="456" t="str">
        <f ca="1">REPT("|", H56*100)</f>
        <v>||||||||||||||||||||</v>
      </c>
      <c r="I57" s="457"/>
      <c r="J57" s="457"/>
      <c r="K57" s="458"/>
      <c r="L57" s="456" t="str">
        <f ca="1">REPT("|", L56*100)</f>
        <v>||||||||||</v>
      </c>
      <c r="M57" s="457"/>
      <c r="N57" s="457"/>
      <c r="O57" s="458"/>
      <c r="P57" s="456" t="str">
        <f ca="1">REPT("|", P56*100)</f>
        <v>||||||||||||||||||||||</v>
      </c>
      <c r="Q57" s="457"/>
      <c r="R57" s="457"/>
      <c r="S57" s="458"/>
      <c r="T57" s="456" t="str">
        <f ca="1">REPT("|", T56*100)</f>
        <v>||||||||||||</v>
      </c>
      <c r="U57" s="457"/>
      <c r="V57" s="457"/>
      <c r="W57" s="458"/>
      <c r="X57" s="456" t="str">
        <f ca="1">REPT("|", X56*100)</f>
        <v>||||||||||||||||</v>
      </c>
      <c r="Y57" s="457"/>
      <c r="Z57" s="457"/>
      <c r="AA57" s="458"/>
      <c r="AB57" s="456" t="str">
        <f ca="1">REPT("|", AB56*100)</f>
        <v>|||||||||||||||||</v>
      </c>
      <c r="AC57" s="457"/>
      <c r="AD57" s="457"/>
      <c r="AE57" s="458"/>
      <c r="AF57" s="456" t="str">
        <f ca="1">REPT("|", AF56*100)</f>
        <v/>
      </c>
      <c r="AG57" s="457"/>
      <c r="AH57" s="457"/>
      <c r="AI57" s="458"/>
      <c r="AJ57" s="456" t="str">
        <f ca="1">REPT("|", AJ56*100)</f>
        <v/>
      </c>
      <c r="AK57" s="457"/>
      <c r="AL57" s="457"/>
      <c r="AM57" s="458"/>
      <c r="AN57" s="456" t="str">
        <f ca="1">REPT("|", AN56*100)</f>
        <v/>
      </c>
      <c r="AO57" s="457"/>
      <c r="AP57" s="457"/>
      <c r="AQ57" s="458"/>
      <c r="AR57" s="456" t="str">
        <f ca="1">REPT("|", AR56*100)</f>
        <v/>
      </c>
      <c r="AS57" s="457"/>
      <c r="AT57" s="457"/>
      <c r="AU57" s="458"/>
      <c r="AV57" s="456" t="str">
        <f ca="1">REPT("|", AV56*100)</f>
        <v/>
      </c>
      <c r="AW57" s="457"/>
      <c r="AX57" s="457"/>
      <c r="AY57" s="458"/>
      <c r="AZ57" s="456" t="str">
        <f ca="1">REPT("|", AZ56*100)</f>
        <v/>
      </c>
      <c r="BA57" s="457"/>
      <c r="BB57" s="457"/>
      <c r="BC57" s="458"/>
      <c r="BD57" s="456" t="str">
        <f ca="1">REPT("|", BD56*100)</f>
        <v/>
      </c>
      <c r="BE57" s="457"/>
      <c r="BF57" s="457"/>
      <c r="BG57" s="458"/>
      <c r="BH57" s="456" t="str">
        <f ca="1">REPT("|", BH56*100)</f>
        <v/>
      </c>
      <c r="BI57" s="457"/>
      <c r="BJ57" s="457"/>
      <c r="BK57" s="458"/>
      <c r="BL57" s="456" t="str">
        <f ca="1">REPT("|", BL56*100)</f>
        <v/>
      </c>
      <c r="BM57" s="457"/>
      <c r="BN57" s="457"/>
      <c r="BO57" s="458"/>
      <c r="BP57" s="456" t="str">
        <f ca="1">REPT("|", BP56*100)</f>
        <v/>
      </c>
      <c r="BQ57" s="457"/>
      <c r="BR57" s="457"/>
      <c r="BS57" s="458"/>
    </row>
  </sheetData>
  <mergeCells count="566">
    <mergeCell ref="AS8:AT9"/>
    <mergeCell ref="B9:C10"/>
    <mergeCell ref="D9:D10"/>
    <mergeCell ref="AE10:AF11"/>
    <mergeCell ref="AI10:AJ11"/>
    <mergeCell ref="AM10:AN11"/>
    <mergeCell ref="AQ10:AR11"/>
    <mergeCell ref="AM2:AN3"/>
    <mergeCell ref="AK4:AL5"/>
    <mergeCell ref="AO4:AP5"/>
    <mergeCell ref="B5:D6"/>
    <mergeCell ref="AI6:AJ7"/>
    <mergeCell ref="AM6:AN7"/>
    <mergeCell ref="AQ6:AR7"/>
    <mergeCell ref="B7:C8"/>
    <mergeCell ref="D7:D8"/>
    <mergeCell ref="AG8:AH9"/>
    <mergeCell ref="AK8:AL9"/>
    <mergeCell ref="AO8:AP9"/>
    <mergeCell ref="AW12:AX13"/>
    <mergeCell ref="B14:D15"/>
    <mergeCell ref="AA14:AB15"/>
    <mergeCell ref="AE14:AF15"/>
    <mergeCell ref="AI14:AJ15"/>
    <mergeCell ref="AM14:AN15"/>
    <mergeCell ref="AQ14:AR15"/>
    <mergeCell ref="AU14:AV15"/>
    <mergeCell ref="AU10:AV11"/>
    <mergeCell ref="B11:C12"/>
    <mergeCell ref="D11:D12"/>
    <mergeCell ref="AC12:AD13"/>
    <mergeCell ref="AG12:AH13"/>
    <mergeCell ref="AK12:AL13"/>
    <mergeCell ref="AO12:AP13"/>
    <mergeCell ref="AS12:AT13"/>
    <mergeCell ref="AY14:AZ15"/>
    <mergeCell ref="B16:C17"/>
    <mergeCell ref="D16:D17"/>
    <mergeCell ref="Y16:Z17"/>
    <mergeCell ref="AC16:AD17"/>
    <mergeCell ref="AG16:AH17"/>
    <mergeCell ref="AK16:AL17"/>
    <mergeCell ref="AO16:AP17"/>
    <mergeCell ref="AS16:AT17"/>
    <mergeCell ref="AW16:AX17"/>
    <mergeCell ref="BA16:BB17"/>
    <mergeCell ref="B18:C19"/>
    <mergeCell ref="D18:D19"/>
    <mergeCell ref="W18:X19"/>
    <mergeCell ref="AA18:AB19"/>
    <mergeCell ref="AE18:AF19"/>
    <mergeCell ref="AI18:AJ19"/>
    <mergeCell ref="AM18:AN19"/>
    <mergeCell ref="AQ18:AR19"/>
    <mergeCell ref="AU18:AV19"/>
    <mergeCell ref="AY18:AZ19"/>
    <mergeCell ref="BC18:BD19"/>
    <mergeCell ref="B20:C21"/>
    <mergeCell ref="D20:D21"/>
    <mergeCell ref="U20:V21"/>
    <mergeCell ref="Y20:Z21"/>
    <mergeCell ref="AC20:AD21"/>
    <mergeCell ref="AG20:AH21"/>
    <mergeCell ref="AK20:AL21"/>
    <mergeCell ref="AO20:AP21"/>
    <mergeCell ref="AS20:AT21"/>
    <mergeCell ref="AW20:AX21"/>
    <mergeCell ref="BA20:BB21"/>
    <mergeCell ref="BE20:BF21"/>
    <mergeCell ref="S22:T23"/>
    <mergeCell ref="W22:X23"/>
    <mergeCell ref="AA22:AB23"/>
    <mergeCell ref="AE22:AF23"/>
    <mergeCell ref="AI22:AJ23"/>
    <mergeCell ref="AM22:AN23"/>
    <mergeCell ref="AQ22:AR23"/>
    <mergeCell ref="AU22:AV23"/>
    <mergeCell ref="AY22:AZ23"/>
    <mergeCell ref="BC22:BD23"/>
    <mergeCell ref="BG22:BH23"/>
    <mergeCell ref="B23:D24"/>
    <mergeCell ref="Q24:R25"/>
    <mergeCell ref="U24:V25"/>
    <mergeCell ref="Y24:Z25"/>
    <mergeCell ref="AC24:AD25"/>
    <mergeCell ref="BE24:BF25"/>
    <mergeCell ref="BI24:BJ25"/>
    <mergeCell ref="B25:C26"/>
    <mergeCell ref="D25:D26"/>
    <mergeCell ref="O26:P27"/>
    <mergeCell ref="S26:T27"/>
    <mergeCell ref="W26:X27"/>
    <mergeCell ref="AA26:AB27"/>
    <mergeCell ref="AE26:AF27"/>
    <mergeCell ref="AI26:AJ27"/>
    <mergeCell ref="AG24:AH25"/>
    <mergeCell ref="AK24:AL25"/>
    <mergeCell ref="AO24:AP25"/>
    <mergeCell ref="AS24:AT25"/>
    <mergeCell ref="AW24:AX25"/>
    <mergeCell ref="BA24:BB25"/>
    <mergeCell ref="BK26:BL27"/>
    <mergeCell ref="B27:C28"/>
    <mergeCell ref="D27:D28"/>
    <mergeCell ref="M28:N29"/>
    <mergeCell ref="Q28:R29"/>
    <mergeCell ref="U28:V29"/>
    <mergeCell ref="Y28:Z29"/>
    <mergeCell ref="AC28:AD29"/>
    <mergeCell ref="AG28:AH29"/>
    <mergeCell ref="AK28:AL29"/>
    <mergeCell ref="AM26:AN27"/>
    <mergeCell ref="AQ26:AR27"/>
    <mergeCell ref="AU26:AV27"/>
    <mergeCell ref="AY26:AZ27"/>
    <mergeCell ref="BC26:BD27"/>
    <mergeCell ref="BG26:BH27"/>
    <mergeCell ref="AR33:AU33"/>
    <mergeCell ref="AV33:AY33"/>
    <mergeCell ref="AZ33:BC33"/>
    <mergeCell ref="BD33:BG33"/>
    <mergeCell ref="BM28:BN29"/>
    <mergeCell ref="B29:C30"/>
    <mergeCell ref="D29:D30"/>
    <mergeCell ref="K30:L31"/>
    <mergeCell ref="O30:P31"/>
    <mergeCell ref="S30:T31"/>
    <mergeCell ref="W30:X31"/>
    <mergeCell ref="AA30:AB31"/>
    <mergeCell ref="AE30:AF31"/>
    <mergeCell ref="AI30:AJ31"/>
    <mergeCell ref="AO28:AP29"/>
    <mergeCell ref="AS28:AT29"/>
    <mergeCell ref="AW28:AX29"/>
    <mergeCell ref="BA28:BB29"/>
    <mergeCell ref="BE28:BF29"/>
    <mergeCell ref="BI28:BJ29"/>
    <mergeCell ref="BK30:BL31"/>
    <mergeCell ref="P34:S34"/>
    <mergeCell ref="T34:W34"/>
    <mergeCell ref="X34:AA34"/>
    <mergeCell ref="AB34:AE34"/>
    <mergeCell ref="AJ33:AM33"/>
    <mergeCell ref="AN33:AQ33"/>
    <mergeCell ref="BO30:BP31"/>
    <mergeCell ref="F33:G33"/>
    <mergeCell ref="H33:K33"/>
    <mergeCell ref="L33:O33"/>
    <mergeCell ref="P33:S33"/>
    <mergeCell ref="T33:W33"/>
    <mergeCell ref="X33:AA33"/>
    <mergeCell ref="AB33:AE33"/>
    <mergeCell ref="AF33:AI33"/>
    <mergeCell ref="AM30:AN31"/>
    <mergeCell ref="AQ30:AR31"/>
    <mergeCell ref="AU30:AV31"/>
    <mergeCell ref="AY30:AZ31"/>
    <mergeCell ref="BC30:BD31"/>
    <mergeCell ref="BG30:BH31"/>
    <mergeCell ref="BH33:BK33"/>
    <mergeCell ref="BL33:BO33"/>
    <mergeCell ref="BP33:BS33"/>
    <mergeCell ref="BP34:BS34"/>
    <mergeCell ref="BT34:CD34"/>
    <mergeCell ref="B35:B36"/>
    <mergeCell ref="C35:C36"/>
    <mergeCell ref="D35:D36"/>
    <mergeCell ref="E35:E36"/>
    <mergeCell ref="AF34:AI34"/>
    <mergeCell ref="AJ34:AM34"/>
    <mergeCell ref="AN34:AQ34"/>
    <mergeCell ref="AR34:AU34"/>
    <mergeCell ref="AV34:AY34"/>
    <mergeCell ref="AZ34:BC34"/>
    <mergeCell ref="H35:K36"/>
    <mergeCell ref="L35:O36"/>
    <mergeCell ref="P35:S36"/>
    <mergeCell ref="T35:W36"/>
    <mergeCell ref="X35:AA36"/>
    <mergeCell ref="AB35:AE36"/>
    <mergeCell ref="BD34:BG34"/>
    <mergeCell ref="BH34:BK34"/>
    <mergeCell ref="BL34:BO34"/>
    <mergeCell ref="F34:G34"/>
    <mergeCell ref="H34:K34"/>
    <mergeCell ref="L34:O34"/>
    <mergeCell ref="CE35:CE36"/>
    <mergeCell ref="F37:G37"/>
    <mergeCell ref="H37:K37"/>
    <mergeCell ref="L37:O37"/>
    <mergeCell ref="P37:S37"/>
    <mergeCell ref="T37:W37"/>
    <mergeCell ref="X37:AA37"/>
    <mergeCell ref="BV35:BV36"/>
    <mergeCell ref="BW35:BW36"/>
    <mergeCell ref="BX35:BX36"/>
    <mergeCell ref="BY35:BY36"/>
    <mergeCell ref="BZ35:BZ36"/>
    <mergeCell ref="CA35:CA36"/>
    <mergeCell ref="BD35:BG36"/>
    <mergeCell ref="BH35:BK36"/>
    <mergeCell ref="BL35:BO36"/>
    <mergeCell ref="BP35:BS36"/>
    <mergeCell ref="BT35:BT36"/>
    <mergeCell ref="BU35:BU36"/>
    <mergeCell ref="AF35:AI36"/>
    <mergeCell ref="AJ35:AM36"/>
    <mergeCell ref="AN35:AQ36"/>
    <mergeCell ref="AR35:AU36"/>
    <mergeCell ref="AV35:AY36"/>
    <mergeCell ref="AB37:AE37"/>
    <mergeCell ref="AF37:AI37"/>
    <mergeCell ref="AJ37:AM37"/>
    <mergeCell ref="AN37:AQ37"/>
    <mergeCell ref="AR37:AU37"/>
    <mergeCell ref="AV37:AY37"/>
    <mergeCell ref="CB35:CB36"/>
    <mergeCell ref="CC35:CC36"/>
    <mergeCell ref="CD35:CD36"/>
    <mergeCell ref="AZ35:BC36"/>
    <mergeCell ref="AZ37:BC37"/>
    <mergeCell ref="BD37:BG37"/>
    <mergeCell ref="BH37:BK37"/>
    <mergeCell ref="BL37:BO37"/>
    <mergeCell ref="BP37:BS37"/>
    <mergeCell ref="BY37:BY52"/>
    <mergeCell ref="AZ38:BC38"/>
    <mergeCell ref="BD38:BG38"/>
    <mergeCell ref="BH38:BK38"/>
    <mergeCell ref="BL38:BO38"/>
    <mergeCell ref="BP38:BS38"/>
    <mergeCell ref="AB38:AE38"/>
    <mergeCell ref="AF38:AI38"/>
    <mergeCell ref="AJ38:AM38"/>
    <mergeCell ref="AN38:AQ38"/>
    <mergeCell ref="AR38:AU38"/>
    <mergeCell ref="AV38:AY38"/>
    <mergeCell ref="F38:G38"/>
    <mergeCell ref="H38:K38"/>
    <mergeCell ref="L38:O38"/>
    <mergeCell ref="P38:S38"/>
    <mergeCell ref="T38:W38"/>
    <mergeCell ref="X38:AA38"/>
    <mergeCell ref="BP39:BS39"/>
    <mergeCell ref="F40:G40"/>
    <mergeCell ref="H40:K40"/>
    <mergeCell ref="L40:O40"/>
    <mergeCell ref="P40:S40"/>
    <mergeCell ref="T40:W40"/>
    <mergeCell ref="X40:AA40"/>
    <mergeCell ref="AB40:AE40"/>
    <mergeCell ref="AF40:AI40"/>
    <mergeCell ref="AN39:AQ39"/>
    <mergeCell ref="AR39:AU39"/>
    <mergeCell ref="AV39:AY39"/>
    <mergeCell ref="AZ39:BC39"/>
    <mergeCell ref="BD39:BG39"/>
    <mergeCell ref="BH39:BK39"/>
    <mergeCell ref="BH40:BK40"/>
    <mergeCell ref="BL40:BO40"/>
    <mergeCell ref="BP40:BS40"/>
    <mergeCell ref="AR40:AU40"/>
    <mergeCell ref="AV40:AY40"/>
    <mergeCell ref="AZ40:BC40"/>
    <mergeCell ref="BD40:BG40"/>
    <mergeCell ref="F39:G39"/>
    <mergeCell ref="H39:K39"/>
    <mergeCell ref="T41:W41"/>
    <mergeCell ref="X41:AA41"/>
    <mergeCell ref="AB41:AE41"/>
    <mergeCell ref="AJ40:AM40"/>
    <mergeCell ref="AN40:AQ40"/>
    <mergeCell ref="BL39:BO39"/>
    <mergeCell ref="L39:O39"/>
    <mergeCell ref="P39:S39"/>
    <mergeCell ref="T39:W39"/>
    <mergeCell ref="X39:AA39"/>
    <mergeCell ref="AB39:AE39"/>
    <mergeCell ref="AF39:AI39"/>
    <mergeCell ref="AJ39:AM39"/>
    <mergeCell ref="BD41:BG41"/>
    <mergeCell ref="BH41:BK41"/>
    <mergeCell ref="BL41:BO41"/>
    <mergeCell ref="BP41:BS41"/>
    <mergeCell ref="F42:G42"/>
    <mergeCell ref="H42:K42"/>
    <mergeCell ref="L42:O42"/>
    <mergeCell ref="P42:S42"/>
    <mergeCell ref="T42:W42"/>
    <mergeCell ref="X42:AA42"/>
    <mergeCell ref="AF41:AI41"/>
    <mergeCell ref="AJ41:AM41"/>
    <mergeCell ref="AN41:AQ41"/>
    <mergeCell ref="AR41:AU41"/>
    <mergeCell ref="AV41:AY41"/>
    <mergeCell ref="AZ41:BC41"/>
    <mergeCell ref="AZ42:BC42"/>
    <mergeCell ref="BD42:BG42"/>
    <mergeCell ref="BH42:BK42"/>
    <mergeCell ref="BL42:BO42"/>
    <mergeCell ref="BP42:BS42"/>
    <mergeCell ref="AR42:AU42"/>
    <mergeCell ref="AV42:AY42"/>
    <mergeCell ref="F41:G41"/>
    <mergeCell ref="H41:K41"/>
    <mergeCell ref="L41:O41"/>
    <mergeCell ref="P41:S41"/>
    <mergeCell ref="F43:G43"/>
    <mergeCell ref="H43:K43"/>
    <mergeCell ref="L43:O43"/>
    <mergeCell ref="P43:S43"/>
    <mergeCell ref="T43:W43"/>
    <mergeCell ref="AB42:AE42"/>
    <mergeCell ref="AF42:AI42"/>
    <mergeCell ref="AJ42:AM42"/>
    <mergeCell ref="AN42:AQ42"/>
    <mergeCell ref="AV43:AY43"/>
    <mergeCell ref="AZ43:BC43"/>
    <mergeCell ref="BD43:BG43"/>
    <mergeCell ref="BH43:BK43"/>
    <mergeCell ref="BL43:BO43"/>
    <mergeCell ref="BP43:BS43"/>
    <mergeCell ref="X43:AA43"/>
    <mergeCell ref="AB43:AE43"/>
    <mergeCell ref="AF43:AI43"/>
    <mergeCell ref="AJ43:AM43"/>
    <mergeCell ref="AN43:AQ43"/>
    <mergeCell ref="AR43:AU43"/>
    <mergeCell ref="AZ44:BC44"/>
    <mergeCell ref="BD44:BG44"/>
    <mergeCell ref="BH44:BK44"/>
    <mergeCell ref="BL44:BO44"/>
    <mergeCell ref="BP44:BS44"/>
    <mergeCell ref="F45:G45"/>
    <mergeCell ref="H45:K45"/>
    <mergeCell ref="L45:O45"/>
    <mergeCell ref="P45:S45"/>
    <mergeCell ref="T45:W45"/>
    <mergeCell ref="AB44:AE44"/>
    <mergeCell ref="AF44:AI44"/>
    <mergeCell ref="AJ44:AM44"/>
    <mergeCell ref="AN44:AQ44"/>
    <mergeCell ref="AR44:AU44"/>
    <mergeCell ref="AV44:AY44"/>
    <mergeCell ref="F44:G44"/>
    <mergeCell ref="H44:K44"/>
    <mergeCell ref="L44:O44"/>
    <mergeCell ref="P44:S44"/>
    <mergeCell ref="T44:W44"/>
    <mergeCell ref="X44:AA44"/>
    <mergeCell ref="AV45:AY45"/>
    <mergeCell ref="AZ45:BC45"/>
    <mergeCell ref="BD45:BG45"/>
    <mergeCell ref="BH45:BK45"/>
    <mergeCell ref="BL45:BO45"/>
    <mergeCell ref="BP45:BS45"/>
    <mergeCell ref="X45:AA45"/>
    <mergeCell ref="AB45:AE45"/>
    <mergeCell ref="AF45:AI45"/>
    <mergeCell ref="AJ45:AM45"/>
    <mergeCell ref="AN45:AQ45"/>
    <mergeCell ref="AR45:AU45"/>
    <mergeCell ref="AZ46:BC46"/>
    <mergeCell ref="BD46:BG46"/>
    <mergeCell ref="BH46:BK46"/>
    <mergeCell ref="BL46:BO46"/>
    <mergeCell ref="BP46:BS46"/>
    <mergeCell ref="F47:G47"/>
    <mergeCell ref="H47:K47"/>
    <mergeCell ref="L47:O47"/>
    <mergeCell ref="P47:S47"/>
    <mergeCell ref="T47:W47"/>
    <mergeCell ref="AB46:AE46"/>
    <mergeCell ref="AF46:AI46"/>
    <mergeCell ref="AJ46:AM46"/>
    <mergeCell ref="AN46:AQ46"/>
    <mergeCell ref="AR46:AU46"/>
    <mergeCell ref="AV46:AY46"/>
    <mergeCell ref="F46:G46"/>
    <mergeCell ref="H46:K46"/>
    <mergeCell ref="L46:O46"/>
    <mergeCell ref="P46:S46"/>
    <mergeCell ref="T46:W46"/>
    <mergeCell ref="X46:AA46"/>
    <mergeCell ref="AV47:AY47"/>
    <mergeCell ref="AZ47:BC47"/>
    <mergeCell ref="BD47:BG47"/>
    <mergeCell ref="BH47:BK47"/>
    <mergeCell ref="BL47:BO47"/>
    <mergeCell ref="BP47:BS47"/>
    <mergeCell ref="X47:AA47"/>
    <mergeCell ref="AB47:AE47"/>
    <mergeCell ref="AF47:AI47"/>
    <mergeCell ref="AJ47:AM47"/>
    <mergeCell ref="AN47:AQ47"/>
    <mergeCell ref="AR47:AU47"/>
    <mergeCell ref="AZ48:BC48"/>
    <mergeCell ref="BD48:BG48"/>
    <mergeCell ref="BH48:BK48"/>
    <mergeCell ref="BL48:BO48"/>
    <mergeCell ref="BP48:BS48"/>
    <mergeCell ref="F49:G49"/>
    <mergeCell ref="H49:K49"/>
    <mergeCell ref="L49:O49"/>
    <mergeCell ref="P49:S49"/>
    <mergeCell ref="T49:W49"/>
    <mergeCell ref="AB48:AE48"/>
    <mergeCell ref="AF48:AI48"/>
    <mergeCell ref="AJ48:AM48"/>
    <mergeCell ref="AN48:AQ48"/>
    <mergeCell ref="AR48:AU48"/>
    <mergeCell ref="AV48:AY48"/>
    <mergeCell ref="F48:G48"/>
    <mergeCell ref="H48:K48"/>
    <mergeCell ref="L48:O48"/>
    <mergeCell ref="P48:S48"/>
    <mergeCell ref="T48:W48"/>
    <mergeCell ref="X48:AA48"/>
    <mergeCell ref="AV49:AY49"/>
    <mergeCell ref="AZ49:BC49"/>
    <mergeCell ref="BD49:BG49"/>
    <mergeCell ref="BH49:BK49"/>
    <mergeCell ref="BL49:BO49"/>
    <mergeCell ref="BP49:BS49"/>
    <mergeCell ref="X49:AA49"/>
    <mergeCell ref="AB49:AE49"/>
    <mergeCell ref="AF49:AI49"/>
    <mergeCell ref="AJ49:AM49"/>
    <mergeCell ref="AN49:AQ49"/>
    <mergeCell ref="AR49:AU49"/>
    <mergeCell ref="AZ50:BC50"/>
    <mergeCell ref="BD50:BG50"/>
    <mergeCell ref="BH50:BK50"/>
    <mergeCell ref="BL50:BO50"/>
    <mergeCell ref="BP50:BS50"/>
    <mergeCell ref="F51:G51"/>
    <mergeCell ref="H51:K51"/>
    <mergeCell ref="L51:O51"/>
    <mergeCell ref="P51:S51"/>
    <mergeCell ref="T51:W51"/>
    <mergeCell ref="AB50:AE50"/>
    <mergeCell ref="AF50:AI50"/>
    <mergeCell ref="AJ50:AM50"/>
    <mergeCell ref="AN50:AQ50"/>
    <mergeCell ref="AR50:AU50"/>
    <mergeCell ref="AV50:AY50"/>
    <mergeCell ref="F50:G50"/>
    <mergeCell ref="H50:K50"/>
    <mergeCell ref="L50:O50"/>
    <mergeCell ref="P50:S50"/>
    <mergeCell ref="T50:W50"/>
    <mergeCell ref="X50:AA50"/>
    <mergeCell ref="AV51:AY51"/>
    <mergeCell ref="AZ51:BC51"/>
    <mergeCell ref="BD51:BG51"/>
    <mergeCell ref="BH51:BK51"/>
    <mergeCell ref="BL51:BO51"/>
    <mergeCell ref="BP51:BS51"/>
    <mergeCell ref="X51:AA51"/>
    <mergeCell ref="AB51:AE51"/>
    <mergeCell ref="AF51:AI51"/>
    <mergeCell ref="AJ51:AM51"/>
    <mergeCell ref="AN51:AQ51"/>
    <mergeCell ref="AR51:AU51"/>
    <mergeCell ref="AZ52:BC52"/>
    <mergeCell ref="BD52:BG52"/>
    <mergeCell ref="BH52:BK52"/>
    <mergeCell ref="BL52:BO52"/>
    <mergeCell ref="BP52:BS52"/>
    <mergeCell ref="F53:G53"/>
    <mergeCell ref="H53:K53"/>
    <mergeCell ref="L53:O53"/>
    <mergeCell ref="P53:S53"/>
    <mergeCell ref="T53:W53"/>
    <mergeCell ref="AB52:AE52"/>
    <mergeCell ref="AF52:AI52"/>
    <mergeCell ref="AJ52:AM52"/>
    <mergeCell ref="AN52:AQ52"/>
    <mergeCell ref="AR52:AU52"/>
    <mergeCell ref="AV52:AY52"/>
    <mergeCell ref="F52:G52"/>
    <mergeCell ref="H52:K52"/>
    <mergeCell ref="L52:O52"/>
    <mergeCell ref="P52:S52"/>
    <mergeCell ref="T52:W52"/>
    <mergeCell ref="X52:AA52"/>
    <mergeCell ref="AV53:AY53"/>
    <mergeCell ref="AZ53:BC53"/>
    <mergeCell ref="BD53:BG53"/>
    <mergeCell ref="BH53:BK53"/>
    <mergeCell ref="BL53:BO53"/>
    <mergeCell ref="BP53:BS53"/>
    <mergeCell ref="X53:AA53"/>
    <mergeCell ref="AB53:AE53"/>
    <mergeCell ref="AF53:AI53"/>
    <mergeCell ref="AJ53:AM53"/>
    <mergeCell ref="AN53:AQ53"/>
    <mergeCell ref="AR53:AU53"/>
    <mergeCell ref="AZ54:BC54"/>
    <mergeCell ref="BD54:BG54"/>
    <mergeCell ref="BH54:BK54"/>
    <mergeCell ref="BL54:BO54"/>
    <mergeCell ref="BP54:BS54"/>
    <mergeCell ref="F55:G55"/>
    <mergeCell ref="H55:K55"/>
    <mergeCell ref="L55:O55"/>
    <mergeCell ref="P55:S55"/>
    <mergeCell ref="T55:W55"/>
    <mergeCell ref="AB54:AE54"/>
    <mergeCell ref="AF54:AI54"/>
    <mergeCell ref="AJ54:AM54"/>
    <mergeCell ref="AN54:AQ54"/>
    <mergeCell ref="AR54:AU54"/>
    <mergeCell ref="AV54:AY54"/>
    <mergeCell ref="F54:G54"/>
    <mergeCell ref="H54:K54"/>
    <mergeCell ref="L54:O54"/>
    <mergeCell ref="P54:S54"/>
    <mergeCell ref="T54:W54"/>
    <mergeCell ref="X54:AA54"/>
    <mergeCell ref="AV55:AY55"/>
    <mergeCell ref="AZ55:BC55"/>
    <mergeCell ref="BD55:BG55"/>
    <mergeCell ref="BH55:BK55"/>
    <mergeCell ref="BL55:BO55"/>
    <mergeCell ref="BP55:BS55"/>
    <mergeCell ref="X55:AA55"/>
    <mergeCell ref="AB55:AE55"/>
    <mergeCell ref="AF55:AI55"/>
    <mergeCell ref="AJ55:AM55"/>
    <mergeCell ref="AN55:AQ55"/>
    <mergeCell ref="AR55:AU55"/>
    <mergeCell ref="AZ56:BC56"/>
    <mergeCell ref="BD56:BG56"/>
    <mergeCell ref="BH56:BK56"/>
    <mergeCell ref="BL56:BO56"/>
    <mergeCell ref="BP56:BS56"/>
    <mergeCell ref="F57:G57"/>
    <mergeCell ref="H57:K57"/>
    <mergeCell ref="L57:O57"/>
    <mergeCell ref="P57:S57"/>
    <mergeCell ref="T57:W57"/>
    <mergeCell ref="AB56:AE56"/>
    <mergeCell ref="AF56:AI56"/>
    <mergeCell ref="AJ56:AM56"/>
    <mergeCell ref="AN56:AQ56"/>
    <mergeCell ref="AR56:AU56"/>
    <mergeCell ref="AV56:AY56"/>
    <mergeCell ref="F56:G56"/>
    <mergeCell ref="H56:K56"/>
    <mergeCell ref="L56:O56"/>
    <mergeCell ref="P56:S56"/>
    <mergeCell ref="T56:W56"/>
    <mergeCell ref="X56:AA56"/>
    <mergeCell ref="AV57:AY57"/>
    <mergeCell ref="AZ57:BC57"/>
    <mergeCell ref="BD57:BG57"/>
    <mergeCell ref="BH57:BK57"/>
    <mergeCell ref="BL57:BO57"/>
    <mergeCell ref="BP57:BS57"/>
    <mergeCell ref="X57:AA57"/>
    <mergeCell ref="AB57:AE57"/>
    <mergeCell ref="AF57:AI57"/>
    <mergeCell ref="AJ57:AM57"/>
    <mergeCell ref="AN57:AQ57"/>
    <mergeCell ref="AR57:AU57"/>
  </mergeCells>
  <conditionalFormatting sqref="H54:BS54">
    <cfRule type="containsBlanks" priority="3">
      <formula>LEN(TRIM(H54))=0</formula>
    </cfRule>
  </conditionalFormatting>
  <conditionalFormatting sqref="K30:BP31 M28:BN29 O26:BL27 Q24:BJ25 S22:BH23 U20:BF21 W18:BD19 Y16:BB17 AA14:AZ15 AC12:AX13 AE10:AV11 AG8:AT9 AI6:AR7 AK4:AP5 AM2:AN3">
    <cfRule type="cellIs" dxfId="13" priority="1" operator="equal">
      <formula>$D$9</formula>
    </cfRule>
  </conditionalFormatting>
  <conditionalFormatting sqref="H54:BS54 E37:E52">
    <cfRule type="cellIs" dxfId="12" priority="2" operator="between">
      <formula>0</formula>
      <formula>1</formula>
    </cfRule>
  </conditionalFormatting>
  <dataValidations count="4">
    <dataValidation type="list" allowBlank="1" showInputMessage="1" showErrorMessage="1" sqref="F32" xr:uid="{77086298-0EB1-344A-B5E0-24E163DB925F}">
      <formula1>$BX$26:$BX$32</formula1>
    </dataValidation>
    <dataValidation type="list" allowBlank="1" showInputMessage="1" showErrorMessage="1" sqref="AO16:AP17 BE20:BF21 AE14:AF15 AG16:AH17 Y16:Z17 AA14:AB15 AC20:AD21 AC12:AD13 AE10:AF11 AK4:AL5 AI14:AJ15 AI10:AJ11 AM14:AN15 AK12:AL13 AG8:AH9 AO4:AP5 AS8:AT9 S30:T31 AU10:AV11 Y20:Z21 Q28:R29 W18:X19 W26:X27 O30:P31 S26:T27 U28:V29 M28:N29 O26:P27 AC28:AD29 Q24:R25 S22:T23 BG26:BH27 BK26:BL27 AS24:AT25 U24:V25 AW24:AX25 U20:V21 AI22:AJ23 AM22:AN23 AI6:AJ7 K30:L31 AA30:AB31 BA24:BB25 AU18:AV19 W30:X31 Y28:Z29 AG28:AH29 AK28:AL29 AI30:AJ31 AE30:AF31 AO28:AP29 AS28:AT29 AQ30:AR31 AM30:AN31 AW28:AX29 BA28:BB29 AY30:AZ31 AU30:AV31 BE28:BF29 BC30:BD31 BI28:BJ29 BG30:BH31 BM28:BN29 BK30:BL31 BA20:BB21 AC16:AD17 AK16:AL17 BS30:BS31 BO30:BP31 AA26:AB27 AE26:AF27 AI26:AJ27 AM26:AN27 AQ26:AR27 AU26:AV27 AY26:AZ27 BC26:BD27 BE24:BF25 BI24:BJ25 Y24:Z25 AC24:AD25 AG24:AH25 AK24:AL25 AO24:AP25 AQ22:AR23 AU22:AV23 AY22:AZ23 BC22:BD23 BG22:BH23 W22:X23 AA22:AB23 AE22:AF23 AG20:AH21 AK20:AL21 AO20:AP21 AS20:AT21 AW20:AX21 AY18:AZ19 BC18:BD19 AA18:AB19 AE18:AF19 AI18:AJ19 AM18:AN19 AQ18:AR19 AS16:AT17 AW16:AX17 BA16:BB17 AQ14:AR15 AU14:AV15 AY14:AZ15 AO12:AP13 AS12:AT13 AW12:AX13 AG12:AH13 AM10:AN11 AQ10:AR11 AK8:AL9 AO8:AP9 AQ6:AR7 AM6:AN7 AM2:AN3" xr:uid="{2A678D3E-A0B7-EC49-AB1D-C212EA6B4D65}">
      <formula1>$D$7:$D$9</formula1>
    </dataValidation>
    <dataValidation type="list" allowBlank="1" showInputMessage="1" showErrorMessage="1" sqref="H34:BS34" xr:uid="{A167581C-7906-884A-B62A-D21D834CB1A5}">
      <formula1>$D$25:$D$29</formula1>
    </dataValidation>
    <dataValidation type="list" allowBlank="1" showInputMessage="1" showErrorMessage="1" sqref="H37:BS52" xr:uid="{D09CDA25-CAC1-2E43-BFFE-A94325618CBE}">
      <formula1>$D$16:$D$20</formula1>
    </dataValidation>
  </dataValidations>
  <printOptions horizontalCentered="1" verticalCentered="1"/>
  <pageMargins left="0.5" right="0.5" top="0.5" bottom="0.5" header="0" footer="0"/>
  <pageSetup scale="37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74A90-7D1E-0D4D-9871-B51BBB621315}">
  <sheetPr codeName="Sheet16"/>
  <dimension ref="A1:AI88"/>
  <sheetViews>
    <sheetView zoomScale="164" zoomScaleNormal="100" workbookViewId="0">
      <selection activeCell="C3" sqref="C3:C7"/>
    </sheetView>
  </sheetViews>
  <sheetFormatPr defaultColWidth="10.6640625" defaultRowHeight="15.5"/>
  <cols>
    <col min="1" max="1" width="18.5" customWidth="1"/>
    <col min="2" max="2" width="20.6640625" bestFit="1" customWidth="1"/>
    <col min="3" max="3" width="18.83203125" bestFit="1" customWidth="1"/>
    <col min="4" max="4" width="21.1640625" bestFit="1" customWidth="1"/>
    <col min="5" max="5" width="19.6640625" bestFit="1" customWidth="1"/>
    <col min="6" max="6" width="14" bestFit="1" customWidth="1"/>
    <col min="7" max="7" width="22.5" bestFit="1" customWidth="1"/>
    <col min="8" max="8" width="15.6640625" bestFit="1" customWidth="1"/>
    <col min="10" max="10" width="15.1640625" customWidth="1"/>
    <col min="12" max="12" width="16.5" customWidth="1"/>
    <col min="13" max="13" width="14.1640625" bestFit="1" customWidth="1"/>
    <col min="14" max="14" width="0" hidden="1" customWidth="1"/>
    <col min="15" max="15" width="27.33203125" hidden="1" customWidth="1"/>
    <col min="16" max="35" width="0" hidden="1" customWidth="1"/>
  </cols>
  <sheetData>
    <row r="1" spans="1:13">
      <c r="A1" s="1" t="s">
        <v>287</v>
      </c>
      <c r="B1" s="1" t="s">
        <v>288</v>
      </c>
      <c r="C1" s="1" t="s">
        <v>289</v>
      </c>
      <c r="D1" s="1" t="s">
        <v>290</v>
      </c>
      <c r="E1" s="104" t="s">
        <v>291</v>
      </c>
      <c r="F1" s="1" t="s">
        <v>292</v>
      </c>
      <c r="G1" s="105" t="s">
        <v>293</v>
      </c>
      <c r="H1" s="1" t="s">
        <v>294</v>
      </c>
      <c r="J1" s="5" t="s">
        <v>295</v>
      </c>
      <c r="K1" s="3">
        <v>1000</v>
      </c>
      <c r="L1" s="5" t="s">
        <v>287</v>
      </c>
      <c r="M1" s="5" t="s">
        <v>293</v>
      </c>
    </row>
    <row r="2" spans="1:13">
      <c r="A2" s="106" t="s">
        <v>296</v>
      </c>
      <c r="B2" s="107" t="s">
        <v>297</v>
      </c>
      <c r="C2" s="107" t="s">
        <v>297</v>
      </c>
      <c r="D2" s="107" t="s">
        <v>298</v>
      </c>
      <c r="E2" s="108" t="s">
        <v>299</v>
      </c>
      <c r="F2" s="107" t="s">
        <v>300</v>
      </c>
      <c r="G2" s="109" t="s">
        <v>301</v>
      </c>
      <c r="H2" s="107" t="s">
        <v>302</v>
      </c>
      <c r="L2" s="3" t="s">
        <v>303</v>
      </c>
      <c r="M2" s="3">
        <v>1.6999999999999999E-3</v>
      </c>
    </row>
    <row r="3" spans="1:13">
      <c r="A3" s="110" t="s">
        <v>383</v>
      </c>
      <c r="B3" s="111">
        <f>_xlfn.XLOOKUP(A3, $B$35:$B$74, $C$35:$C$74, 0, 0)</f>
        <v>450</v>
      </c>
      <c r="C3" s="111">
        <v>250</v>
      </c>
      <c r="D3" s="111">
        <f>_xlfn.XLOOKUP(A3, $B$35:$B$74,$E$35:$E$74, 0, 0)</f>
        <v>210</v>
      </c>
      <c r="E3" s="111">
        <f>_xlfn.XLOOKUP(A3, $B$35:$B$74, $D$35:$D$74, 0, 0)</f>
        <v>16.899999999999999</v>
      </c>
      <c r="F3" s="112">
        <f>_xlfn.XLOOKUP(A3, $B$35:$B$74, $F$35:$F$74, 0, 0)</f>
        <v>7.8</v>
      </c>
      <c r="G3" s="111">
        <f>_xlfn.XLOOKUP(A3, $B$35:$B$74, $G$35:$G$74, 0, 0)</f>
        <v>7.8</v>
      </c>
      <c r="H3" s="113">
        <f>_xlfn.XLOOKUP(A3, $B$35:$B$74, $M$35:$M$74, 0, 0)</f>
        <v>1950</v>
      </c>
      <c r="L3" s="3" t="s">
        <v>304</v>
      </c>
      <c r="M3" s="3">
        <v>1.2999999999999999E-3</v>
      </c>
    </row>
    <row r="4" spans="1:13">
      <c r="A4" s="110" t="s">
        <v>385</v>
      </c>
      <c r="B4" s="111">
        <f>_xlfn.XLOOKUP(A4, $B$35:$B$74, $C$35:$C$74, 0, 0)</f>
        <v>170</v>
      </c>
      <c r="C4" s="111">
        <v>98</v>
      </c>
      <c r="D4" s="111">
        <f>_xlfn.XLOOKUP(A4, $B$35:$B$74,$E$35:$E$74, 0, 0)</f>
        <v>70</v>
      </c>
      <c r="E4" s="111">
        <f>_xlfn.XLOOKUP(A4, $B$35:$B$74, $D$35:$D$74, 0, 0)</f>
        <v>21</v>
      </c>
      <c r="F4" s="112">
        <f>_xlfn.XLOOKUP(A4, $B$35:$B$74, $F$35:$F$74, 0, 0)</f>
        <v>2.7</v>
      </c>
      <c r="G4" s="111">
        <f>_xlfn.XLOOKUP(A4, $B$35:$B$74, $G$35:$G$74, 0, 0)</f>
        <v>2.7</v>
      </c>
      <c r="H4" s="113">
        <f>_xlfn.XLOOKUP(A4, $B$35:$B$74, $M$35:$M$74, 0, 0)</f>
        <v>2954</v>
      </c>
      <c r="L4" s="3" t="s">
        <v>305</v>
      </c>
      <c r="M4" s="3">
        <v>0.82</v>
      </c>
    </row>
    <row r="5" spans="1:13">
      <c r="A5" s="110" t="s">
        <v>448</v>
      </c>
      <c r="B5" s="111">
        <f>_xlfn.XLOOKUP(A5, $B$35:$B$74, $C$35:$C$74, 0, 0)</f>
        <v>2705</v>
      </c>
      <c r="C5" s="111">
        <v>1298</v>
      </c>
      <c r="D5" s="111">
        <f>_xlfn.XLOOKUP(A5, $B$35:$B$74,$E$35:$E$74, 0, 0)</f>
        <v>350</v>
      </c>
      <c r="E5" s="111">
        <f>_xlfn.XLOOKUP(A5, $B$35:$B$74, $D$35:$D$74, 0, 0)</f>
        <v>168</v>
      </c>
      <c r="F5" s="112">
        <f>_xlfn.XLOOKUP(A5, $B$35:$B$74, $F$35:$F$74, 0, 0)</f>
        <v>1.5</v>
      </c>
      <c r="G5" s="111">
        <f>_xlfn.XLOOKUP(A5, $B$35:$B$74, $G$35:$G$74, 0, 0)</f>
        <v>1.5</v>
      </c>
      <c r="H5" s="113">
        <f>_xlfn.XLOOKUP(A5, $B$35:$B$74, $M$35:$M$74, 0, 0)</f>
        <v>6500</v>
      </c>
      <c r="L5" s="3" t="s">
        <v>306</v>
      </c>
      <c r="M5" s="3">
        <v>2.72</v>
      </c>
    </row>
    <row r="6" spans="1:13">
      <c r="A6" s="110" t="s">
        <v>450</v>
      </c>
      <c r="B6" s="111">
        <f>_xlfn.XLOOKUP(A6, $B$35:$B$74, $C$35:$C$74, 0, 0)</f>
        <v>3800</v>
      </c>
      <c r="C6" s="111">
        <v>1045</v>
      </c>
      <c r="D6" s="111">
        <f>_xlfn.XLOOKUP(A6, $B$35:$B$74,$E$35:$E$74, 0, 0)</f>
        <v>88</v>
      </c>
      <c r="E6" s="111">
        <f>_xlfn.XLOOKUP(A6, $B$35:$B$74, $D$35:$D$74, 0, 0)</f>
        <v>4.33</v>
      </c>
      <c r="F6" s="112">
        <f>_xlfn.XLOOKUP(A6, $B$35:$B$74, $F$35:$F$74, 0, 0)</f>
        <v>2.7</v>
      </c>
      <c r="G6" s="111">
        <f>_xlfn.XLOOKUP(A6, $B$35:$B$74, $G$35:$G$74, 0, 0)</f>
        <v>2.7</v>
      </c>
      <c r="H6" s="113">
        <f>_xlfn.XLOOKUP(A6, $B$35:$B$74, $M$35:$M$74, 0, 0)</f>
        <v>6250</v>
      </c>
      <c r="L6" s="3" t="s">
        <v>307</v>
      </c>
      <c r="M6" s="3">
        <v>8.48</v>
      </c>
    </row>
    <row r="7" spans="1:13">
      <c r="A7" s="110" t="s">
        <v>449</v>
      </c>
      <c r="B7" s="111">
        <f>_xlfn.XLOOKUP(A7, $B$35:$B$74, $C$35:$C$74, 0, 0)</f>
        <v>1040</v>
      </c>
      <c r="C7" s="111">
        <v>645</v>
      </c>
      <c r="D7" s="111">
        <f>_xlfn.XLOOKUP(A7, $B$35:$B$74,$E$35:$E$74, 0, 0)</f>
        <v>43</v>
      </c>
      <c r="E7" s="111">
        <f>_xlfn.XLOOKUP(A7, $B$35:$B$74, $D$35:$D$74, 0, 0)</f>
        <v>9.33</v>
      </c>
      <c r="F7" s="112">
        <f>_xlfn.XLOOKUP(A7, $B$35:$B$74, $F$35:$F$74, 0, 0)</f>
        <v>1.8</v>
      </c>
      <c r="G7" s="111">
        <f>_xlfn.XLOOKUP(A7, $B$35:$B$74, $G$35:$G$74, 0, 0)</f>
        <v>1.8</v>
      </c>
      <c r="H7" s="113">
        <f>_xlfn.XLOOKUP(A7, $B$35:$B$74, $M$35:$M$74, 0, 0)</f>
        <v>32456</v>
      </c>
      <c r="L7" s="3" t="s">
        <v>308</v>
      </c>
      <c r="M7" s="3">
        <v>8.57</v>
      </c>
    </row>
    <row r="8" spans="1:13">
      <c r="A8" s="114"/>
      <c r="B8" s="65"/>
      <c r="C8" s="65"/>
      <c r="D8" s="65"/>
      <c r="E8" s="65"/>
      <c r="F8" s="115"/>
      <c r="G8" s="65"/>
      <c r="L8" s="3" t="s">
        <v>309</v>
      </c>
      <c r="M8" s="3">
        <v>1.98E-3</v>
      </c>
    </row>
    <row r="9" spans="1:13">
      <c r="A9" s="114"/>
      <c r="B9" s="65"/>
      <c r="C9" s="65"/>
      <c r="D9" s="65"/>
      <c r="E9" s="65"/>
      <c r="F9" s="115"/>
      <c r="G9" s="65"/>
      <c r="L9" s="3" t="s">
        <v>310</v>
      </c>
      <c r="M9" s="3">
        <v>1.2600000000000001E-3</v>
      </c>
    </row>
    <row r="10" spans="1:13">
      <c r="L10" s="3" t="s">
        <v>311</v>
      </c>
      <c r="M10" s="3">
        <v>7.2</v>
      </c>
    </row>
    <row r="11" spans="1:13">
      <c r="L11" s="3" t="s">
        <v>312</v>
      </c>
      <c r="M11" s="3">
        <v>7.03</v>
      </c>
    </row>
    <row r="12" spans="1:13">
      <c r="L12" s="3" t="s">
        <v>313</v>
      </c>
      <c r="M12" s="3">
        <v>8.7899999999999991</v>
      </c>
    </row>
    <row r="13" spans="1:13">
      <c r="L13" s="3" t="s">
        <v>314</v>
      </c>
      <c r="M13" s="3">
        <v>9.0000000000000006E-5</v>
      </c>
    </row>
    <row r="14" spans="1:13">
      <c r="L14" s="3" t="s">
        <v>315</v>
      </c>
      <c r="M14" s="3">
        <v>11.35</v>
      </c>
    </row>
    <row r="15" spans="1:13">
      <c r="L15" s="3" t="s">
        <v>316</v>
      </c>
      <c r="M15" s="3">
        <v>13.59</v>
      </c>
    </row>
    <row r="16" spans="1:13">
      <c r="L16" s="3" t="s">
        <v>317</v>
      </c>
      <c r="M16" s="3">
        <v>8.73</v>
      </c>
    </row>
    <row r="17" spans="1:35">
      <c r="L17" s="3" t="s">
        <v>318</v>
      </c>
      <c r="M17" s="3">
        <v>1.25E-3</v>
      </c>
    </row>
    <row r="18" spans="1:35">
      <c r="L18" s="3" t="s">
        <v>319</v>
      </c>
      <c r="M18" s="3">
        <v>1.1200000000000001</v>
      </c>
    </row>
    <row r="19" spans="1:35">
      <c r="L19" s="3" t="s">
        <v>320</v>
      </c>
      <c r="M19" s="3">
        <v>1.4300000000000001E-3</v>
      </c>
    </row>
    <row r="20" spans="1:35">
      <c r="L20" s="3" t="s">
        <v>321</v>
      </c>
      <c r="M20" s="3">
        <v>0.8</v>
      </c>
    </row>
    <row r="21" spans="1:35">
      <c r="L21" s="3" t="s">
        <v>322</v>
      </c>
      <c r="M21" s="3">
        <v>0.72</v>
      </c>
    </row>
    <row r="22" spans="1:35">
      <c r="L22" s="3" t="s">
        <v>323</v>
      </c>
      <c r="M22" s="3">
        <v>1.36</v>
      </c>
    </row>
    <row r="23" spans="1:35">
      <c r="L23" s="3" t="s">
        <v>324</v>
      </c>
      <c r="M23" s="3">
        <v>0.96</v>
      </c>
    </row>
    <row r="24" spans="1:35">
      <c r="L24" s="3" t="s">
        <v>325</v>
      </c>
      <c r="M24" s="3">
        <v>7.82</v>
      </c>
    </row>
    <row r="25" spans="1:35">
      <c r="L25" s="3" t="s">
        <v>326</v>
      </c>
      <c r="M25" s="3">
        <v>7.28</v>
      </c>
    </row>
    <row r="26" spans="1:35">
      <c r="L26" s="3" t="s">
        <v>327</v>
      </c>
      <c r="M26" s="3">
        <v>1</v>
      </c>
    </row>
    <row r="27" spans="1:35">
      <c r="L27" s="3" t="s">
        <v>328</v>
      </c>
      <c r="M27" s="3">
        <v>1.0269999999999999</v>
      </c>
    </row>
    <row r="28" spans="1:35">
      <c r="L28" s="3" t="s">
        <v>329</v>
      </c>
      <c r="M28" s="3">
        <v>0.77</v>
      </c>
    </row>
    <row r="29" spans="1:35">
      <c r="L29" s="3" t="s">
        <v>330</v>
      </c>
      <c r="M29" s="3">
        <v>7.12</v>
      </c>
    </row>
    <row r="31" spans="1:35" ht="16" thickBot="1"/>
    <row r="32" spans="1:35" ht="16" thickBot="1">
      <c r="A32" s="243" t="s">
        <v>81</v>
      </c>
      <c r="B32" s="244" t="s">
        <v>287</v>
      </c>
      <c r="C32" s="245" t="s">
        <v>343</v>
      </c>
      <c r="D32" s="246"/>
      <c r="E32" s="246"/>
      <c r="F32" s="246"/>
      <c r="G32" s="246"/>
      <c r="H32" s="246"/>
      <c r="I32" s="246"/>
      <c r="J32" s="246"/>
      <c r="K32" s="246"/>
      <c r="L32" s="246"/>
      <c r="M32" s="247"/>
      <c r="N32" s="522" t="s">
        <v>344</v>
      </c>
      <c r="O32" s="523"/>
      <c r="P32" s="523"/>
      <c r="Q32" s="523"/>
      <c r="R32" s="523"/>
      <c r="S32" s="523"/>
      <c r="T32" s="523"/>
      <c r="U32" s="523"/>
      <c r="V32" s="524"/>
      <c r="W32" s="249" t="s">
        <v>345</v>
      </c>
      <c r="X32" s="244"/>
      <c r="Y32" s="244"/>
      <c r="Z32" s="244"/>
      <c r="AA32" s="244"/>
      <c r="AB32" s="248"/>
      <c r="AC32" s="248"/>
      <c r="AD32" s="525" t="s">
        <v>346</v>
      </c>
      <c r="AE32" s="526"/>
      <c r="AF32" s="526"/>
      <c r="AG32" s="526"/>
      <c r="AH32" s="526"/>
      <c r="AI32" s="527"/>
    </row>
    <row r="33" spans="1:35" s="227" customFormat="1" ht="62">
      <c r="A33" s="528"/>
      <c r="B33" s="530"/>
      <c r="C33" s="231" t="s">
        <v>288</v>
      </c>
      <c r="D33" s="232" t="s">
        <v>347</v>
      </c>
      <c r="E33" s="232" t="s">
        <v>290</v>
      </c>
      <c r="F33" s="232" t="s">
        <v>292</v>
      </c>
      <c r="G33" s="232" t="s">
        <v>293</v>
      </c>
      <c r="H33" s="532" t="s">
        <v>348</v>
      </c>
      <c r="I33" s="533"/>
      <c r="J33" s="534"/>
      <c r="K33" s="233" t="s">
        <v>349</v>
      </c>
      <c r="L33" s="233" t="s">
        <v>350</v>
      </c>
      <c r="M33" s="234" t="s">
        <v>294</v>
      </c>
      <c r="N33" s="235" t="s">
        <v>351</v>
      </c>
      <c r="O33" s="236" t="s">
        <v>352</v>
      </c>
      <c r="P33" s="237" t="s">
        <v>353</v>
      </c>
      <c r="Q33" s="237" t="s">
        <v>354</v>
      </c>
      <c r="R33" s="237" t="s">
        <v>355</v>
      </c>
      <c r="S33" s="237" t="s">
        <v>356</v>
      </c>
      <c r="T33" s="237" t="s">
        <v>357</v>
      </c>
      <c r="U33" s="237" t="s">
        <v>358</v>
      </c>
      <c r="V33" s="238" t="s">
        <v>332</v>
      </c>
      <c r="W33" s="239" t="s">
        <v>359</v>
      </c>
      <c r="X33" s="237" t="s">
        <v>360</v>
      </c>
      <c r="Y33" s="237" t="s">
        <v>361</v>
      </c>
      <c r="Z33" s="238" t="s">
        <v>362</v>
      </c>
      <c r="AA33" s="232" t="s">
        <v>363</v>
      </c>
      <c r="AB33" s="240" t="s">
        <v>364</v>
      </c>
      <c r="AC33" s="240" t="s">
        <v>365</v>
      </c>
      <c r="AD33" s="241" t="s">
        <v>366</v>
      </c>
      <c r="AE33" s="242" t="s">
        <v>367</v>
      </c>
      <c r="AF33" s="242" t="s">
        <v>368</v>
      </c>
      <c r="AG33" s="535" t="s">
        <v>369</v>
      </c>
      <c r="AH33" s="535"/>
      <c r="AI33" s="536"/>
    </row>
    <row r="34" spans="1:35">
      <c r="A34" s="529"/>
      <c r="B34" s="531"/>
      <c r="C34" s="130" t="s">
        <v>297</v>
      </c>
      <c r="D34" s="131" t="s">
        <v>370</v>
      </c>
      <c r="E34" s="131" t="s">
        <v>298</v>
      </c>
      <c r="F34" s="131" t="s">
        <v>300</v>
      </c>
      <c r="G34" s="131" t="s">
        <v>301</v>
      </c>
      <c r="H34" s="137" t="s">
        <v>371</v>
      </c>
      <c r="I34" s="137" t="s">
        <v>372</v>
      </c>
      <c r="J34" s="137" t="s">
        <v>5</v>
      </c>
      <c r="K34" s="137" t="s">
        <v>373</v>
      </c>
      <c r="L34" s="137" t="s">
        <v>373</v>
      </c>
      <c r="M34" s="138" t="s">
        <v>302</v>
      </c>
      <c r="N34" s="139"/>
      <c r="O34" s="140"/>
      <c r="P34" s="140"/>
      <c r="Q34" s="140"/>
      <c r="R34" s="140"/>
      <c r="S34" s="140"/>
      <c r="T34" s="140"/>
      <c r="U34" s="140"/>
      <c r="V34" s="141"/>
      <c r="W34" s="134" t="s">
        <v>374</v>
      </c>
      <c r="X34" s="132" t="s">
        <v>375</v>
      </c>
      <c r="Y34" s="132" t="s">
        <v>376</v>
      </c>
      <c r="Z34" s="133" t="s">
        <v>377</v>
      </c>
      <c r="AA34" s="142" t="s">
        <v>378</v>
      </c>
      <c r="AB34" s="143"/>
      <c r="AC34" s="144"/>
      <c r="AD34" s="135" t="s">
        <v>379</v>
      </c>
      <c r="AE34" s="136" t="s">
        <v>380</v>
      </c>
      <c r="AF34" s="136"/>
      <c r="AG34" s="136" t="s">
        <v>381</v>
      </c>
      <c r="AH34" s="145"/>
      <c r="AI34" s="146" t="s">
        <v>382</v>
      </c>
    </row>
    <row r="35" spans="1:35">
      <c r="A35" s="229"/>
      <c r="B35" s="147" t="s">
        <v>383</v>
      </c>
      <c r="C35" s="148">
        <v>450</v>
      </c>
      <c r="D35" s="149">
        <v>16.899999999999999</v>
      </c>
      <c r="E35" s="150">
        <v>210</v>
      </c>
      <c r="F35" s="150">
        <v>7.8</v>
      </c>
      <c r="G35" s="151">
        <f t="shared" ref="G35:G74" si="0">F35*1000/$K$1</f>
        <v>7.8</v>
      </c>
      <c r="H35" s="145">
        <v>68</v>
      </c>
      <c r="I35" s="145" t="s">
        <v>384</v>
      </c>
      <c r="J35" s="145">
        <v>6</v>
      </c>
      <c r="K35" s="145">
        <v>27.5</v>
      </c>
      <c r="L35" s="152">
        <v>25</v>
      </c>
      <c r="M35" s="153">
        <v>1950</v>
      </c>
      <c r="N35" s="154">
        <f t="shared" ref="N35:N74" si="1">IFERROR(ROUND((C35/MAX(C$18:C$56))*100,2), "NN")</f>
        <v>11.84</v>
      </c>
      <c r="O35" s="154">
        <f t="shared" ref="O35:O74" si="2">IFERROR(ROUND((D35/MAX(D$18:D$56))*100,2), "NN")</f>
        <v>0.28999999999999998</v>
      </c>
      <c r="P35" s="154">
        <f t="shared" ref="P35:P74" si="3">IFERROR(ROUND((E35/MAX(E$18:E$56))*100,2), "NN")</f>
        <v>60</v>
      </c>
      <c r="Q35" s="154">
        <f t="shared" ref="Q35:Q74" si="4">IFERROR(ROUND((F35/MAX(F$18:F$56))*100,2), "NN")</f>
        <v>100</v>
      </c>
      <c r="R35" s="154">
        <f t="shared" ref="R35:R74" si="5">IFERROR(ROUND((G35/MAX(G$18:G$56))*100,2), "NN")</f>
        <v>100</v>
      </c>
      <c r="S35" s="154">
        <f t="shared" ref="S35:S74" si="6">IFERROR(ROUND((J35/MAX(J$18:J$56))*100,2), "NN")</f>
        <v>100</v>
      </c>
      <c r="T35" s="154">
        <f t="shared" ref="T35:T74" si="7">IFERROR(ROUND((K35/MAX(K$18:K$56))*100,2), "NN")</f>
        <v>7.86</v>
      </c>
      <c r="U35" s="154">
        <f t="shared" ref="U35:U74" si="8">IFERROR(ROUND((L35/MAX(L$18:L$56))*100,2), "NN")</f>
        <v>12.5</v>
      </c>
      <c r="V35" s="155" cm="1">
        <f t="array" ref="V35">IFERROR(SUMPRODUCT($N35:$U35, TRANSPOSE($L$81:$L$88)), "NN")</f>
        <v>59.37</v>
      </c>
      <c r="W35" s="156">
        <f>IFERROR(C35/'S10 Mat. Cost per Strength'!$B$1, "NN")</f>
        <v>180</v>
      </c>
      <c r="X35" s="157">
        <f t="shared" ref="X35:X74" si="9">IF(G35=0, "NN", G35)</f>
        <v>7.8</v>
      </c>
      <c r="Y35" s="3">
        <f>IFERROR(ROUND(M35/MIN($M$35:$M$74),2), "NN")</f>
        <v>19.5</v>
      </c>
      <c r="Z35" s="8">
        <f t="shared" ref="Z35:Z74" si="10">IFERROR(ROUND(Y35*G35/W35,3), "NN")</f>
        <v>0.84499999999999997</v>
      </c>
      <c r="AA35" s="145">
        <f>IFERROR(Z35*100, "NN")</f>
        <v>84.5</v>
      </c>
      <c r="AB35" s="158">
        <f>IFERROR(ROUNDUP(V35/Z35, 0), "NN")</f>
        <v>71</v>
      </c>
      <c r="AC35" s="159">
        <f>IFERROR(RANK(AB35, $AB$35:$AB$74), "")</f>
        <v>10</v>
      </c>
      <c r="AD35" s="160">
        <f t="shared" ref="AD35:AD74" si="11">IFERROR(ROUND(Y35*F35/K35, 3), "NN")</f>
        <v>5.5309999999999997</v>
      </c>
      <c r="AE35" s="161">
        <f>AD35*100</f>
        <v>553.1</v>
      </c>
      <c r="AF35" s="162">
        <f>IFERROR(ROUND(V35/AD35, 0), "NN")</f>
        <v>11</v>
      </c>
      <c r="AG35" s="163">
        <f>IFERROR(RANK(AF35, $AF$36:$AF$74), 50)</f>
        <v>20</v>
      </c>
      <c r="AH35" s="164">
        <f>VALUE(AG35&amp;"."&amp;(ROW(AG35)))</f>
        <v>20.350000000000001</v>
      </c>
      <c r="AI35" s="165">
        <f>RANK(AH35, $AH$35:$AH$74, 1)</f>
        <v>20</v>
      </c>
    </row>
    <row r="36" spans="1:35">
      <c r="A36" s="229"/>
      <c r="B36" s="166" t="s">
        <v>385</v>
      </c>
      <c r="C36" s="167">
        <v>170</v>
      </c>
      <c r="D36" s="145">
        <v>21</v>
      </c>
      <c r="E36" s="150">
        <v>70</v>
      </c>
      <c r="F36" s="150">
        <v>2.7</v>
      </c>
      <c r="G36" s="151">
        <f t="shared" si="0"/>
        <v>2.7</v>
      </c>
      <c r="H36" s="145">
        <v>60</v>
      </c>
      <c r="I36" s="145" t="s">
        <v>386</v>
      </c>
      <c r="J36" s="145">
        <v>5</v>
      </c>
      <c r="K36" s="145">
        <v>14.5</v>
      </c>
      <c r="L36" s="145">
        <v>8.75</v>
      </c>
      <c r="M36" s="153">
        <v>2954</v>
      </c>
      <c r="N36" s="154">
        <f t="shared" si="1"/>
        <v>4.47</v>
      </c>
      <c r="O36" s="154">
        <f t="shared" si="2"/>
        <v>0.36</v>
      </c>
      <c r="P36" s="154">
        <f t="shared" si="3"/>
        <v>20</v>
      </c>
      <c r="Q36" s="154">
        <f t="shared" si="4"/>
        <v>34.619999999999997</v>
      </c>
      <c r="R36" s="154">
        <f t="shared" si="5"/>
        <v>34.619999999999997</v>
      </c>
      <c r="S36" s="154">
        <f t="shared" si="6"/>
        <v>83.33</v>
      </c>
      <c r="T36" s="154">
        <f t="shared" si="7"/>
        <v>4.1399999999999997</v>
      </c>
      <c r="U36" s="154">
        <f t="shared" si="8"/>
        <v>4.38</v>
      </c>
      <c r="V36" s="155" cm="1">
        <f t="array" ref="V36">IFERROR(SUMPRODUCT($N36:$U36, TRANSPOSE($L$81:$L$88)), "NN")</f>
        <v>26.610499999999995</v>
      </c>
      <c r="W36" s="156">
        <f>IFERROR(C36/'S10 Mat. Cost per Strength'!$B$1, "NN")</f>
        <v>68</v>
      </c>
      <c r="X36" s="157">
        <f t="shared" si="9"/>
        <v>2.7</v>
      </c>
      <c r="Y36" s="3">
        <f t="shared" ref="Y36:Y74" si="12">IFERROR(ROUND(M36/MIN($M$35:$M$74),2), "NN")</f>
        <v>29.54</v>
      </c>
      <c r="Z36" s="8">
        <f t="shared" si="10"/>
        <v>1.173</v>
      </c>
      <c r="AA36" s="145">
        <f t="shared" ref="AA36:AA74" si="13">IFERROR(Z36*100, "NN")</f>
        <v>117.30000000000001</v>
      </c>
      <c r="AB36" s="158">
        <f t="shared" ref="AB36:AB74" si="14">IFERROR(ROUNDUP(V36/Z36, 0), "NN")</f>
        <v>23</v>
      </c>
      <c r="AC36" s="159">
        <f t="shared" ref="AC36:AC74" si="15">IFERROR(RANK(AB36, $AB$35:$AB$74), "")</f>
        <v>15</v>
      </c>
      <c r="AD36" s="168">
        <f t="shared" si="11"/>
        <v>5.5010000000000003</v>
      </c>
      <c r="AE36" s="145">
        <f t="shared" ref="AE36:AE74" si="16">AD36*100</f>
        <v>550.1</v>
      </c>
      <c r="AF36" s="169">
        <f t="shared" ref="AF36:AF74" si="17">IFERROR(ROUND(V36/AD36, 0), "NN")</f>
        <v>5</v>
      </c>
      <c r="AG36" s="163">
        <f t="shared" ref="AG36:AG74" si="18">IFERROR(RANK(AF36, $AF$36:$AF$74), 50)</f>
        <v>26</v>
      </c>
      <c r="AH36" s="164">
        <f t="shared" ref="AH36:AH74" si="19">VALUE(AG36&amp;"."&amp;(ROW(AG36)))</f>
        <v>26.36</v>
      </c>
      <c r="AI36" s="165">
        <f t="shared" ref="AI36:AI74" si="20">RANK(AH36, $AH$35:$AH$74, 1)</f>
        <v>27</v>
      </c>
    </row>
    <row r="37" spans="1:35">
      <c r="A37" s="229"/>
      <c r="B37" s="166" t="s">
        <v>448</v>
      </c>
      <c r="C37" s="148">
        <f>(1720+3690)/2</f>
        <v>2705</v>
      </c>
      <c r="D37" s="145">
        <v>168</v>
      </c>
      <c r="E37" s="150">
        <f>(120+580)/2</f>
        <v>350</v>
      </c>
      <c r="F37" s="150">
        <v>1.5</v>
      </c>
      <c r="G37" s="151">
        <f t="shared" si="0"/>
        <v>1.5</v>
      </c>
      <c r="H37" s="145">
        <v>75</v>
      </c>
      <c r="I37" s="145" t="s">
        <v>387</v>
      </c>
      <c r="J37" s="145">
        <v>6</v>
      </c>
      <c r="K37" s="145">
        <v>2.75</v>
      </c>
      <c r="L37" s="152">
        <v>1.25</v>
      </c>
      <c r="M37" s="170">
        <v>6500</v>
      </c>
      <c r="N37" s="154">
        <f t="shared" si="1"/>
        <v>71.180000000000007</v>
      </c>
      <c r="O37" s="154">
        <f t="shared" si="2"/>
        <v>2.92</v>
      </c>
      <c r="P37" s="154">
        <f t="shared" si="3"/>
        <v>100</v>
      </c>
      <c r="Q37" s="154">
        <f t="shared" si="4"/>
        <v>19.23</v>
      </c>
      <c r="R37" s="154">
        <f t="shared" si="5"/>
        <v>19.23</v>
      </c>
      <c r="S37" s="154">
        <f t="shared" si="6"/>
        <v>100</v>
      </c>
      <c r="T37" s="154">
        <f t="shared" si="7"/>
        <v>0.79</v>
      </c>
      <c r="U37" s="154">
        <f t="shared" si="8"/>
        <v>0.63</v>
      </c>
      <c r="V37" s="155" cm="1">
        <f t="array" ref="V37">IFERROR(SUMPRODUCT($N37:$U37, TRANSPOSE($L$81:$L$88)), "NN")</f>
        <v>51.661999999999999</v>
      </c>
      <c r="W37" s="156">
        <f>IFERROR(C37/'S10 Mat. Cost per Strength'!$B$1, "NN")</f>
        <v>1082</v>
      </c>
      <c r="X37" s="157">
        <f t="shared" si="9"/>
        <v>1.5</v>
      </c>
      <c r="Y37" s="3">
        <f t="shared" si="12"/>
        <v>65</v>
      </c>
      <c r="Z37" s="8">
        <f t="shared" si="10"/>
        <v>0.09</v>
      </c>
      <c r="AA37" s="145">
        <f t="shared" si="13"/>
        <v>9</v>
      </c>
      <c r="AB37" s="158">
        <f t="shared" si="14"/>
        <v>575</v>
      </c>
      <c r="AC37" s="159">
        <f t="shared" si="15"/>
        <v>1</v>
      </c>
      <c r="AD37" s="168">
        <f t="shared" si="11"/>
        <v>35.454999999999998</v>
      </c>
      <c r="AE37" s="145">
        <f t="shared" si="16"/>
        <v>3545.5</v>
      </c>
      <c r="AF37" s="169">
        <f t="shared" si="17"/>
        <v>1</v>
      </c>
      <c r="AG37" s="163">
        <f t="shared" si="18"/>
        <v>35</v>
      </c>
      <c r="AH37" s="164">
        <f t="shared" si="19"/>
        <v>35.369999999999997</v>
      </c>
      <c r="AI37" s="165">
        <f t="shared" si="20"/>
        <v>36</v>
      </c>
    </row>
    <row r="38" spans="1:35">
      <c r="A38" s="229"/>
      <c r="B38" s="166" t="s">
        <v>449</v>
      </c>
      <c r="C38" s="148">
        <f>+(480+1600)/2</f>
        <v>1040</v>
      </c>
      <c r="D38" s="171">
        <v>9.33</v>
      </c>
      <c r="E38" s="150">
        <f>+(35+51)/2</f>
        <v>43</v>
      </c>
      <c r="F38" s="150">
        <v>1.8</v>
      </c>
      <c r="G38" s="151">
        <f t="shared" si="0"/>
        <v>1.8</v>
      </c>
      <c r="H38" s="145">
        <v>112</v>
      </c>
      <c r="I38" s="145" t="s">
        <v>388</v>
      </c>
      <c r="J38" s="145">
        <v>5</v>
      </c>
      <c r="K38" s="145">
        <v>5.5</v>
      </c>
      <c r="L38" s="152">
        <v>3</v>
      </c>
      <c r="M38" s="153">
        <v>32456</v>
      </c>
      <c r="N38" s="154">
        <f t="shared" si="1"/>
        <v>27.37</v>
      </c>
      <c r="O38" s="154">
        <f t="shared" si="2"/>
        <v>0.16</v>
      </c>
      <c r="P38" s="154">
        <f t="shared" si="3"/>
        <v>12.29</v>
      </c>
      <c r="Q38" s="154">
        <f t="shared" si="4"/>
        <v>23.08</v>
      </c>
      <c r="R38" s="154">
        <f t="shared" si="5"/>
        <v>23.08</v>
      </c>
      <c r="S38" s="154">
        <f t="shared" si="6"/>
        <v>83.33</v>
      </c>
      <c r="T38" s="154">
        <f t="shared" si="7"/>
        <v>1.57</v>
      </c>
      <c r="U38" s="154">
        <f t="shared" si="8"/>
        <v>1.5</v>
      </c>
      <c r="V38" s="155" cm="1">
        <f t="array" ref="V38">IFERROR(SUMPRODUCT($N38:$U38, TRANSPOSE($L$81:$L$88)), "NN")</f>
        <v>25.227375000000002</v>
      </c>
      <c r="W38" s="156">
        <f>IFERROR(C38/'S10 Mat. Cost per Strength'!$B$1, "NN")</f>
        <v>416</v>
      </c>
      <c r="X38" s="157">
        <f t="shared" si="9"/>
        <v>1.8</v>
      </c>
      <c r="Y38" s="3">
        <f t="shared" si="12"/>
        <v>324.56</v>
      </c>
      <c r="Z38" s="8">
        <f t="shared" si="10"/>
        <v>1.4039999999999999</v>
      </c>
      <c r="AA38" s="145">
        <f t="shared" si="13"/>
        <v>140.39999999999998</v>
      </c>
      <c r="AB38" s="158">
        <f t="shared" si="14"/>
        <v>18</v>
      </c>
      <c r="AC38" s="159">
        <f t="shared" si="15"/>
        <v>18</v>
      </c>
      <c r="AD38" s="168">
        <f t="shared" si="11"/>
        <v>106.22</v>
      </c>
      <c r="AE38" s="145">
        <f t="shared" si="16"/>
        <v>10622</v>
      </c>
      <c r="AF38" s="169">
        <f t="shared" si="17"/>
        <v>0</v>
      </c>
      <c r="AG38" s="163">
        <f t="shared" si="18"/>
        <v>39</v>
      </c>
      <c r="AH38" s="164">
        <f t="shared" si="19"/>
        <v>39.380000000000003</v>
      </c>
      <c r="AI38" s="165">
        <f t="shared" si="20"/>
        <v>40</v>
      </c>
    </row>
    <row r="39" spans="1:35">
      <c r="A39" s="229"/>
      <c r="B39" s="166" t="s">
        <v>450</v>
      </c>
      <c r="C39" s="148">
        <f>(2800+4800)/2</f>
        <v>3800</v>
      </c>
      <c r="D39" s="171">
        <v>4.33</v>
      </c>
      <c r="E39" s="150">
        <f>+(86+90)/2</f>
        <v>88</v>
      </c>
      <c r="F39" s="150">
        <v>2.7</v>
      </c>
      <c r="G39" s="151">
        <f t="shared" si="0"/>
        <v>2.7</v>
      </c>
      <c r="H39" s="145">
        <v>50</v>
      </c>
      <c r="I39" s="145" t="s">
        <v>389</v>
      </c>
      <c r="J39" s="145">
        <v>4</v>
      </c>
      <c r="K39" s="145">
        <v>3</v>
      </c>
      <c r="L39" s="152">
        <v>1.9</v>
      </c>
      <c r="M39" s="170">
        <v>6250</v>
      </c>
      <c r="N39" s="154">
        <f t="shared" si="1"/>
        <v>100</v>
      </c>
      <c r="O39" s="154">
        <f t="shared" si="2"/>
        <v>0.08</v>
      </c>
      <c r="P39" s="154">
        <f t="shared" si="3"/>
        <v>25.14</v>
      </c>
      <c r="Q39" s="154">
        <f t="shared" si="4"/>
        <v>34.619999999999997</v>
      </c>
      <c r="R39" s="154">
        <f t="shared" si="5"/>
        <v>34.619999999999997</v>
      </c>
      <c r="S39" s="154">
        <f t="shared" si="6"/>
        <v>66.67</v>
      </c>
      <c r="T39" s="154">
        <f t="shared" si="7"/>
        <v>0.86</v>
      </c>
      <c r="U39" s="154">
        <f t="shared" si="8"/>
        <v>0.95</v>
      </c>
      <c r="V39" s="155" cm="1">
        <f t="array" ref="V39">IFERROR(SUMPRODUCT($N39:$U39, TRANSPOSE($L$81:$L$88)), "NN")</f>
        <v>42.147875000000006</v>
      </c>
      <c r="W39" s="156">
        <f>IFERROR(C39/'S10 Mat. Cost per Strength'!$B$1, "NN")</f>
        <v>1520</v>
      </c>
      <c r="X39" s="157">
        <f t="shared" si="9"/>
        <v>2.7</v>
      </c>
      <c r="Y39" s="3">
        <f t="shared" si="12"/>
        <v>62.5</v>
      </c>
      <c r="Z39" s="8">
        <f t="shared" si="10"/>
        <v>0.111</v>
      </c>
      <c r="AA39" s="145">
        <f t="shared" si="13"/>
        <v>11.1</v>
      </c>
      <c r="AB39" s="158">
        <f t="shared" si="14"/>
        <v>380</v>
      </c>
      <c r="AC39" s="159">
        <f t="shared" si="15"/>
        <v>3</v>
      </c>
      <c r="AD39" s="168">
        <f t="shared" si="11"/>
        <v>56.25</v>
      </c>
      <c r="AE39" s="145">
        <f t="shared" si="16"/>
        <v>5625</v>
      </c>
      <c r="AF39" s="169">
        <f t="shared" si="17"/>
        <v>1</v>
      </c>
      <c r="AG39" s="163">
        <f t="shared" si="18"/>
        <v>35</v>
      </c>
      <c r="AH39" s="164">
        <f t="shared" si="19"/>
        <v>35.39</v>
      </c>
      <c r="AI39" s="165">
        <f t="shared" si="20"/>
        <v>37</v>
      </c>
    </row>
    <row r="40" spans="1:35">
      <c r="A40" s="229"/>
      <c r="B40" s="166" t="s">
        <v>390</v>
      </c>
      <c r="C40" s="148">
        <v>61</v>
      </c>
      <c r="D40" s="145">
        <v>16</v>
      </c>
      <c r="E40" s="150">
        <v>4.1070000000000002</v>
      </c>
      <c r="F40" s="150">
        <v>1.24</v>
      </c>
      <c r="G40" s="151">
        <f t="shared" si="0"/>
        <v>1.24</v>
      </c>
      <c r="H40" s="152" t="s">
        <v>391</v>
      </c>
      <c r="I40" s="145" t="s">
        <v>392</v>
      </c>
      <c r="J40" s="145">
        <v>5</v>
      </c>
      <c r="K40" s="145">
        <v>41.3</v>
      </c>
      <c r="L40" s="145">
        <v>2</v>
      </c>
      <c r="M40" s="153">
        <v>3300</v>
      </c>
      <c r="N40" s="154">
        <f t="shared" si="1"/>
        <v>1.61</v>
      </c>
      <c r="O40" s="154">
        <f t="shared" si="2"/>
        <v>0.28000000000000003</v>
      </c>
      <c r="P40" s="154">
        <f t="shared" si="3"/>
        <v>1.17</v>
      </c>
      <c r="Q40" s="154">
        <f t="shared" si="4"/>
        <v>15.9</v>
      </c>
      <c r="R40" s="154">
        <f t="shared" si="5"/>
        <v>15.9</v>
      </c>
      <c r="S40" s="154">
        <f t="shared" si="6"/>
        <v>83.33</v>
      </c>
      <c r="T40" s="154">
        <f t="shared" si="7"/>
        <v>11.8</v>
      </c>
      <c r="U40" s="154">
        <f t="shared" si="8"/>
        <v>1</v>
      </c>
      <c r="V40" s="155" cm="1">
        <f t="array" ref="V40">IFERROR(SUMPRODUCT($N40:$U40, TRANSPOSE($L$81:$L$88)), "NN")</f>
        <v>16.301500000000001</v>
      </c>
      <c r="W40" s="156">
        <f>IFERROR(C40/'S10 Mat. Cost per Strength'!$B$1, "NN")</f>
        <v>24.4</v>
      </c>
      <c r="X40" s="157">
        <f t="shared" si="9"/>
        <v>1.24</v>
      </c>
      <c r="Y40" s="3">
        <f t="shared" si="12"/>
        <v>33</v>
      </c>
      <c r="Z40" s="8">
        <f t="shared" si="10"/>
        <v>1.677</v>
      </c>
      <c r="AA40" s="145">
        <f t="shared" si="13"/>
        <v>167.70000000000002</v>
      </c>
      <c r="AB40" s="158">
        <f t="shared" si="14"/>
        <v>10</v>
      </c>
      <c r="AC40" s="159">
        <f t="shared" si="15"/>
        <v>26</v>
      </c>
      <c r="AD40" s="168">
        <f t="shared" si="11"/>
        <v>0.99099999999999999</v>
      </c>
      <c r="AE40" s="145">
        <f t="shared" si="16"/>
        <v>99.1</v>
      </c>
      <c r="AF40" s="169">
        <f t="shared" si="17"/>
        <v>16</v>
      </c>
      <c r="AG40" s="163">
        <f t="shared" si="18"/>
        <v>19</v>
      </c>
      <c r="AH40" s="164">
        <f t="shared" si="19"/>
        <v>19.399999999999999</v>
      </c>
      <c r="AI40" s="165">
        <f t="shared" si="20"/>
        <v>19</v>
      </c>
    </row>
    <row r="41" spans="1:35">
      <c r="A41" s="229"/>
      <c r="B41" s="166" t="s">
        <v>393</v>
      </c>
      <c r="C41" s="148">
        <v>75</v>
      </c>
      <c r="D41" s="172">
        <v>0.2</v>
      </c>
      <c r="E41" s="150">
        <v>3.2</v>
      </c>
      <c r="F41" s="150">
        <v>1.2</v>
      </c>
      <c r="G41" s="151">
        <f t="shared" si="0"/>
        <v>1.2</v>
      </c>
      <c r="H41" s="152" t="s">
        <v>394</v>
      </c>
      <c r="I41" s="145" t="s">
        <v>392</v>
      </c>
      <c r="J41" s="145">
        <v>5</v>
      </c>
      <c r="K41" s="173">
        <v>200</v>
      </c>
      <c r="L41" s="173">
        <v>200</v>
      </c>
      <c r="M41" s="153">
        <v>1744</v>
      </c>
      <c r="N41" s="154">
        <f t="shared" si="1"/>
        <v>1.97</v>
      </c>
      <c r="O41" s="154">
        <f t="shared" si="2"/>
        <v>0</v>
      </c>
      <c r="P41" s="154">
        <f t="shared" si="3"/>
        <v>0.91</v>
      </c>
      <c r="Q41" s="154">
        <f t="shared" si="4"/>
        <v>15.38</v>
      </c>
      <c r="R41" s="154">
        <f t="shared" si="5"/>
        <v>15.38</v>
      </c>
      <c r="S41" s="154">
        <f t="shared" si="6"/>
        <v>83.33</v>
      </c>
      <c r="T41" s="154">
        <f t="shared" si="7"/>
        <v>57.14</v>
      </c>
      <c r="U41" s="154">
        <f t="shared" si="8"/>
        <v>100</v>
      </c>
      <c r="V41" s="155" cm="1">
        <f t="array" ref="V41">IFERROR(SUMPRODUCT($N41:$U41, TRANSPOSE($L$81:$L$88)), "NN")</f>
        <v>17.905750000000001</v>
      </c>
      <c r="W41" s="156">
        <f>IFERROR(C41/'S10 Mat. Cost per Strength'!$B$1, "NN")</f>
        <v>30</v>
      </c>
      <c r="X41" s="157">
        <f t="shared" si="9"/>
        <v>1.2</v>
      </c>
      <c r="Y41" s="3">
        <f t="shared" si="12"/>
        <v>17.440000000000001</v>
      </c>
      <c r="Z41" s="8">
        <f t="shared" si="10"/>
        <v>0.69799999999999995</v>
      </c>
      <c r="AA41" s="145">
        <f t="shared" si="13"/>
        <v>69.8</v>
      </c>
      <c r="AB41" s="158">
        <f t="shared" si="14"/>
        <v>26</v>
      </c>
      <c r="AC41" s="159">
        <f t="shared" si="15"/>
        <v>14</v>
      </c>
      <c r="AD41" s="168">
        <f t="shared" si="11"/>
        <v>0.105</v>
      </c>
      <c r="AE41" s="145">
        <f t="shared" si="16"/>
        <v>10.5</v>
      </c>
      <c r="AF41" s="169">
        <f t="shared" si="17"/>
        <v>171</v>
      </c>
      <c r="AG41" s="163">
        <f t="shared" si="18"/>
        <v>5</v>
      </c>
      <c r="AH41" s="164">
        <f t="shared" si="19"/>
        <v>5.41</v>
      </c>
      <c r="AI41" s="165">
        <f t="shared" si="20"/>
        <v>5</v>
      </c>
    </row>
    <row r="42" spans="1:35">
      <c r="A42" s="229"/>
      <c r="B42" s="166" t="s">
        <v>395</v>
      </c>
      <c r="C42" s="148">
        <v>43</v>
      </c>
      <c r="D42" s="174">
        <v>207.5</v>
      </c>
      <c r="E42" s="150">
        <v>3.2</v>
      </c>
      <c r="F42" s="150">
        <v>1.21</v>
      </c>
      <c r="G42" s="151">
        <f t="shared" si="0"/>
        <v>1.21</v>
      </c>
      <c r="H42" s="145">
        <v>100</v>
      </c>
      <c r="I42" s="145" t="s">
        <v>392</v>
      </c>
      <c r="J42" s="145">
        <v>5</v>
      </c>
      <c r="K42" s="145">
        <v>37.5</v>
      </c>
      <c r="L42" s="145">
        <v>10</v>
      </c>
      <c r="M42" s="175">
        <v>786</v>
      </c>
      <c r="N42" s="154">
        <f t="shared" si="1"/>
        <v>1.1299999999999999</v>
      </c>
      <c r="O42" s="154">
        <f t="shared" si="2"/>
        <v>3.61</v>
      </c>
      <c r="P42" s="154">
        <f t="shared" si="3"/>
        <v>0.91</v>
      </c>
      <c r="Q42" s="154">
        <f t="shared" si="4"/>
        <v>15.51</v>
      </c>
      <c r="R42" s="154">
        <f t="shared" si="5"/>
        <v>15.51</v>
      </c>
      <c r="S42" s="154">
        <f t="shared" si="6"/>
        <v>83.33</v>
      </c>
      <c r="T42" s="154">
        <f t="shared" si="7"/>
        <v>10.71</v>
      </c>
      <c r="U42" s="154">
        <f t="shared" si="8"/>
        <v>5</v>
      </c>
      <c r="V42" s="155" cm="1">
        <f t="array" ref="V42">IFERROR(SUMPRODUCT($N42:$U42, TRANSPOSE($L$81:$L$88)), "NN")</f>
        <v>16.574625000000001</v>
      </c>
      <c r="W42" s="156">
        <f>IFERROR(C42/'S10 Mat. Cost per Strength'!$B$1, "NN")</f>
        <v>17.2</v>
      </c>
      <c r="X42" s="157">
        <f t="shared" si="9"/>
        <v>1.21</v>
      </c>
      <c r="Y42" s="3">
        <f t="shared" si="12"/>
        <v>7.86</v>
      </c>
      <c r="Z42" s="8">
        <f t="shared" si="10"/>
        <v>0.55300000000000005</v>
      </c>
      <c r="AA42" s="145">
        <f t="shared" si="13"/>
        <v>55.300000000000004</v>
      </c>
      <c r="AB42" s="158">
        <f t="shared" si="14"/>
        <v>30</v>
      </c>
      <c r="AC42" s="159">
        <f t="shared" si="15"/>
        <v>12</v>
      </c>
      <c r="AD42" s="168">
        <f t="shared" si="11"/>
        <v>0.254</v>
      </c>
      <c r="AE42" s="145">
        <f t="shared" si="16"/>
        <v>25.4</v>
      </c>
      <c r="AF42" s="169">
        <f t="shared" si="17"/>
        <v>65</v>
      </c>
      <c r="AG42" s="163">
        <f t="shared" si="18"/>
        <v>13</v>
      </c>
      <c r="AH42" s="164">
        <f t="shared" si="19"/>
        <v>13.42</v>
      </c>
      <c r="AI42" s="165">
        <f t="shared" si="20"/>
        <v>13</v>
      </c>
    </row>
    <row r="43" spans="1:35">
      <c r="A43" s="229"/>
      <c r="B43" s="166" t="s">
        <v>396</v>
      </c>
      <c r="C43" s="148">
        <v>75</v>
      </c>
      <c r="D43" s="176">
        <v>1.07</v>
      </c>
      <c r="E43" s="150">
        <v>4</v>
      </c>
      <c r="F43" s="150">
        <v>1.1000000000000001</v>
      </c>
      <c r="G43" s="151">
        <f t="shared" si="0"/>
        <v>1.1000000000000001</v>
      </c>
      <c r="H43" s="145">
        <v>69</v>
      </c>
      <c r="I43" s="145" t="s">
        <v>397</v>
      </c>
      <c r="J43" s="145">
        <v>4</v>
      </c>
      <c r="K43" s="145">
        <v>5</v>
      </c>
      <c r="L43" s="152">
        <v>3.5</v>
      </c>
      <c r="M43" s="153">
        <v>3911</v>
      </c>
      <c r="N43" s="154">
        <f t="shared" si="1"/>
        <v>1.97</v>
      </c>
      <c r="O43" s="154">
        <f t="shared" si="2"/>
        <v>0.02</v>
      </c>
      <c r="P43" s="154">
        <f t="shared" si="3"/>
        <v>1.1399999999999999</v>
      </c>
      <c r="Q43" s="154">
        <f t="shared" si="4"/>
        <v>14.1</v>
      </c>
      <c r="R43" s="154">
        <f t="shared" si="5"/>
        <v>14.1</v>
      </c>
      <c r="S43" s="154">
        <f t="shared" si="6"/>
        <v>66.67</v>
      </c>
      <c r="T43" s="154">
        <f t="shared" si="7"/>
        <v>1.43</v>
      </c>
      <c r="U43" s="154">
        <f t="shared" si="8"/>
        <v>1.75</v>
      </c>
      <c r="V43" s="155" cm="1">
        <f t="array" ref="V43">IFERROR(SUMPRODUCT($N43:$U43, TRANSPOSE($L$81:$L$88)), "NN")</f>
        <v>13.531750000000001</v>
      </c>
      <c r="W43" s="156">
        <f>IFERROR(C43/'S10 Mat. Cost per Strength'!$B$1, "NN")</f>
        <v>30</v>
      </c>
      <c r="X43" s="157">
        <f t="shared" si="9"/>
        <v>1.1000000000000001</v>
      </c>
      <c r="Y43" s="3">
        <f t="shared" si="12"/>
        <v>39.11</v>
      </c>
      <c r="Z43" s="8">
        <f t="shared" si="10"/>
        <v>1.4339999999999999</v>
      </c>
      <c r="AA43" s="145">
        <f t="shared" si="13"/>
        <v>143.4</v>
      </c>
      <c r="AB43" s="158">
        <f t="shared" si="14"/>
        <v>10</v>
      </c>
      <c r="AC43" s="159">
        <f t="shared" si="15"/>
        <v>26</v>
      </c>
      <c r="AD43" s="168">
        <f t="shared" si="11"/>
        <v>8.6039999999999992</v>
      </c>
      <c r="AE43" s="145">
        <f t="shared" si="16"/>
        <v>860.39999999999986</v>
      </c>
      <c r="AF43" s="169">
        <f t="shared" si="17"/>
        <v>2</v>
      </c>
      <c r="AG43" s="163">
        <f t="shared" si="18"/>
        <v>31</v>
      </c>
      <c r="AH43" s="164">
        <f t="shared" si="19"/>
        <v>31.43</v>
      </c>
      <c r="AI43" s="165">
        <f t="shared" si="20"/>
        <v>32</v>
      </c>
    </row>
    <row r="44" spans="1:35">
      <c r="A44" s="229"/>
      <c r="B44" s="166" t="s">
        <v>398</v>
      </c>
      <c r="C44" s="177">
        <v>8.19</v>
      </c>
      <c r="D44" s="178">
        <v>4.55</v>
      </c>
      <c r="E44" s="150">
        <v>0.95499999999999996</v>
      </c>
      <c r="F44" s="150">
        <v>0.88</v>
      </c>
      <c r="G44" s="151">
        <f t="shared" si="0"/>
        <v>0.88</v>
      </c>
      <c r="H44" s="145">
        <v>87.5</v>
      </c>
      <c r="I44" s="145" t="s">
        <v>392</v>
      </c>
      <c r="J44" s="145">
        <v>5</v>
      </c>
      <c r="K44" s="145">
        <v>26.8</v>
      </c>
      <c r="L44" s="171">
        <v>23.8</v>
      </c>
      <c r="M44" s="153">
        <v>7172</v>
      </c>
      <c r="N44" s="154">
        <f t="shared" si="1"/>
        <v>0.22</v>
      </c>
      <c r="O44" s="154">
        <f t="shared" si="2"/>
        <v>0.08</v>
      </c>
      <c r="P44" s="154">
        <f t="shared" si="3"/>
        <v>0.27</v>
      </c>
      <c r="Q44" s="154">
        <f t="shared" si="4"/>
        <v>11.28</v>
      </c>
      <c r="R44" s="154">
        <f t="shared" si="5"/>
        <v>11.28</v>
      </c>
      <c r="S44" s="154">
        <f t="shared" si="6"/>
        <v>83.33</v>
      </c>
      <c r="T44" s="154">
        <f t="shared" si="7"/>
        <v>7.66</v>
      </c>
      <c r="U44" s="154">
        <f t="shared" si="8"/>
        <v>11.9</v>
      </c>
      <c r="V44" s="155" cm="1">
        <f t="array" ref="V44">IFERROR(SUMPRODUCT($N44:$U44, TRANSPOSE($L$81:$L$88)), "NN")</f>
        <v>14.43125</v>
      </c>
      <c r="W44" s="156">
        <f>IFERROR(C44/'S10 Mat. Cost per Strength'!$B$1, "NN")</f>
        <v>3.2759999999999998</v>
      </c>
      <c r="X44" s="157">
        <f t="shared" si="9"/>
        <v>0.88</v>
      </c>
      <c r="Y44" s="3">
        <f t="shared" si="12"/>
        <v>71.72</v>
      </c>
      <c r="Z44" s="8">
        <f t="shared" si="10"/>
        <v>19.265000000000001</v>
      </c>
      <c r="AA44" s="145">
        <f t="shared" si="13"/>
        <v>1926.5</v>
      </c>
      <c r="AB44" s="158">
        <f t="shared" si="14"/>
        <v>1</v>
      </c>
      <c r="AC44" s="159">
        <f t="shared" si="15"/>
        <v>39</v>
      </c>
      <c r="AD44" s="168">
        <f t="shared" si="11"/>
        <v>2.355</v>
      </c>
      <c r="AE44" s="145">
        <f t="shared" si="16"/>
        <v>235.5</v>
      </c>
      <c r="AF44" s="169">
        <f t="shared" si="17"/>
        <v>6</v>
      </c>
      <c r="AG44" s="163">
        <f t="shared" si="18"/>
        <v>25</v>
      </c>
      <c r="AH44" s="164">
        <f t="shared" si="19"/>
        <v>25.44</v>
      </c>
      <c r="AI44" s="165">
        <f t="shared" si="20"/>
        <v>26</v>
      </c>
    </row>
    <row r="45" spans="1:35">
      <c r="A45" s="229"/>
      <c r="B45" s="147" t="s">
        <v>399</v>
      </c>
      <c r="C45" s="148">
        <v>41</v>
      </c>
      <c r="D45" s="179">
        <v>207.5</v>
      </c>
      <c r="E45" s="150">
        <v>0.44</v>
      </c>
      <c r="F45" s="150">
        <v>1.1200000000000001</v>
      </c>
      <c r="G45" s="151">
        <f t="shared" si="0"/>
        <v>1.1200000000000001</v>
      </c>
      <c r="H45" s="145">
        <v>69</v>
      </c>
      <c r="I45" s="145" t="s">
        <v>392</v>
      </c>
      <c r="J45" s="145">
        <v>5</v>
      </c>
      <c r="K45" s="145">
        <v>43.45</v>
      </c>
      <c r="L45" s="145">
        <v>3.45</v>
      </c>
      <c r="M45" s="153">
        <v>1938</v>
      </c>
      <c r="N45" s="154">
        <f t="shared" si="1"/>
        <v>1.08</v>
      </c>
      <c r="O45" s="154">
        <f t="shared" si="2"/>
        <v>3.61</v>
      </c>
      <c r="P45" s="154">
        <f t="shared" si="3"/>
        <v>0.13</v>
      </c>
      <c r="Q45" s="154">
        <f t="shared" si="4"/>
        <v>14.36</v>
      </c>
      <c r="R45" s="154">
        <f t="shared" si="5"/>
        <v>14.36</v>
      </c>
      <c r="S45" s="154">
        <f t="shared" si="6"/>
        <v>83.33</v>
      </c>
      <c r="T45" s="154">
        <f t="shared" si="7"/>
        <v>12.41</v>
      </c>
      <c r="U45" s="154">
        <f t="shared" si="8"/>
        <v>1.73</v>
      </c>
      <c r="V45" s="155" cm="1">
        <f t="array" ref="V45">IFERROR(SUMPRODUCT($N45:$U45, TRANSPOSE($L$81:$L$88)), "NN")</f>
        <v>16.016499999999997</v>
      </c>
      <c r="W45" s="156">
        <f>IFERROR(C45/'S10 Mat. Cost per Strength'!$B$1, "NN")</f>
        <v>16.399999999999999</v>
      </c>
      <c r="X45" s="157">
        <f t="shared" si="9"/>
        <v>1.1200000000000001</v>
      </c>
      <c r="Y45" s="3">
        <f t="shared" si="12"/>
        <v>19.38</v>
      </c>
      <c r="Z45" s="8">
        <f t="shared" si="10"/>
        <v>1.3240000000000001</v>
      </c>
      <c r="AA45" s="145">
        <f t="shared" si="13"/>
        <v>132.4</v>
      </c>
      <c r="AB45" s="158">
        <f t="shared" si="14"/>
        <v>13</v>
      </c>
      <c r="AC45" s="159">
        <f t="shared" si="15"/>
        <v>23</v>
      </c>
      <c r="AD45" s="168">
        <f t="shared" si="11"/>
        <v>0.5</v>
      </c>
      <c r="AE45" s="145">
        <f t="shared" si="16"/>
        <v>50</v>
      </c>
      <c r="AF45" s="169">
        <f t="shared" si="17"/>
        <v>32</v>
      </c>
      <c r="AG45" s="163">
        <f t="shared" si="18"/>
        <v>16</v>
      </c>
      <c r="AH45" s="164">
        <f t="shared" si="19"/>
        <v>16.45</v>
      </c>
      <c r="AI45" s="165">
        <f t="shared" si="20"/>
        <v>16</v>
      </c>
    </row>
    <row r="46" spans="1:35">
      <c r="A46" s="229"/>
      <c r="B46" s="166" t="s">
        <v>400</v>
      </c>
      <c r="C46" s="148">
        <v>34</v>
      </c>
      <c r="D46" s="180">
        <v>129</v>
      </c>
      <c r="E46" s="150">
        <v>5.5</v>
      </c>
      <c r="F46" s="150">
        <v>1.01</v>
      </c>
      <c r="G46" s="151">
        <f t="shared" si="0"/>
        <v>1.01</v>
      </c>
      <c r="H46" s="145">
        <v>108</v>
      </c>
      <c r="I46" s="145" t="s">
        <v>392</v>
      </c>
      <c r="J46" s="145">
        <v>5</v>
      </c>
      <c r="K46" s="152">
        <v>10</v>
      </c>
      <c r="L46" s="145">
        <v>7</v>
      </c>
      <c r="M46" s="153">
        <v>3000</v>
      </c>
      <c r="N46" s="154">
        <f t="shared" si="1"/>
        <v>0.89</v>
      </c>
      <c r="O46" s="154">
        <f t="shared" si="2"/>
        <v>2.2400000000000002</v>
      </c>
      <c r="P46" s="154">
        <f t="shared" si="3"/>
        <v>1.57</v>
      </c>
      <c r="Q46" s="154">
        <f t="shared" si="4"/>
        <v>12.95</v>
      </c>
      <c r="R46" s="154">
        <f t="shared" si="5"/>
        <v>12.95</v>
      </c>
      <c r="S46" s="154">
        <f t="shared" si="6"/>
        <v>83.33</v>
      </c>
      <c r="T46" s="154">
        <f t="shared" si="7"/>
        <v>2.86</v>
      </c>
      <c r="U46" s="154">
        <f t="shared" si="8"/>
        <v>3.5</v>
      </c>
      <c r="V46" s="155" cm="1">
        <f t="array" ref="V46">IFERROR(SUMPRODUCT($N46:$U46, TRANSPOSE($L$81:$L$88)), "NN")</f>
        <v>15.510249999999999</v>
      </c>
      <c r="W46" s="156">
        <f>IFERROR(C46/'S10 Mat. Cost per Strength'!$B$1, "NN")</f>
        <v>13.6</v>
      </c>
      <c r="X46" s="157">
        <f t="shared" si="9"/>
        <v>1.01</v>
      </c>
      <c r="Y46" s="3">
        <f t="shared" si="12"/>
        <v>30</v>
      </c>
      <c r="Z46" s="8">
        <f t="shared" si="10"/>
        <v>2.2280000000000002</v>
      </c>
      <c r="AA46" s="145">
        <f t="shared" si="13"/>
        <v>222.8</v>
      </c>
      <c r="AB46" s="158">
        <f t="shared" si="14"/>
        <v>7</v>
      </c>
      <c r="AC46" s="159">
        <f t="shared" si="15"/>
        <v>33</v>
      </c>
      <c r="AD46" s="168">
        <f t="shared" si="11"/>
        <v>3.03</v>
      </c>
      <c r="AE46" s="145">
        <f t="shared" si="16"/>
        <v>303</v>
      </c>
      <c r="AF46" s="169">
        <f t="shared" si="17"/>
        <v>5</v>
      </c>
      <c r="AG46" s="163">
        <f t="shared" si="18"/>
        <v>26</v>
      </c>
      <c r="AH46" s="164">
        <f t="shared" si="19"/>
        <v>26.46</v>
      </c>
      <c r="AI46" s="165">
        <f t="shared" si="20"/>
        <v>28</v>
      </c>
    </row>
    <row r="47" spans="1:35">
      <c r="A47" s="229"/>
      <c r="B47" s="166" t="s">
        <v>401</v>
      </c>
      <c r="C47" s="148">
        <v>32.5</v>
      </c>
      <c r="D47" s="149">
        <v>4.5</v>
      </c>
      <c r="E47" s="150">
        <v>4.1500000000000004</v>
      </c>
      <c r="F47" s="150">
        <f>(1.05+1.15)/2</f>
        <v>1.1000000000000001</v>
      </c>
      <c r="G47" s="151">
        <f t="shared" si="0"/>
        <v>1.1000000000000001</v>
      </c>
      <c r="H47" s="181">
        <v>75</v>
      </c>
      <c r="I47" s="145" t="s">
        <v>392</v>
      </c>
      <c r="J47" s="145">
        <v>5</v>
      </c>
      <c r="K47" s="145">
        <v>10</v>
      </c>
      <c r="L47" s="145">
        <v>2</v>
      </c>
      <c r="M47" s="182">
        <v>1238</v>
      </c>
      <c r="N47" s="154">
        <f t="shared" si="1"/>
        <v>0.86</v>
      </c>
      <c r="O47" s="154">
        <f t="shared" si="2"/>
        <v>0.08</v>
      </c>
      <c r="P47" s="154">
        <f t="shared" si="3"/>
        <v>1.19</v>
      </c>
      <c r="Q47" s="154">
        <f t="shared" si="4"/>
        <v>14.1</v>
      </c>
      <c r="R47" s="154">
        <f t="shared" si="5"/>
        <v>14.1</v>
      </c>
      <c r="S47" s="154">
        <f t="shared" si="6"/>
        <v>83.33</v>
      </c>
      <c r="T47" s="154">
        <f t="shared" si="7"/>
        <v>2.86</v>
      </c>
      <c r="U47" s="154">
        <f t="shared" si="8"/>
        <v>1</v>
      </c>
      <c r="V47" s="155" cm="1">
        <f t="array" ref="V47">IFERROR(SUMPRODUCT($N47:$U47, TRANSPOSE($L$81:$L$88)), "NN")</f>
        <v>15.447499999999998</v>
      </c>
      <c r="W47" s="156">
        <f>IFERROR(C47/'S10 Mat. Cost per Strength'!$B$1, "NN")</f>
        <v>13</v>
      </c>
      <c r="X47" s="157">
        <f t="shared" si="9"/>
        <v>1.1000000000000001</v>
      </c>
      <c r="Y47" s="3">
        <f t="shared" si="12"/>
        <v>12.38</v>
      </c>
      <c r="Z47" s="8">
        <f t="shared" si="10"/>
        <v>1.048</v>
      </c>
      <c r="AA47" s="145">
        <f t="shared" si="13"/>
        <v>104.80000000000001</v>
      </c>
      <c r="AB47" s="158">
        <f t="shared" si="14"/>
        <v>15</v>
      </c>
      <c r="AC47" s="159">
        <f t="shared" si="15"/>
        <v>20</v>
      </c>
      <c r="AD47" s="168">
        <f t="shared" si="11"/>
        <v>1.3620000000000001</v>
      </c>
      <c r="AE47" s="145">
        <f t="shared" si="16"/>
        <v>136.20000000000002</v>
      </c>
      <c r="AF47" s="169">
        <f t="shared" si="17"/>
        <v>11</v>
      </c>
      <c r="AG47" s="163">
        <f t="shared" si="18"/>
        <v>20</v>
      </c>
      <c r="AH47" s="164">
        <f t="shared" si="19"/>
        <v>20.47</v>
      </c>
      <c r="AI47" s="165">
        <f t="shared" si="20"/>
        <v>21</v>
      </c>
    </row>
    <row r="48" spans="1:35">
      <c r="A48" s="229"/>
      <c r="B48" s="166" t="s">
        <v>402</v>
      </c>
      <c r="C48" s="183">
        <v>1.24</v>
      </c>
      <c r="D48" s="180">
        <v>5755</v>
      </c>
      <c r="E48" s="184">
        <v>72</v>
      </c>
      <c r="F48" s="184">
        <v>0.26</v>
      </c>
      <c r="G48" s="151">
        <f t="shared" si="0"/>
        <v>0.26</v>
      </c>
      <c r="H48" s="145">
        <v>60</v>
      </c>
      <c r="I48" s="145" t="s">
        <v>384</v>
      </c>
      <c r="J48" s="145">
        <v>6</v>
      </c>
      <c r="K48" s="145">
        <v>5.5</v>
      </c>
      <c r="L48" s="152">
        <v>3</v>
      </c>
      <c r="M48" s="182">
        <v>2500</v>
      </c>
      <c r="N48" s="154">
        <f t="shared" si="1"/>
        <v>0.03</v>
      </c>
      <c r="O48" s="154">
        <f t="shared" si="2"/>
        <v>100</v>
      </c>
      <c r="P48" s="154">
        <f t="shared" si="3"/>
        <v>20.57</v>
      </c>
      <c r="Q48" s="154">
        <f t="shared" si="4"/>
        <v>3.33</v>
      </c>
      <c r="R48" s="154">
        <f t="shared" si="5"/>
        <v>3.33</v>
      </c>
      <c r="S48" s="154">
        <f t="shared" si="6"/>
        <v>100</v>
      </c>
      <c r="T48" s="154">
        <f t="shared" si="7"/>
        <v>1.57</v>
      </c>
      <c r="U48" s="154">
        <f t="shared" si="8"/>
        <v>1.5</v>
      </c>
      <c r="V48" s="155" cm="1">
        <f t="array" ref="V48">IFERROR(SUMPRODUCT($N48:$U48, TRANSPOSE($L$81:$L$88)), "NN")</f>
        <v>32.739874999999991</v>
      </c>
      <c r="W48" s="156">
        <f>IFERROR(C48/'S10 Mat. Cost per Strength'!$B$1, "NN")</f>
        <v>0.496</v>
      </c>
      <c r="X48" s="157">
        <f t="shared" si="9"/>
        <v>0.26</v>
      </c>
      <c r="Y48" s="3">
        <f t="shared" si="12"/>
        <v>25</v>
      </c>
      <c r="Z48" s="8">
        <f t="shared" si="10"/>
        <v>13.105</v>
      </c>
      <c r="AA48" s="145">
        <f t="shared" si="13"/>
        <v>1310.5</v>
      </c>
      <c r="AB48" s="158">
        <f t="shared" si="14"/>
        <v>3</v>
      </c>
      <c r="AC48" s="159">
        <f t="shared" si="15"/>
        <v>36</v>
      </c>
      <c r="AD48" s="168">
        <f t="shared" si="11"/>
        <v>1.1819999999999999</v>
      </c>
      <c r="AE48" s="145">
        <f t="shared" si="16"/>
        <v>118.19999999999999</v>
      </c>
      <c r="AF48" s="169">
        <f t="shared" si="17"/>
        <v>28</v>
      </c>
      <c r="AG48" s="163">
        <f t="shared" si="18"/>
        <v>17</v>
      </c>
      <c r="AH48" s="164">
        <f t="shared" si="19"/>
        <v>17.48</v>
      </c>
      <c r="AI48" s="165">
        <f t="shared" si="20"/>
        <v>17</v>
      </c>
    </row>
    <row r="49" spans="1:35">
      <c r="A49" s="537" t="s">
        <v>403</v>
      </c>
      <c r="B49" s="185" t="s">
        <v>404</v>
      </c>
      <c r="C49" s="183">
        <v>190</v>
      </c>
      <c r="D49" s="145">
        <v>5755</v>
      </c>
      <c r="E49" s="184">
        <v>69</v>
      </c>
      <c r="F49" s="184">
        <v>2.7</v>
      </c>
      <c r="G49" s="151">
        <f t="shared" si="0"/>
        <v>2.7</v>
      </c>
      <c r="H49" s="181">
        <v>60</v>
      </c>
      <c r="I49" s="145" t="s">
        <v>384</v>
      </c>
      <c r="J49" s="145">
        <v>6</v>
      </c>
      <c r="K49" s="181">
        <v>12.5</v>
      </c>
      <c r="L49" s="181">
        <v>10</v>
      </c>
      <c r="M49" s="170">
        <v>2500</v>
      </c>
      <c r="N49" s="154">
        <f t="shared" si="1"/>
        <v>5</v>
      </c>
      <c r="O49" s="154">
        <f t="shared" si="2"/>
        <v>100</v>
      </c>
      <c r="P49" s="154">
        <f t="shared" si="3"/>
        <v>19.71</v>
      </c>
      <c r="Q49" s="154">
        <f t="shared" si="4"/>
        <v>34.619999999999997</v>
      </c>
      <c r="R49" s="154">
        <f t="shared" si="5"/>
        <v>34.619999999999997</v>
      </c>
      <c r="S49" s="154">
        <f t="shared" si="6"/>
        <v>100</v>
      </c>
      <c r="T49" s="154">
        <f t="shared" si="7"/>
        <v>3.57</v>
      </c>
      <c r="U49" s="154">
        <f t="shared" si="8"/>
        <v>5</v>
      </c>
      <c r="V49" s="155" cm="1">
        <f t="array" ref="V49">IFERROR(SUMPRODUCT($N49:$U49, TRANSPOSE($L$81:$L$88)), "NN")</f>
        <v>43.675625000000004</v>
      </c>
      <c r="W49" s="156">
        <f>IFERROR(C49/'S10 Mat. Cost per Strength'!$B$1, "NN")</f>
        <v>76</v>
      </c>
      <c r="X49" s="157">
        <f t="shared" si="9"/>
        <v>2.7</v>
      </c>
      <c r="Y49" s="3">
        <f t="shared" si="12"/>
        <v>25</v>
      </c>
      <c r="Z49" s="8">
        <f t="shared" si="10"/>
        <v>0.88800000000000001</v>
      </c>
      <c r="AA49" s="145">
        <f t="shared" si="13"/>
        <v>88.8</v>
      </c>
      <c r="AB49" s="158">
        <f t="shared" si="14"/>
        <v>50</v>
      </c>
      <c r="AC49" s="159">
        <f t="shared" si="15"/>
        <v>11</v>
      </c>
      <c r="AD49" s="168">
        <f t="shared" si="11"/>
        <v>5.4</v>
      </c>
      <c r="AE49" s="145">
        <f t="shared" si="16"/>
        <v>540</v>
      </c>
      <c r="AF49" s="169">
        <f t="shared" si="17"/>
        <v>8</v>
      </c>
      <c r="AG49" s="163">
        <f t="shared" si="18"/>
        <v>21</v>
      </c>
      <c r="AH49" s="164">
        <f t="shared" si="19"/>
        <v>21.49</v>
      </c>
      <c r="AI49" s="165">
        <f t="shared" si="20"/>
        <v>22</v>
      </c>
    </row>
    <row r="50" spans="1:35">
      <c r="A50" s="538"/>
      <c r="B50" s="185" t="s">
        <v>405</v>
      </c>
      <c r="C50" s="183">
        <v>447.5</v>
      </c>
      <c r="D50" s="145">
        <v>3000</v>
      </c>
      <c r="E50" s="184">
        <v>72</v>
      </c>
      <c r="F50" s="184">
        <v>2.67</v>
      </c>
      <c r="G50" s="151">
        <f t="shared" si="0"/>
        <v>2.67</v>
      </c>
      <c r="H50" s="181">
        <v>60</v>
      </c>
      <c r="I50" s="145" t="s">
        <v>384</v>
      </c>
      <c r="J50" s="145">
        <v>6</v>
      </c>
      <c r="K50" s="181">
        <v>12.5</v>
      </c>
      <c r="L50" s="181">
        <v>10</v>
      </c>
      <c r="M50" s="170">
        <v>2500</v>
      </c>
      <c r="N50" s="154">
        <f t="shared" si="1"/>
        <v>11.78</v>
      </c>
      <c r="O50" s="154">
        <f t="shared" si="2"/>
        <v>52.13</v>
      </c>
      <c r="P50" s="154">
        <f t="shared" si="3"/>
        <v>20.57</v>
      </c>
      <c r="Q50" s="154">
        <f t="shared" si="4"/>
        <v>34.229999999999997</v>
      </c>
      <c r="R50" s="154">
        <f t="shared" si="5"/>
        <v>34.229999999999997</v>
      </c>
      <c r="S50" s="154">
        <f t="shared" si="6"/>
        <v>100</v>
      </c>
      <c r="T50" s="154">
        <f t="shared" si="7"/>
        <v>3.57</v>
      </c>
      <c r="U50" s="154">
        <f t="shared" si="8"/>
        <v>5</v>
      </c>
      <c r="V50" s="155" cm="1">
        <f t="array" ref="V50">IFERROR(SUMPRODUCT($N50:$U50, TRANSPOSE($L$81:$L$88)), "NN")</f>
        <v>37.726875</v>
      </c>
      <c r="W50" s="156">
        <f>IFERROR(C50/'S10 Mat. Cost per Strength'!$B$1, "NN")</f>
        <v>179</v>
      </c>
      <c r="X50" s="157">
        <f t="shared" si="9"/>
        <v>2.67</v>
      </c>
      <c r="Y50" s="3">
        <f t="shared" si="12"/>
        <v>25</v>
      </c>
      <c r="Z50" s="8">
        <f t="shared" si="10"/>
        <v>0.373</v>
      </c>
      <c r="AA50" s="145">
        <f t="shared" si="13"/>
        <v>37.299999999999997</v>
      </c>
      <c r="AB50" s="158">
        <f t="shared" si="14"/>
        <v>102</v>
      </c>
      <c r="AC50" s="159">
        <f t="shared" si="15"/>
        <v>9</v>
      </c>
      <c r="AD50" s="168">
        <f t="shared" si="11"/>
        <v>5.34</v>
      </c>
      <c r="AE50" s="145">
        <f t="shared" si="16"/>
        <v>534</v>
      </c>
      <c r="AF50" s="169">
        <f t="shared" si="17"/>
        <v>7</v>
      </c>
      <c r="AG50" s="163">
        <f t="shared" si="18"/>
        <v>22</v>
      </c>
      <c r="AH50" s="164">
        <f t="shared" si="19"/>
        <v>22.5</v>
      </c>
      <c r="AI50" s="165">
        <f t="shared" si="20"/>
        <v>23</v>
      </c>
    </row>
    <row r="51" spans="1:35">
      <c r="A51" s="521" t="s">
        <v>406</v>
      </c>
      <c r="B51" s="185" t="s">
        <v>407</v>
      </c>
      <c r="C51" s="148">
        <v>920</v>
      </c>
      <c r="D51" s="180">
        <v>168</v>
      </c>
      <c r="E51" s="150">
        <v>58</v>
      </c>
      <c r="F51" s="150">
        <v>1.73</v>
      </c>
      <c r="G51" s="151">
        <f t="shared" si="0"/>
        <v>1.73</v>
      </c>
      <c r="H51" s="181">
        <v>87.5</v>
      </c>
      <c r="I51" s="145" t="s">
        <v>392</v>
      </c>
      <c r="J51" s="145">
        <v>5</v>
      </c>
      <c r="K51" s="145">
        <v>6</v>
      </c>
      <c r="L51" s="145">
        <v>3.5</v>
      </c>
      <c r="M51" s="170">
        <v>4200</v>
      </c>
      <c r="N51" s="154">
        <f t="shared" si="1"/>
        <v>24.21</v>
      </c>
      <c r="O51" s="154">
        <f t="shared" si="2"/>
        <v>2.92</v>
      </c>
      <c r="P51" s="154">
        <f t="shared" si="3"/>
        <v>16.57</v>
      </c>
      <c r="Q51" s="154">
        <f t="shared" si="4"/>
        <v>22.18</v>
      </c>
      <c r="R51" s="154">
        <f t="shared" si="5"/>
        <v>22.18</v>
      </c>
      <c r="S51" s="154">
        <f t="shared" si="6"/>
        <v>83.33</v>
      </c>
      <c r="T51" s="154">
        <f t="shared" si="7"/>
        <v>1.71</v>
      </c>
      <c r="U51" s="154">
        <f t="shared" si="8"/>
        <v>1.75</v>
      </c>
      <c r="V51" s="155" cm="1">
        <f t="array" ref="V51">IFERROR(SUMPRODUCT($N51:$U51, TRANSPOSE($L$81:$L$88)), "NN")</f>
        <v>25.656749999999999</v>
      </c>
      <c r="W51" s="156">
        <f>IFERROR(C51/'S10 Mat. Cost per Strength'!$B$1, "NN")</f>
        <v>368</v>
      </c>
      <c r="X51" s="157">
        <f t="shared" si="9"/>
        <v>1.73</v>
      </c>
      <c r="Y51" s="3">
        <f t="shared" si="12"/>
        <v>42</v>
      </c>
      <c r="Z51" s="8">
        <f t="shared" si="10"/>
        <v>0.19700000000000001</v>
      </c>
      <c r="AA51" s="145">
        <f t="shared" si="13"/>
        <v>19.7</v>
      </c>
      <c r="AB51" s="158">
        <f t="shared" si="14"/>
        <v>131</v>
      </c>
      <c r="AC51" s="159">
        <f t="shared" si="15"/>
        <v>7</v>
      </c>
      <c r="AD51" s="168">
        <f t="shared" si="11"/>
        <v>12.11</v>
      </c>
      <c r="AE51" s="145">
        <f t="shared" si="16"/>
        <v>1211</v>
      </c>
      <c r="AF51" s="169">
        <f t="shared" si="17"/>
        <v>2</v>
      </c>
      <c r="AG51" s="163">
        <f t="shared" si="18"/>
        <v>31</v>
      </c>
      <c r="AH51" s="164">
        <f t="shared" si="19"/>
        <v>31.51</v>
      </c>
      <c r="AI51" s="165">
        <f t="shared" si="20"/>
        <v>33</v>
      </c>
    </row>
    <row r="52" spans="1:35">
      <c r="A52" s="521"/>
      <c r="B52" s="185" t="s">
        <v>408</v>
      </c>
      <c r="C52" s="148">
        <v>966</v>
      </c>
      <c r="D52" s="180">
        <v>9.33</v>
      </c>
      <c r="E52" s="150">
        <v>72</v>
      </c>
      <c r="F52" s="150">
        <v>1.84</v>
      </c>
      <c r="G52" s="151">
        <f t="shared" si="0"/>
        <v>1.84</v>
      </c>
      <c r="H52" s="181">
        <v>87.5</v>
      </c>
      <c r="I52" s="145" t="s">
        <v>392</v>
      </c>
      <c r="J52" s="145">
        <v>5</v>
      </c>
      <c r="K52" s="145">
        <v>6</v>
      </c>
      <c r="L52" s="145">
        <v>3.5</v>
      </c>
      <c r="M52" s="170">
        <v>4200</v>
      </c>
      <c r="N52" s="154">
        <f t="shared" si="1"/>
        <v>25.42</v>
      </c>
      <c r="O52" s="154">
        <f t="shared" si="2"/>
        <v>0.16</v>
      </c>
      <c r="P52" s="154">
        <f t="shared" si="3"/>
        <v>20.57</v>
      </c>
      <c r="Q52" s="154">
        <f t="shared" si="4"/>
        <v>23.59</v>
      </c>
      <c r="R52" s="154">
        <f t="shared" si="5"/>
        <v>23.59</v>
      </c>
      <c r="S52" s="154">
        <f t="shared" si="6"/>
        <v>83.33</v>
      </c>
      <c r="T52" s="154">
        <f t="shared" si="7"/>
        <v>1.71</v>
      </c>
      <c r="U52" s="154">
        <f t="shared" si="8"/>
        <v>1.75</v>
      </c>
      <c r="V52" s="155" cm="1">
        <f t="array" ref="V52">IFERROR(SUMPRODUCT($N52:$U52, TRANSPOSE($L$81:$L$88)), "NN")</f>
        <v>26.71275</v>
      </c>
      <c r="W52" s="156">
        <f>IFERROR(C52/'S10 Mat. Cost per Strength'!$B$1, "NN")</f>
        <v>386.4</v>
      </c>
      <c r="X52" s="157">
        <f t="shared" si="9"/>
        <v>1.84</v>
      </c>
      <c r="Y52" s="3">
        <f t="shared" si="12"/>
        <v>42</v>
      </c>
      <c r="Z52" s="8">
        <f t="shared" si="10"/>
        <v>0.2</v>
      </c>
      <c r="AA52" s="145">
        <f t="shared" si="13"/>
        <v>20</v>
      </c>
      <c r="AB52" s="158">
        <f t="shared" si="14"/>
        <v>134</v>
      </c>
      <c r="AC52" s="159">
        <f t="shared" si="15"/>
        <v>6</v>
      </c>
      <c r="AD52" s="168">
        <f t="shared" si="11"/>
        <v>12.88</v>
      </c>
      <c r="AE52" s="145">
        <f t="shared" si="16"/>
        <v>1288</v>
      </c>
      <c r="AF52" s="169">
        <f t="shared" si="17"/>
        <v>2</v>
      </c>
      <c r="AG52" s="163">
        <f t="shared" si="18"/>
        <v>31</v>
      </c>
      <c r="AH52" s="164">
        <f t="shared" si="19"/>
        <v>31.52</v>
      </c>
      <c r="AI52" s="165">
        <f t="shared" si="20"/>
        <v>34</v>
      </c>
    </row>
    <row r="53" spans="1:35">
      <c r="A53" s="521"/>
      <c r="B53" s="185" t="s">
        <v>409</v>
      </c>
      <c r="C53" s="148">
        <v>1023</v>
      </c>
      <c r="D53" s="180">
        <v>9.33</v>
      </c>
      <c r="E53" s="150">
        <v>48</v>
      </c>
      <c r="F53" s="150">
        <v>1.99</v>
      </c>
      <c r="G53" s="151">
        <f t="shared" si="0"/>
        <v>1.99</v>
      </c>
      <c r="H53" s="145">
        <v>87.5</v>
      </c>
      <c r="I53" s="145" t="s">
        <v>392</v>
      </c>
      <c r="J53" s="145">
        <v>5</v>
      </c>
      <c r="K53" s="145">
        <v>3</v>
      </c>
      <c r="L53" s="145">
        <v>1.5</v>
      </c>
      <c r="M53" s="170">
        <v>4200</v>
      </c>
      <c r="N53" s="154">
        <f t="shared" si="1"/>
        <v>26.92</v>
      </c>
      <c r="O53" s="154">
        <f t="shared" si="2"/>
        <v>0.16</v>
      </c>
      <c r="P53" s="154">
        <f t="shared" si="3"/>
        <v>13.71</v>
      </c>
      <c r="Q53" s="154">
        <f t="shared" si="4"/>
        <v>25.51</v>
      </c>
      <c r="R53" s="154">
        <f t="shared" si="5"/>
        <v>25.51</v>
      </c>
      <c r="S53" s="154">
        <f t="shared" si="6"/>
        <v>83.33</v>
      </c>
      <c r="T53" s="154">
        <f t="shared" si="7"/>
        <v>0.86</v>
      </c>
      <c r="U53" s="154">
        <f t="shared" si="8"/>
        <v>0.75</v>
      </c>
      <c r="V53" s="155" cm="1">
        <f t="array" ref="V53">IFERROR(SUMPRODUCT($N53:$U53, TRANSPOSE($L$81:$L$88)), "NN")</f>
        <v>26.204124999999998</v>
      </c>
      <c r="W53" s="156">
        <f>IFERROR(C53/'S10 Mat. Cost per Strength'!$B$1, "NN")</f>
        <v>409.2</v>
      </c>
      <c r="X53" s="157">
        <f t="shared" si="9"/>
        <v>1.99</v>
      </c>
      <c r="Y53" s="3">
        <f t="shared" si="12"/>
        <v>42</v>
      </c>
      <c r="Z53" s="8">
        <f t="shared" si="10"/>
        <v>0.20399999999999999</v>
      </c>
      <c r="AA53" s="145">
        <f t="shared" si="13"/>
        <v>20.399999999999999</v>
      </c>
      <c r="AB53" s="158">
        <f t="shared" si="14"/>
        <v>129</v>
      </c>
      <c r="AC53" s="159">
        <f t="shared" si="15"/>
        <v>8</v>
      </c>
      <c r="AD53" s="168">
        <f t="shared" si="11"/>
        <v>27.86</v>
      </c>
      <c r="AE53" s="145">
        <f t="shared" si="16"/>
        <v>2786</v>
      </c>
      <c r="AF53" s="169">
        <f t="shared" si="17"/>
        <v>1</v>
      </c>
      <c r="AG53" s="163">
        <f t="shared" si="18"/>
        <v>35</v>
      </c>
      <c r="AH53" s="164">
        <f t="shared" si="19"/>
        <v>35.53</v>
      </c>
      <c r="AI53" s="165">
        <f t="shared" si="20"/>
        <v>38</v>
      </c>
    </row>
    <row r="54" spans="1:35">
      <c r="A54" s="521"/>
      <c r="B54" s="185" t="s">
        <v>410</v>
      </c>
      <c r="C54" s="148">
        <v>1337</v>
      </c>
      <c r="D54" s="180">
        <v>168</v>
      </c>
      <c r="E54" s="150">
        <v>110</v>
      </c>
      <c r="F54" s="150">
        <v>1.51</v>
      </c>
      <c r="G54" s="151">
        <f t="shared" si="0"/>
        <v>1.51</v>
      </c>
      <c r="H54" s="145">
        <v>87.5</v>
      </c>
      <c r="I54" s="145" t="s">
        <v>392</v>
      </c>
      <c r="J54" s="145">
        <v>5</v>
      </c>
      <c r="K54" s="145">
        <v>3</v>
      </c>
      <c r="L54" s="145">
        <v>1.5</v>
      </c>
      <c r="M54" s="170">
        <v>4200</v>
      </c>
      <c r="N54" s="154">
        <f t="shared" si="1"/>
        <v>35.18</v>
      </c>
      <c r="O54" s="154">
        <f t="shared" si="2"/>
        <v>2.92</v>
      </c>
      <c r="P54" s="154">
        <f t="shared" si="3"/>
        <v>31.43</v>
      </c>
      <c r="Q54" s="154">
        <f t="shared" si="4"/>
        <v>19.36</v>
      </c>
      <c r="R54" s="154">
        <f t="shared" si="5"/>
        <v>19.36</v>
      </c>
      <c r="S54" s="154">
        <f t="shared" si="6"/>
        <v>83.33</v>
      </c>
      <c r="T54" s="154">
        <f t="shared" si="7"/>
        <v>0.86</v>
      </c>
      <c r="U54" s="154">
        <f t="shared" si="8"/>
        <v>0.75</v>
      </c>
      <c r="V54" s="155" cm="1">
        <f t="array" ref="V54">IFERROR(SUMPRODUCT($N54:$U54, TRANSPOSE($L$81:$L$88)), "NN")</f>
        <v>29.608874999999998</v>
      </c>
      <c r="W54" s="156">
        <f>IFERROR(C54/'S10 Mat. Cost per Strength'!$B$1, "NN")</f>
        <v>534.79999999999995</v>
      </c>
      <c r="X54" s="157">
        <f t="shared" si="9"/>
        <v>1.51</v>
      </c>
      <c r="Y54" s="3">
        <f t="shared" si="12"/>
        <v>42</v>
      </c>
      <c r="Z54" s="8">
        <f t="shared" si="10"/>
        <v>0.11899999999999999</v>
      </c>
      <c r="AA54" s="145">
        <f t="shared" si="13"/>
        <v>11.899999999999999</v>
      </c>
      <c r="AB54" s="158">
        <f t="shared" si="14"/>
        <v>249</v>
      </c>
      <c r="AC54" s="159">
        <f t="shared" si="15"/>
        <v>4</v>
      </c>
      <c r="AD54" s="168">
        <f t="shared" si="11"/>
        <v>21.14</v>
      </c>
      <c r="AE54" s="145">
        <f t="shared" si="16"/>
        <v>2114</v>
      </c>
      <c r="AF54" s="169">
        <f t="shared" si="17"/>
        <v>1</v>
      </c>
      <c r="AG54" s="163">
        <f t="shared" si="18"/>
        <v>35</v>
      </c>
      <c r="AH54" s="164">
        <f t="shared" si="19"/>
        <v>35.54</v>
      </c>
      <c r="AI54" s="165">
        <f t="shared" si="20"/>
        <v>39</v>
      </c>
    </row>
    <row r="55" spans="1:35">
      <c r="A55" s="521" t="s">
        <v>411</v>
      </c>
      <c r="B55" s="166" t="s">
        <v>412</v>
      </c>
      <c r="C55" s="148">
        <v>23</v>
      </c>
      <c r="D55" s="180">
        <v>280</v>
      </c>
      <c r="E55" s="150">
        <v>1.1000000000000001</v>
      </c>
      <c r="F55" s="150">
        <v>0.9</v>
      </c>
      <c r="G55" s="151">
        <f t="shared" si="0"/>
        <v>0.9</v>
      </c>
      <c r="H55" s="145">
        <v>75</v>
      </c>
      <c r="I55" s="145" t="s">
        <v>392</v>
      </c>
      <c r="J55" s="145">
        <v>5</v>
      </c>
      <c r="K55" s="145">
        <v>350</v>
      </c>
      <c r="L55" s="145">
        <v>128</v>
      </c>
      <c r="M55" s="153">
        <v>1238</v>
      </c>
      <c r="N55" s="154">
        <f t="shared" si="1"/>
        <v>0.61</v>
      </c>
      <c r="O55" s="154">
        <f t="shared" si="2"/>
        <v>4.87</v>
      </c>
      <c r="P55" s="154">
        <f t="shared" si="3"/>
        <v>0.31</v>
      </c>
      <c r="Q55" s="154">
        <f t="shared" si="4"/>
        <v>11.54</v>
      </c>
      <c r="R55" s="154">
        <f t="shared" si="5"/>
        <v>11.54</v>
      </c>
      <c r="S55" s="154">
        <f t="shared" si="6"/>
        <v>83.33</v>
      </c>
      <c r="T55" s="154">
        <f t="shared" si="7"/>
        <v>100</v>
      </c>
      <c r="U55" s="154">
        <f t="shared" si="8"/>
        <v>64</v>
      </c>
      <c r="V55" s="155" cm="1">
        <f t="array" ref="V55">IFERROR(SUMPRODUCT($N55:$U55, TRANSPOSE($L$81:$L$88)), "NN")</f>
        <v>17.116</v>
      </c>
      <c r="W55" s="156">
        <f>IFERROR(C55/'S10 Mat. Cost per Strength'!$B$1, "NN")</f>
        <v>9.1999999999999993</v>
      </c>
      <c r="X55" s="157">
        <f t="shared" si="9"/>
        <v>0.9</v>
      </c>
      <c r="Y55" s="3">
        <f t="shared" si="12"/>
        <v>12.38</v>
      </c>
      <c r="Z55" s="8">
        <f t="shared" si="10"/>
        <v>1.2110000000000001</v>
      </c>
      <c r="AA55" s="145">
        <f t="shared" si="13"/>
        <v>121.10000000000001</v>
      </c>
      <c r="AB55" s="158">
        <f t="shared" si="14"/>
        <v>15</v>
      </c>
      <c r="AC55" s="159">
        <f t="shared" si="15"/>
        <v>20</v>
      </c>
      <c r="AD55" s="168">
        <f t="shared" si="11"/>
        <v>3.2000000000000001E-2</v>
      </c>
      <c r="AE55" s="145">
        <f t="shared" si="16"/>
        <v>3.2</v>
      </c>
      <c r="AF55" s="169">
        <f t="shared" si="17"/>
        <v>535</v>
      </c>
      <c r="AG55" s="163">
        <f t="shared" si="18"/>
        <v>1</v>
      </c>
      <c r="AH55" s="164">
        <f t="shared" si="19"/>
        <v>1.55</v>
      </c>
      <c r="AI55" s="165">
        <f t="shared" si="20"/>
        <v>1</v>
      </c>
    </row>
    <row r="56" spans="1:35">
      <c r="A56" s="521"/>
      <c r="B56" s="166" t="s">
        <v>413</v>
      </c>
      <c r="C56" s="148">
        <v>29</v>
      </c>
      <c r="D56" s="145">
        <v>280</v>
      </c>
      <c r="E56" s="150">
        <v>0.9</v>
      </c>
      <c r="F56" s="150">
        <v>0.9</v>
      </c>
      <c r="G56" s="151">
        <f t="shared" si="0"/>
        <v>0.9</v>
      </c>
      <c r="H56" s="145">
        <v>75</v>
      </c>
      <c r="I56" s="145" t="s">
        <v>392</v>
      </c>
      <c r="J56" s="145">
        <v>5</v>
      </c>
      <c r="K56" s="145">
        <v>350</v>
      </c>
      <c r="L56" s="145">
        <v>128</v>
      </c>
      <c r="M56" s="153">
        <v>1238</v>
      </c>
      <c r="N56" s="154">
        <f t="shared" si="1"/>
        <v>0.76</v>
      </c>
      <c r="O56" s="154">
        <f t="shared" si="2"/>
        <v>4.87</v>
      </c>
      <c r="P56" s="154">
        <f t="shared" si="3"/>
        <v>0.26</v>
      </c>
      <c r="Q56" s="154">
        <f t="shared" si="4"/>
        <v>11.54</v>
      </c>
      <c r="R56" s="154">
        <f t="shared" si="5"/>
        <v>11.54</v>
      </c>
      <c r="S56" s="154">
        <f t="shared" si="6"/>
        <v>83.33</v>
      </c>
      <c r="T56" s="154">
        <f t="shared" si="7"/>
        <v>100</v>
      </c>
      <c r="U56" s="154">
        <f t="shared" si="8"/>
        <v>64</v>
      </c>
      <c r="V56" s="155" cm="1">
        <f t="array" ref="V56">IFERROR(SUMPRODUCT($N56:$U56, TRANSPOSE($L$81:$L$88)), "NN")</f>
        <v>17.132250000000003</v>
      </c>
      <c r="W56" s="156">
        <f>IFERROR(C56/'S10 Mat. Cost per Strength'!$B$1, "NN")</f>
        <v>11.6</v>
      </c>
      <c r="X56" s="157">
        <f t="shared" si="9"/>
        <v>0.9</v>
      </c>
      <c r="Y56" s="3">
        <f t="shared" si="12"/>
        <v>12.38</v>
      </c>
      <c r="Z56" s="8">
        <f t="shared" si="10"/>
        <v>0.96099999999999997</v>
      </c>
      <c r="AA56" s="145">
        <f t="shared" si="13"/>
        <v>96.1</v>
      </c>
      <c r="AB56" s="158">
        <f t="shared" si="14"/>
        <v>18</v>
      </c>
      <c r="AC56" s="159">
        <f t="shared" si="15"/>
        <v>18</v>
      </c>
      <c r="AD56" s="168">
        <f t="shared" si="11"/>
        <v>3.2000000000000001E-2</v>
      </c>
      <c r="AE56" s="145">
        <f t="shared" si="16"/>
        <v>3.2</v>
      </c>
      <c r="AF56" s="169">
        <f t="shared" si="17"/>
        <v>535</v>
      </c>
      <c r="AG56" s="163">
        <f t="shared" si="18"/>
        <v>1</v>
      </c>
      <c r="AH56" s="164">
        <f t="shared" si="19"/>
        <v>1.56</v>
      </c>
      <c r="AI56" s="165">
        <f t="shared" si="20"/>
        <v>2</v>
      </c>
    </row>
    <row r="57" spans="1:35">
      <c r="A57" s="521"/>
      <c r="B57" s="166" t="s">
        <v>414</v>
      </c>
      <c r="C57" s="148">
        <f>(18+30)/2</f>
        <v>24</v>
      </c>
      <c r="D57" s="145">
        <v>37.5</v>
      </c>
      <c r="E57" s="150">
        <f>(0.6+1.5)/2</f>
        <v>1.05</v>
      </c>
      <c r="F57" s="150">
        <v>0.9</v>
      </c>
      <c r="G57" s="151">
        <f t="shared" si="0"/>
        <v>0.9</v>
      </c>
      <c r="H57" s="145">
        <v>75</v>
      </c>
      <c r="I57" s="145" t="s">
        <v>392</v>
      </c>
      <c r="J57" s="145">
        <v>5</v>
      </c>
      <c r="K57" s="145">
        <v>350</v>
      </c>
      <c r="L57" s="145">
        <v>128</v>
      </c>
      <c r="M57" s="153">
        <v>1238</v>
      </c>
      <c r="N57" s="154">
        <f t="shared" si="1"/>
        <v>0.63</v>
      </c>
      <c r="O57" s="154">
        <f t="shared" si="2"/>
        <v>0.65</v>
      </c>
      <c r="P57" s="154">
        <f t="shared" si="3"/>
        <v>0.3</v>
      </c>
      <c r="Q57" s="154">
        <f t="shared" si="4"/>
        <v>11.54</v>
      </c>
      <c r="R57" s="154">
        <f t="shared" si="5"/>
        <v>11.54</v>
      </c>
      <c r="S57" s="154">
        <f t="shared" si="6"/>
        <v>83.33</v>
      </c>
      <c r="T57" s="154">
        <f t="shared" si="7"/>
        <v>100</v>
      </c>
      <c r="U57" s="154">
        <f t="shared" si="8"/>
        <v>64</v>
      </c>
      <c r="V57" s="155" cm="1">
        <f t="array" ref="V57">IFERROR(SUMPRODUCT($N57:$U57, TRANSPOSE($L$81:$L$88)), "NN")</f>
        <v>16.484500000000001</v>
      </c>
      <c r="W57" s="156">
        <f>IFERROR(C57/'S10 Mat. Cost per Strength'!$B$1, "NN")</f>
        <v>9.6</v>
      </c>
      <c r="X57" s="157">
        <f t="shared" si="9"/>
        <v>0.9</v>
      </c>
      <c r="Y57" s="3">
        <f t="shared" si="12"/>
        <v>12.38</v>
      </c>
      <c r="Z57" s="8">
        <f t="shared" si="10"/>
        <v>1.161</v>
      </c>
      <c r="AA57" s="145">
        <f t="shared" si="13"/>
        <v>116.10000000000001</v>
      </c>
      <c r="AB57" s="158">
        <f t="shared" si="14"/>
        <v>15</v>
      </c>
      <c r="AC57" s="159">
        <f t="shared" si="15"/>
        <v>20</v>
      </c>
      <c r="AD57" s="168">
        <f t="shared" si="11"/>
        <v>3.2000000000000001E-2</v>
      </c>
      <c r="AE57" s="145">
        <f t="shared" si="16"/>
        <v>3.2</v>
      </c>
      <c r="AF57" s="169">
        <f t="shared" si="17"/>
        <v>515</v>
      </c>
      <c r="AG57" s="163">
        <f t="shared" si="18"/>
        <v>3</v>
      </c>
      <c r="AH57" s="164">
        <f t="shared" si="19"/>
        <v>3.57</v>
      </c>
      <c r="AI57" s="165">
        <f t="shared" si="20"/>
        <v>3</v>
      </c>
    </row>
    <row r="58" spans="1:35">
      <c r="A58" s="521" t="s">
        <v>415</v>
      </c>
      <c r="B58" s="166" t="s">
        <v>416</v>
      </c>
      <c r="C58" s="148">
        <v>72.5</v>
      </c>
      <c r="D58" s="145">
        <v>105</v>
      </c>
      <c r="E58" s="150">
        <v>1.4</v>
      </c>
      <c r="F58" s="150">
        <v>1.1299999999999999</v>
      </c>
      <c r="G58" s="151">
        <f t="shared" si="0"/>
        <v>1.1299999999999999</v>
      </c>
      <c r="H58" s="145">
        <v>55</v>
      </c>
      <c r="I58" s="145" t="s">
        <v>389</v>
      </c>
      <c r="J58" s="145">
        <v>4</v>
      </c>
      <c r="K58" s="145">
        <v>250</v>
      </c>
      <c r="L58" s="145">
        <v>71.7</v>
      </c>
      <c r="M58" s="153">
        <v>3500</v>
      </c>
      <c r="N58" s="154">
        <f t="shared" si="1"/>
        <v>1.91</v>
      </c>
      <c r="O58" s="154">
        <f t="shared" si="2"/>
        <v>1.82</v>
      </c>
      <c r="P58" s="154">
        <f t="shared" si="3"/>
        <v>0.4</v>
      </c>
      <c r="Q58" s="154">
        <f t="shared" si="4"/>
        <v>14.49</v>
      </c>
      <c r="R58" s="154">
        <f t="shared" si="5"/>
        <v>14.49</v>
      </c>
      <c r="S58" s="154">
        <f t="shared" si="6"/>
        <v>66.67</v>
      </c>
      <c r="T58" s="154">
        <f t="shared" si="7"/>
        <v>71.430000000000007</v>
      </c>
      <c r="U58" s="154">
        <f t="shared" si="8"/>
        <v>35.85</v>
      </c>
      <c r="V58" s="155" cm="1">
        <f t="array" ref="V58">IFERROR(SUMPRODUCT($N58:$U58, TRANSPOSE($L$81:$L$88)), "NN")</f>
        <v>15.071249999999999</v>
      </c>
      <c r="W58" s="156">
        <f>IFERROR(C58/'S10 Mat. Cost per Strength'!$B$1, "NN")</f>
        <v>29</v>
      </c>
      <c r="X58" s="157">
        <f t="shared" si="9"/>
        <v>1.1299999999999999</v>
      </c>
      <c r="Y58" s="3">
        <f t="shared" si="12"/>
        <v>35</v>
      </c>
      <c r="Z58" s="8">
        <f t="shared" si="10"/>
        <v>1.3640000000000001</v>
      </c>
      <c r="AA58" s="145">
        <f t="shared" si="13"/>
        <v>136.4</v>
      </c>
      <c r="AB58" s="158">
        <f t="shared" si="14"/>
        <v>12</v>
      </c>
      <c r="AC58" s="159">
        <f t="shared" si="15"/>
        <v>24</v>
      </c>
      <c r="AD58" s="168">
        <f t="shared" si="11"/>
        <v>0.158</v>
      </c>
      <c r="AE58" s="145">
        <f t="shared" si="16"/>
        <v>15.8</v>
      </c>
      <c r="AF58" s="169">
        <f t="shared" si="17"/>
        <v>95</v>
      </c>
      <c r="AG58" s="163">
        <f t="shared" si="18"/>
        <v>7</v>
      </c>
      <c r="AH58" s="164">
        <f t="shared" si="19"/>
        <v>7.58</v>
      </c>
      <c r="AI58" s="165">
        <f t="shared" si="20"/>
        <v>7</v>
      </c>
    </row>
    <row r="59" spans="1:35">
      <c r="A59" s="521"/>
      <c r="B59" s="166" t="s">
        <v>417</v>
      </c>
      <c r="C59" s="148">
        <v>72.5</v>
      </c>
      <c r="D59" s="145">
        <v>100</v>
      </c>
      <c r="E59" s="150">
        <v>2.25</v>
      </c>
      <c r="F59" s="150">
        <v>1.1399999999999999</v>
      </c>
      <c r="G59" s="151">
        <f t="shared" si="0"/>
        <v>1.1399999999999999</v>
      </c>
      <c r="H59" s="145">
        <v>55</v>
      </c>
      <c r="I59" s="145" t="s">
        <v>389</v>
      </c>
      <c r="J59" s="145">
        <v>4</v>
      </c>
      <c r="K59" s="145">
        <v>225</v>
      </c>
      <c r="L59" s="145">
        <v>16.7</v>
      </c>
      <c r="M59" s="153">
        <v>3750</v>
      </c>
      <c r="N59" s="154">
        <f t="shared" si="1"/>
        <v>1.91</v>
      </c>
      <c r="O59" s="154">
        <f t="shared" si="2"/>
        <v>1.74</v>
      </c>
      <c r="P59" s="154">
        <f t="shared" si="3"/>
        <v>0.64</v>
      </c>
      <c r="Q59" s="154">
        <f t="shared" si="4"/>
        <v>14.62</v>
      </c>
      <c r="R59" s="154">
        <f t="shared" si="5"/>
        <v>14.62</v>
      </c>
      <c r="S59" s="154">
        <f t="shared" si="6"/>
        <v>66.67</v>
      </c>
      <c r="T59" s="154">
        <f t="shared" si="7"/>
        <v>64.290000000000006</v>
      </c>
      <c r="U59" s="154">
        <f t="shared" si="8"/>
        <v>8.35</v>
      </c>
      <c r="V59" s="155" cm="1">
        <f t="array" ref="V59">IFERROR(SUMPRODUCT($N59:$U59, TRANSPOSE($L$81:$L$88)), "NN")</f>
        <v>14.7165</v>
      </c>
      <c r="W59" s="156">
        <f>IFERROR(C59/'S10 Mat. Cost per Strength'!$B$1, "NN")</f>
        <v>29</v>
      </c>
      <c r="X59" s="157">
        <f t="shared" si="9"/>
        <v>1.1399999999999999</v>
      </c>
      <c r="Y59" s="3">
        <f t="shared" si="12"/>
        <v>37.5</v>
      </c>
      <c r="Z59" s="8">
        <f t="shared" si="10"/>
        <v>1.474</v>
      </c>
      <c r="AA59" s="145">
        <f t="shared" si="13"/>
        <v>147.4</v>
      </c>
      <c r="AB59" s="158">
        <f t="shared" si="14"/>
        <v>10</v>
      </c>
      <c r="AC59" s="159">
        <f t="shared" si="15"/>
        <v>26</v>
      </c>
      <c r="AD59" s="168">
        <f t="shared" si="11"/>
        <v>0.19</v>
      </c>
      <c r="AE59" s="145">
        <f t="shared" si="16"/>
        <v>19</v>
      </c>
      <c r="AF59" s="169">
        <f t="shared" si="17"/>
        <v>77</v>
      </c>
      <c r="AG59" s="163">
        <f t="shared" si="18"/>
        <v>11</v>
      </c>
      <c r="AH59" s="164">
        <f t="shared" si="19"/>
        <v>11.59</v>
      </c>
      <c r="AI59" s="165">
        <f t="shared" si="20"/>
        <v>11</v>
      </c>
    </row>
    <row r="60" spans="1:35">
      <c r="A60" s="521"/>
      <c r="B60" s="166" t="s">
        <v>418</v>
      </c>
      <c r="C60" s="148">
        <v>75</v>
      </c>
      <c r="D60" s="145">
        <v>140</v>
      </c>
      <c r="E60" s="150">
        <v>2.15</v>
      </c>
      <c r="F60" s="150">
        <v>1.18</v>
      </c>
      <c r="G60" s="151">
        <f t="shared" si="0"/>
        <v>1.18</v>
      </c>
      <c r="H60" s="145">
        <v>55</v>
      </c>
      <c r="I60" s="145" t="s">
        <v>389</v>
      </c>
      <c r="J60" s="145">
        <v>4</v>
      </c>
      <c r="K60" s="145">
        <v>230</v>
      </c>
      <c r="L60" s="145">
        <v>18</v>
      </c>
      <c r="M60" s="153">
        <v>3869</v>
      </c>
      <c r="N60" s="154">
        <f t="shared" si="1"/>
        <v>1.97</v>
      </c>
      <c r="O60" s="154">
        <f t="shared" si="2"/>
        <v>2.4300000000000002</v>
      </c>
      <c r="P60" s="154">
        <f t="shared" si="3"/>
        <v>0.61</v>
      </c>
      <c r="Q60" s="154">
        <f t="shared" si="4"/>
        <v>15.13</v>
      </c>
      <c r="R60" s="154">
        <f t="shared" si="5"/>
        <v>15.13</v>
      </c>
      <c r="S60" s="154">
        <f t="shared" si="6"/>
        <v>66.67</v>
      </c>
      <c r="T60" s="154">
        <f t="shared" si="7"/>
        <v>65.709999999999994</v>
      </c>
      <c r="U60" s="154">
        <f t="shared" si="8"/>
        <v>9</v>
      </c>
      <c r="V60" s="155" cm="1">
        <f t="array" ref="V60">IFERROR(SUMPRODUCT($N60:$U60, TRANSPOSE($L$81:$L$88)), "NN")</f>
        <v>15.016125000000001</v>
      </c>
      <c r="W60" s="156">
        <f>IFERROR(C60/'S10 Mat. Cost per Strength'!$B$1, "NN")</f>
        <v>30</v>
      </c>
      <c r="X60" s="157">
        <f t="shared" si="9"/>
        <v>1.18</v>
      </c>
      <c r="Y60" s="3">
        <f t="shared" si="12"/>
        <v>38.69</v>
      </c>
      <c r="Z60" s="8">
        <f t="shared" si="10"/>
        <v>1.522</v>
      </c>
      <c r="AA60" s="145">
        <f t="shared" si="13"/>
        <v>152.19999999999999</v>
      </c>
      <c r="AB60" s="158">
        <f t="shared" si="14"/>
        <v>10</v>
      </c>
      <c r="AC60" s="159">
        <f t="shared" si="15"/>
        <v>26</v>
      </c>
      <c r="AD60" s="168">
        <f t="shared" si="11"/>
        <v>0.19800000000000001</v>
      </c>
      <c r="AE60" s="145">
        <f t="shared" si="16"/>
        <v>19.8</v>
      </c>
      <c r="AF60" s="169">
        <f t="shared" si="17"/>
        <v>76</v>
      </c>
      <c r="AG60" s="163">
        <f t="shared" si="18"/>
        <v>12</v>
      </c>
      <c r="AH60" s="164">
        <f t="shared" si="19"/>
        <v>12.6</v>
      </c>
      <c r="AI60" s="165">
        <f t="shared" si="20"/>
        <v>12</v>
      </c>
    </row>
    <row r="61" spans="1:35">
      <c r="A61" s="521"/>
      <c r="B61" s="166" t="s">
        <v>419</v>
      </c>
      <c r="C61" s="148">
        <v>57.5</v>
      </c>
      <c r="D61" s="145">
        <v>534.5</v>
      </c>
      <c r="E61" s="150">
        <v>1.5</v>
      </c>
      <c r="F61" s="150">
        <v>1.0900000000000001</v>
      </c>
      <c r="G61" s="151">
        <f t="shared" si="0"/>
        <v>1.0900000000000001</v>
      </c>
      <c r="H61" s="145">
        <v>55</v>
      </c>
      <c r="I61" s="145" t="s">
        <v>389</v>
      </c>
      <c r="J61" s="145">
        <v>4</v>
      </c>
      <c r="K61" s="145">
        <v>225</v>
      </c>
      <c r="L61" s="152">
        <v>15</v>
      </c>
      <c r="M61" s="175">
        <v>3623</v>
      </c>
      <c r="N61" s="154">
        <f t="shared" si="1"/>
        <v>1.51</v>
      </c>
      <c r="O61" s="154">
        <f t="shared" si="2"/>
        <v>9.2899999999999991</v>
      </c>
      <c r="P61" s="154">
        <f t="shared" si="3"/>
        <v>0.43</v>
      </c>
      <c r="Q61" s="154">
        <f t="shared" si="4"/>
        <v>13.97</v>
      </c>
      <c r="R61" s="154">
        <f t="shared" si="5"/>
        <v>13.97</v>
      </c>
      <c r="S61" s="154">
        <f t="shared" si="6"/>
        <v>66.67</v>
      </c>
      <c r="T61" s="154">
        <f t="shared" si="7"/>
        <v>64.290000000000006</v>
      </c>
      <c r="U61" s="154">
        <f t="shared" si="8"/>
        <v>7.5</v>
      </c>
      <c r="V61" s="155" cm="1">
        <f t="array" ref="V61">IFERROR(SUMPRODUCT($N61:$U61, TRANSPOSE($L$81:$L$88)), "NN")</f>
        <v>15.515125000000001</v>
      </c>
      <c r="W61" s="156">
        <f>IFERROR(C61/'S10 Mat. Cost per Strength'!$B$1, "NN")</f>
        <v>23</v>
      </c>
      <c r="X61" s="157">
        <f t="shared" si="9"/>
        <v>1.0900000000000001</v>
      </c>
      <c r="Y61" s="3">
        <f t="shared" si="12"/>
        <v>36.229999999999997</v>
      </c>
      <c r="Z61" s="8">
        <f t="shared" si="10"/>
        <v>1.7170000000000001</v>
      </c>
      <c r="AA61" s="145">
        <f t="shared" si="13"/>
        <v>171.70000000000002</v>
      </c>
      <c r="AB61" s="158">
        <f t="shared" si="14"/>
        <v>10</v>
      </c>
      <c r="AC61" s="159">
        <f t="shared" si="15"/>
        <v>26</v>
      </c>
      <c r="AD61" s="168">
        <f t="shared" si="11"/>
        <v>0.17599999999999999</v>
      </c>
      <c r="AE61" s="145">
        <f t="shared" si="16"/>
        <v>17.599999999999998</v>
      </c>
      <c r="AF61" s="169">
        <f t="shared" si="17"/>
        <v>88</v>
      </c>
      <c r="AG61" s="163">
        <f t="shared" si="18"/>
        <v>10</v>
      </c>
      <c r="AH61" s="164">
        <f t="shared" si="19"/>
        <v>10.61</v>
      </c>
      <c r="AI61" s="165">
        <f t="shared" si="20"/>
        <v>10</v>
      </c>
    </row>
    <row r="62" spans="1:35">
      <c r="A62" s="521"/>
      <c r="B62" s="166" t="s">
        <v>420</v>
      </c>
      <c r="C62" s="148">
        <f>(57+69)/2</f>
        <v>63</v>
      </c>
      <c r="D62" s="176">
        <v>98</v>
      </c>
      <c r="E62" s="150">
        <f>(2.1+2.2)/2</f>
        <v>2.1500000000000004</v>
      </c>
      <c r="F62" s="150">
        <v>1.1000000000000001</v>
      </c>
      <c r="G62" s="151">
        <f t="shared" si="0"/>
        <v>1.1000000000000001</v>
      </c>
      <c r="H62" s="145">
        <v>113.5</v>
      </c>
      <c r="I62" s="145" t="s">
        <v>388</v>
      </c>
      <c r="J62" s="145">
        <v>5</v>
      </c>
      <c r="K62" s="145">
        <v>16.3</v>
      </c>
      <c r="L62" s="145">
        <v>6</v>
      </c>
      <c r="M62" s="153">
        <v>3500</v>
      </c>
      <c r="N62" s="154">
        <f t="shared" si="1"/>
        <v>1.66</v>
      </c>
      <c r="O62" s="154">
        <f t="shared" si="2"/>
        <v>1.7</v>
      </c>
      <c r="P62" s="154">
        <f t="shared" si="3"/>
        <v>0.61</v>
      </c>
      <c r="Q62" s="154">
        <f t="shared" si="4"/>
        <v>14.1</v>
      </c>
      <c r="R62" s="154">
        <f t="shared" si="5"/>
        <v>14.1</v>
      </c>
      <c r="S62" s="154">
        <f t="shared" si="6"/>
        <v>83.33</v>
      </c>
      <c r="T62" s="154">
        <f t="shared" si="7"/>
        <v>4.66</v>
      </c>
      <c r="U62" s="154">
        <f t="shared" si="8"/>
        <v>3</v>
      </c>
      <c r="V62" s="155" cm="1">
        <f t="array" ref="V62">IFERROR(SUMPRODUCT($N62:$U62, TRANSPOSE($L$81:$L$88)), "NN")</f>
        <v>15.761999999999999</v>
      </c>
      <c r="W62" s="156">
        <f>IFERROR(C62/'S10 Mat. Cost per Strength'!$B$1, "NN")</f>
        <v>25.2</v>
      </c>
      <c r="X62" s="157">
        <f t="shared" si="9"/>
        <v>1.1000000000000001</v>
      </c>
      <c r="Y62" s="3">
        <f t="shared" si="12"/>
        <v>35</v>
      </c>
      <c r="Z62" s="8">
        <f t="shared" si="10"/>
        <v>1.528</v>
      </c>
      <c r="AA62" s="145">
        <f t="shared" si="13"/>
        <v>152.80000000000001</v>
      </c>
      <c r="AB62" s="158">
        <f t="shared" si="14"/>
        <v>11</v>
      </c>
      <c r="AC62" s="159">
        <f t="shared" si="15"/>
        <v>25</v>
      </c>
      <c r="AD62" s="168">
        <f t="shared" si="11"/>
        <v>2.3620000000000001</v>
      </c>
      <c r="AE62" s="145">
        <f t="shared" si="16"/>
        <v>236.20000000000002</v>
      </c>
      <c r="AF62" s="169">
        <f t="shared" si="17"/>
        <v>7</v>
      </c>
      <c r="AG62" s="163">
        <f t="shared" si="18"/>
        <v>22</v>
      </c>
      <c r="AH62" s="164">
        <f t="shared" si="19"/>
        <v>22.62</v>
      </c>
      <c r="AI62" s="165">
        <f t="shared" si="20"/>
        <v>24</v>
      </c>
    </row>
    <row r="63" spans="1:35">
      <c r="A63" s="521" t="s">
        <v>421</v>
      </c>
      <c r="B63" s="166" t="s">
        <v>422</v>
      </c>
      <c r="C63" s="186">
        <v>47</v>
      </c>
      <c r="D63" s="187">
        <v>65</v>
      </c>
      <c r="E63" s="188">
        <v>3.7</v>
      </c>
      <c r="F63" s="188">
        <v>1.2250000000000001</v>
      </c>
      <c r="G63" s="151">
        <f t="shared" si="0"/>
        <v>1.2250000000000001</v>
      </c>
      <c r="H63" s="152" t="s">
        <v>423</v>
      </c>
      <c r="I63" s="145" t="s">
        <v>392</v>
      </c>
      <c r="J63" s="145">
        <v>5</v>
      </c>
      <c r="K63" s="152">
        <v>52.5</v>
      </c>
      <c r="L63" s="171">
        <v>5.5</v>
      </c>
      <c r="M63" s="189">
        <v>1250</v>
      </c>
      <c r="N63" s="154">
        <f t="shared" si="1"/>
        <v>1.24</v>
      </c>
      <c r="O63" s="154">
        <f t="shared" si="2"/>
        <v>1.1299999999999999</v>
      </c>
      <c r="P63" s="154">
        <f t="shared" si="3"/>
        <v>1.06</v>
      </c>
      <c r="Q63" s="154">
        <f t="shared" si="4"/>
        <v>15.71</v>
      </c>
      <c r="R63" s="154">
        <f t="shared" si="5"/>
        <v>15.71</v>
      </c>
      <c r="S63" s="154">
        <f t="shared" si="6"/>
        <v>83.33</v>
      </c>
      <c r="T63" s="154">
        <f t="shared" si="7"/>
        <v>15</v>
      </c>
      <c r="U63" s="154">
        <f t="shared" si="8"/>
        <v>2.75</v>
      </c>
      <c r="V63" s="155" cm="1">
        <f t="array" ref="V63">IFERROR(SUMPRODUCT($N63:$U63, TRANSPOSE($L$81:$L$88)), "NN")</f>
        <v>16.342375000000001</v>
      </c>
      <c r="W63" s="156">
        <f>IFERROR(C63/'S10 Mat. Cost per Strength'!$B$1, "NN")</f>
        <v>18.8</v>
      </c>
      <c r="X63" s="157">
        <f t="shared" si="9"/>
        <v>1.2250000000000001</v>
      </c>
      <c r="Y63" s="3">
        <f t="shared" si="12"/>
        <v>12.5</v>
      </c>
      <c r="Z63" s="8">
        <f t="shared" si="10"/>
        <v>0.81399999999999995</v>
      </c>
      <c r="AA63" s="145">
        <f t="shared" si="13"/>
        <v>81.399999999999991</v>
      </c>
      <c r="AB63" s="158">
        <f t="shared" si="14"/>
        <v>21</v>
      </c>
      <c r="AC63" s="159">
        <f t="shared" si="15"/>
        <v>17</v>
      </c>
      <c r="AD63" s="168">
        <f t="shared" si="11"/>
        <v>0.29199999999999998</v>
      </c>
      <c r="AE63" s="145">
        <f t="shared" si="16"/>
        <v>29.2</v>
      </c>
      <c r="AF63" s="169">
        <f t="shared" si="17"/>
        <v>56</v>
      </c>
      <c r="AG63" s="163">
        <f t="shared" si="18"/>
        <v>14</v>
      </c>
      <c r="AH63" s="164">
        <f t="shared" si="19"/>
        <v>14.63</v>
      </c>
      <c r="AI63" s="165">
        <f t="shared" si="20"/>
        <v>14</v>
      </c>
    </row>
    <row r="64" spans="1:35">
      <c r="A64" s="521"/>
      <c r="B64" s="166" t="s">
        <v>424</v>
      </c>
      <c r="C64" s="148">
        <v>16</v>
      </c>
      <c r="D64" s="180">
        <v>65</v>
      </c>
      <c r="E64" s="150">
        <v>1.4</v>
      </c>
      <c r="F64" s="150">
        <v>1.4</v>
      </c>
      <c r="G64" s="151">
        <f t="shared" si="0"/>
        <v>1.4</v>
      </c>
      <c r="H64" s="152" t="s">
        <v>425</v>
      </c>
      <c r="I64" s="145" t="s">
        <v>389</v>
      </c>
      <c r="J64" s="145">
        <v>4</v>
      </c>
      <c r="K64" s="152">
        <v>250</v>
      </c>
      <c r="L64" s="152">
        <v>150</v>
      </c>
      <c r="M64" s="175">
        <v>900</v>
      </c>
      <c r="N64" s="154">
        <f t="shared" si="1"/>
        <v>0.42</v>
      </c>
      <c r="O64" s="154">
        <f t="shared" si="2"/>
        <v>1.1299999999999999</v>
      </c>
      <c r="P64" s="154">
        <f t="shared" si="3"/>
        <v>0.4</v>
      </c>
      <c r="Q64" s="154">
        <f t="shared" si="4"/>
        <v>17.95</v>
      </c>
      <c r="R64" s="154">
        <f t="shared" si="5"/>
        <v>17.95</v>
      </c>
      <c r="S64" s="154">
        <f t="shared" si="6"/>
        <v>66.67</v>
      </c>
      <c r="T64" s="154">
        <f t="shared" si="7"/>
        <v>71.430000000000007</v>
      </c>
      <c r="U64" s="154">
        <f t="shared" si="8"/>
        <v>75</v>
      </c>
      <c r="V64" s="155" cm="1">
        <f t="array" ref="V64">IFERROR(SUMPRODUCT($N64:$U64, TRANSPOSE($L$81:$L$88)), "NN")</f>
        <v>16.320875000000001</v>
      </c>
      <c r="W64" s="156">
        <f>IFERROR(C64/'S10 Mat. Cost per Strength'!$B$1, "NN")</f>
        <v>6.4</v>
      </c>
      <c r="X64" s="157">
        <f t="shared" si="9"/>
        <v>1.4</v>
      </c>
      <c r="Y64" s="3">
        <f t="shared" si="12"/>
        <v>9</v>
      </c>
      <c r="Z64" s="8">
        <f t="shared" si="10"/>
        <v>1.9690000000000001</v>
      </c>
      <c r="AA64" s="145">
        <f t="shared" si="13"/>
        <v>196.9</v>
      </c>
      <c r="AB64" s="158">
        <f t="shared" si="14"/>
        <v>9</v>
      </c>
      <c r="AC64" s="159">
        <f t="shared" si="15"/>
        <v>31</v>
      </c>
      <c r="AD64" s="168">
        <f t="shared" si="11"/>
        <v>0.05</v>
      </c>
      <c r="AE64" s="145">
        <f t="shared" si="16"/>
        <v>5</v>
      </c>
      <c r="AF64" s="169">
        <f t="shared" si="17"/>
        <v>326</v>
      </c>
      <c r="AG64" s="163">
        <f t="shared" si="18"/>
        <v>4</v>
      </c>
      <c r="AH64" s="164">
        <f t="shared" si="19"/>
        <v>4.6399999999999997</v>
      </c>
      <c r="AI64" s="165">
        <f t="shared" si="20"/>
        <v>4</v>
      </c>
    </row>
    <row r="65" spans="1:35">
      <c r="A65" s="521"/>
      <c r="B65" s="166" t="s">
        <v>426</v>
      </c>
      <c r="C65" s="148">
        <f>(14.6+59.4)/2</f>
        <v>37</v>
      </c>
      <c r="D65" s="145">
        <v>214</v>
      </c>
      <c r="E65" s="150">
        <v>1.55</v>
      </c>
      <c r="F65" s="150">
        <v>2.12</v>
      </c>
      <c r="G65" s="151">
        <f t="shared" si="0"/>
        <v>2.12</v>
      </c>
      <c r="H65" s="181">
        <v>50</v>
      </c>
      <c r="I65" s="145" t="s">
        <v>389</v>
      </c>
      <c r="J65" s="145">
        <v>4</v>
      </c>
      <c r="K65" s="145">
        <v>12.5</v>
      </c>
      <c r="L65" s="152">
        <v>10</v>
      </c>
      <c r="M65" s="153">
        <v>1550</v>
      </c>
      <c r="N65" s="154">
        <f t="shared" si="1"/>
        <v>0.97</v>
      </c>
      <c r="O65" s="154">
        <f t="shared" si="2"/>
        <v>3.72</v>
      </c>
      <c r="P65" s="154">
        <f t="shared" si="3"/>
        <v>0.44</v>
      </c>
      <c r="Q65" s="154">
        <f t="shared" si="4"/>
        <v>27.18</v>
      </c>
      <c r="R65" s="154">
        <f t="shared" si="5"/>
        <v>27.18</v>
      </c>
      <c r="S65" s="154">
        <f t="shared" si="6"/>
        <v>66.67</v>
      </c>
      <c r="T65" s="154">
        <f t="shared" si="7"/>
        <v>3.57</v>
      </c>
      <c r="U65" s="154">
        <f t="shared" si="8"/>
        <v>5</v>
      </c>
      <c r="V65" s="155" cm="1">
        <f t="array" ref="V65">IFERROR(SUMPRODUCT($N65:$U65, TRANSPOSE($L$81:$L$88)), "NN")</f>
        <v>18.090124999999997</v>
      </c>
      <c r="W65" s="156">
        <f>IFERROR(C65/'S10 Mat. Cost per Strength'!$B$1, "NN")</f>
        <v>14.8</v>
      </c>
      <c r="X65" s="157">
        <f t="shared" si="9"/>
        <v>2.12</v>
      </c>
      <c r="Y65" s="3">
        <f t="shared" si="12"/>
        <v>15.5</v>
      </c>
      <c r="Z65" s="8">
        <f t="shared" si="10"/>
        <v>2.2200000000000002</v>
      </c>
      <c r="AA65" s="145">
        <f t="shared" si="13"/>
        <v>222.00000000000003</v>
      </c>
      <c r="AB65" s="158">
        <f t="shared" si="14"/>
        <v>9</v>
      </c>
      <c r="AC65" s="159">
        <f t="shared" si="15"/>
        <v>31</v>
      </c>
      <c r="AD65" s="168">
        <f t="shared" si="11"/>
        <v>2.629</v>
      </c>
      <c r="AE65" s="145">
        <f t="shared" si="16"/>
        <v>262.89999999999998</v>
      </c>
      <c r="AF65" s="169">
        <f t="shared" si="17"/>
        <v>7</v>
      </c>
      <c r="AG65" s="163">
        <f t="shared" si="18"/>
        <v>22</v>
      </c>
      <c r="AH65" s="164">
        <f t="shared" si="19"/>
        <v>22.65</v>
      </c>
      <c r="AI65" s="165">
        <f t="shared" si="20"/>
        <v>25</v>
      </c>
    </row>
    <row r="66" spans="1:35">
      <c r="A66" s="521"/>
      <c r="B66" s="166" t="s">
        <v>427</v>
      </c>
      <c r="C66" s="148">
        <v>11</v>
      </c>
      <c r="D66" s="145">
        <v>160</v>
      </c>
      <c r="E66" s="150">
        <v>0.35549999999999998</v>
      </c>
      <c r="F66" s="150">
        <v>1.87</v>
      </c>
      <c r="G66" s="151">
        <f t="shared" si="0"/>
        <v>1.87</v>
      </c>
      <c r="H66" s="152" t="s">
        <v>391</v>
      </c>
      <c r="I66" s="145" t="s">
        <v>392</v>
      </c>
      <c r="J66" s="145">
        <v>5</v>
      </c>
      <c r="K66" s="145">
        <v>7.5</v>
      </c>
      <c r="L66" s="152">
        <v>2.35</v>
      </c>
      <c r="M66" s="190">
        <v>3000</v>
      </c>
      <c r="N66" s="154">
        <f t="shared" si="1"/>
        <v>0.28999999999999998</v>
      </c>
      <c r="O66" s="154">
        <f t="shared" si="2"/>
        <v>2.78</v>
      </c>
      <c r="P66" s="154">
        <f t="shared" si="3"/>
        <v>0.1</v>
      </c>
      <c r="Q66" s="154">
        <f t="shared" si="4"/>
        <v>23.97</v>
      </c>
      <c r="R66" s="154">
        <f t="shared" si="5"/>
        <v>23.97</v>
      </c>
      <c r="S66" s="154">
        <f t="shared" si="6"/>
        <v>83.33</v>
      </c>
      <c r="T66" s="154">
        <f t="shared" si="7"/>
        <v>2.14</v>
      </c>
      <c r="U66" s="154">
        <f t="shared" si="8"/>
        <v>1.18</v>
      </c>
      <c r="V66" s="155" cm="1">
        <f t="array" ref="V66">IFERROR(SUMPRODUCT($N66:$U66, TRANSPOSE($L$81:$L$88)), "NN")</f>
        <v>18.735749999999999</v>
      </c>
      <c r="W66" s="156">
        <f>IFERROR(C66/'S10 Mat. Cost per Strength'!$B$1, "NN")</f>
        <v>4.4000000000000004</v>
      </c>
      <c r="X66" s="157">
        <f t="shared" si="9"/>
        <v>1.87</v>
      </c>
      <c r="Y66" s="3">
        <f t="shared" si="12"/>
        <v>30</v>
      </c>
      <c r="Z66" s="8">
        <f t="shared" si="10"/>
        <v>12.75</v>
      </c>
      <c r="AA66" s="145">
        <f t="shared" si="13"/>
        <v>1275</v>
      </c>
      <c r="AB66" s="158">
        <f t="shared" si="14"/>
        <v>2</v>
      </c>
      <c r="AC66" s="159">
        <f t="shared" si="15"/>
        <v>37</v>
      </c>
      <c r="AD66" s="168">
        <f t="shared" si="11"/>
        <v>7.48</v>
      </c>
      <c r="AE66" s="145">
        <f t="shared" si="16"/>
        <v>748</v>
      </c>
      <c r="AF66" s="169">
        <f t="shared" si="17"/>
        <v>3</v>
      </c>
      <c r="AG66" s="163">
        <f t="shared" si="18"/>
        <v>30</v>
      </c>
      <c r="AH66" s="164">
        <f t="shared" si="19"/>
        <v>30.66</v>
      </c>
      <c r="AI66" s="165">
        <f t="shared" si="20"/>
        <v>31</v>
      </c>
    </row>
    <row r="67" spans="1:35">
      <c r="A67" s="521"/>
      <c r="B67" s="166" t="s">
        <v>428</v>
      </c>
      <c r="C67" s="148">
        <v>1.9</v>
      </c>
      <c r="D67" s="180">
        <v>160</v>
      </c>
      <c r="E67" s="150">
        <v>7.99</v>
      </c>
      <c r="F67" s="150">
        <v>1.3</v>
      </c>
      <c r="G67" s="151">
        <f t="shared" si="0"/>
        <v>1.3</v>
      </c>
      <c r="H67" s="145">
        <v>53</v>
      </c>
      <c r="I67" s="145" t="s">
        <v>389</v>
      </c>
      <c r="J67" s="145">
        <v>4</v>
      </c>
      <c r="K67" s="145">
        <v>18.350000000000001</v>
      </c>
      <c r="L67" s="152">
        <v>10</v>
      </c>
      <c r="M67" s="153">
        <v>5000</v>
      </c>
      <c r="N67" s="154">
        <f t="shared" si="1"/>
        <v>0.05</v>
      </c>
      <c r="O67" s="154">
        <f t="shared" si="2"/>
        <v>2.78</v>
      </c>
      <c r="P67" s="154">
        <f t="shared" si="3"/>
        <v>2.2799999999999998</v>
      </c>
      <c r="Q67" s="154">
        <f t="shared" si="4"/>
        <v>16.670000000000002</v>
      </c>
      <c r="R67" s="154">
        <f t="shared" si="5"/>
        <v>16.670000000000002</v>
      </c>
      <c r="S67" s="154">
        <f t="shared" si="6"/>
        <v>66.67</v>
      </c>
      <c r="T67" s="154">
        <f t="shared" si="7"/>
        <v>5.24</v>
      </c>
      <c r="U67" s="154">
        <f t="shared" si="8"/>
        <v>5</v>
      </c>
      <c r="V67" s="155" cm="1">
        <f t="array" ref="V67">IFERROR(SUMPRODUCT($N67:$U67, TRANSPOSE($L$81:$L$88)), "NN")</f>
        <v>14.76125</v>
      </c>
      <c r="W67" s="156">
        <f>IFERROR(C67/'S10 Mat. Cost per Strength'!$B$1, "NN")</f>
        <v>0.76</v>
      </c>
      <c r="X67" s="157">
        <f t="shared" si="9"/>
        <v>1.3</v>
      </c>
      <c r="Y67" s="3">
        <f t="shared" si="12"/>
        <v>50</v>
      </c>
      <c r="Z67" s="8">
        <f t="shared" si="10"/>
        <v>85.525999999999996</v>
      </c>
      <c r="AA67" s="145">
        <f t="shared" si="13"/>
        <v>8552.6</v>
      </c>
      <c r="AB67" s="158">
        <f t="shared" si="14"/>
        <v>1</v>
      </c>
      <c r="AC67" s="159">
        <f t="shared" si="15"/>
        <v>39</v>
      </c>
      <c r="AD67" s="168">
        <f t="shared" si="11"/>
        <v>3.5419999999999998</v>
      </c>
      <c r="AE67" s="145">
        <f t="shared" si="16"/>
        <v>354.2</v>
      </c>
      <c r="AF67" s="169">
        <f t="shared" si="17"/>
        <v>4</v>
      </c>
      <c r="AG67" s="163">
        <f t="shared" si="18"/>
        <v>29</v>
      </c>
      <c r="AH67" s="164">
        <f t="shared" si="19"/>
        <v>29.67</v>
      </c>
      <c r="AI67" s="165">
        <f t="shared" si="20"/>
        <v>30</v>
      </c>
    </row>
    <row r="68" spans="1:35">
      <c r="A68" s="521"/>
      <c r="B68" s="166" t="s">
        <v>429</v>
      </c>
      <c r="C68" s="148">
        <v>110</v>
      </c>
      <c r="D68" s="191">
        <v>2.7</v>
      </c>
      <c r="E68" s="150">
        <v>9.5</v>
      </c>
      <c r="F68" s="150">
        <v>1.6</v>
      </c>
      <c r="G68" s="151">
        <f t="shared" si="0"/>
        <v>1.6</v>
      </c>
      <c r="H68" s="145">
        <v>87.5</v>
      </c>
      <c r="I68" s="145" t="s">
        <v>392</v>
      </c>
      <c r="J68" s="145">
        <v>5</v>
      </c>
      <c r="K68" s="145">
        <v>8</v>
      </c>
      <c r="L68" s="145">
        <v>4</v>
      </c>
      <c r="M68" s="192">
        <f>(1564+1877)/2</f>
        <v>1720.5</v>
      </c>
      <c r="N68" s="154">
        <f t="shared" si="1"/>
        <v>2.89</v>
      </c>
      <c r="O68" s="154">
        <f t="shared" si="2"/>
        <v>0.05</v>
      </c>
      <c r="P68" s="154">
        <f t="shared" si="3"/>
        <v>2.71</v>
      </c>
      <c r="Q68" s="154">
        <f t="shared" si="4"/>
        <v>20.51</v>
      </c>
      <c r="R68" s="154">
        <f t="shared" si="5"/>
        <v>20.51</v>
      </c>
      <c r="S68" s="154">
        <f t="shared" si="6"/>
        <v>83.33</v>
      </c>
      <c r="T68" s="154">
        <f t="shared" si="7"/>
        <v>2.29</v>
      </c>
      <c r="U68" s="154">
        <f t="shared" si="8"/>
        <v>2</v>
      </c>
      <c r="V68" s="155" cm="1">
        <f t="array" ref="V68">IFERROR(SUMPRODUCT($N68:$U68, TRANSPOSE($L$81:$L$88)), "NN")</f>
        <v>18.190875000000002</v>
      </c>
      <c r="W68" s="156">
        <f>IFERROR(C68/'S10 Mat. Cost per Strength'!$B$1, "NN")</f>
        <v>44</v>
      </c>
      <c r="X68" s="157">
        <f t="shared" si="9"/>
        <v>1.6</v>
      </c>
      <c r="Y68" s="3">
        <f t="shared" si="12"/>
        <v>17.21</v>
      </c>
      <c r="Z68" s="8">
        <f t="shared" si="10"/>
        <v>0.626</v>
      </c>
      <c r="AA68" s="145">
        <f t="shared" si="13"/>
        <v>62.6</v>
      </c>
      <c r="AB68" s="158">
        <f t="shared" si="14"/>
        <v>30</v>
      </c>
      <c r="AC68" s="159">
        <f t="shared" si="15"/>
        <v>12</v>
      </c>
      <c r="AD68" s="168">
        <f t="shared" si="11"/>
        <v>3.4420000000000002</v>
      </c>
      <c r="AE68" s="145">
        <f t="shared" si="16"/>
        <v>344.20000000000005</v>
      </c>
      <c r="AF68" s="169">
        <f t="shared" si="17"/>
        <v>5</v>
      </c>
      <c r="AG68" s="163">
        <f t="shared" si="18"/>
        <v>26</v>
      </c>
      <c r="AH68" s="164">
        <f t="shared" si="19"/>
        <v>26.68</v>
      </c>
      <c r="AI68" s="165">
        <f t="shared" si="20"/>
        <v>29</v>
      </c>
    </row>
    <row r="69" spans="1:35">
      <c r="A69" s="521" t="s">
        <v>430</v>
      </c>
      <c r="B69" s="193" t="s">
        <v>431</v>
      </c>
      <c r="C69" s="148">
        <f>(100+400)/2</f>
        <v>250</v>
      </c>
      <c r="D69" s="145">
        <v>43</v>
      </c>
      <c r="E69" s="150">
        <f>(5+20)/2</f>
        <v>12.5</v>
      </c>
      <c r="F69" s="150">
        <f>(0.5+0.65)/2</f>
        <v>0.57499999999999996</v>
      </c>
      <c r="G69" s="151">
        <f t="shared" si="0"/>
        <v>0.57499999999999996</v>
      </c>
      <c r="H69" s="173">
        <v>75</v>
      </c>
      <c r="I69" s="145" t="s">
        <v>389</v>
      </c>
      <c r="J69" s="145">
        <v>4</v>
      </c>
      <c r="K69" s="152" t="s">
        <v>432</v>
      </c>
      <c r="L69" s="173">
        <v>10</v>
      </c>
      <c r="M69" s="175">
        <v>1500</v>
      </c>
      <c r="N69" s="154">
        <f t="shared" si="1"/>
        <v>6.58</v>
      </c>
      <c r="O69" s="154">
        <f t="shared" si="2"/>
        <v>0.75</v>
      </c>
      <c r="P69" s="154">
        <f t="shared" si="3"/>
        <v>3.57</v>
      </c>
      <c r="Q69" s="154">
        <f t="shared" si="4"/>
        <v>7.37</v>
      </c>
      <c r="R69" s="154">
        <f t="shared" si="5"/>
        <v>7.37</v>
      </c>
      <c r="S69" s="154">
        <f t="shared" si="6"/>
        <v>66.67</v>
      </c>
      <c r="T69" s="154">
        <f t="shared" si="7"/>
        <v>17.399999999999999</v>
      </c>
      <c r="U69" s="154">
        <f t="shared" si="8"/>
        <v>5</v>
      </c>
      <c r="V69" s="155" cm="1">
        <f t="array" ref="V69">IFERROR(SUMPRODUCT($N69:$U69, TRANSPOSE($L$81:$L$88)), "NN")</f>
        <v>12.987</v>
      </c>
      <c r="W69" s="156">
        <f>IFERROR(C69/'S10 Mat. Cost per Strength'!$B$1, "NN")</f>
        <v>100</v>
      </c>
      <c r="X69" s="157">
        <f t="shared" si="9"/>
        <v>0.57499999999999996</v>
      </c>
      <c r="Y69" s="3">
        <f t="shared" si="12"/>
        <v>15</v>
      </c>
      <c r="Z69" s="8">
        <f t="shared" si="10"/>
        <v>8.5999999999999993E-2</v>
      </c>
      <c r="AA69" s="145">
        <f t="shared" si="13"/>
        <v>8.6</v>
      </c>
      <c r="AB69" s="158">
        <f t="shared" si="14"/>
        <v>152</v>
      </c>
      <c r="AC69" s="159">
        <f t="shared" si="15"/>
        <v>5</v>
      </c>
      <c r="AD69" s="168">
        <f t="shared" si="11"/>
        <v>0.14199999999999999</v>
      </c>
      <c r="AE69" s="145">
        <f t="shared" si="16"/>
        <v>14.2</v>
      </c>
      <c r="AF69" s="169">
        <f t="shared" si="17"/>
        <v>91</v>
      </c>
      <c r="AG69" s="163">
        <f t="shared" si="18"/>
        <v>9</v>
      </c>
      <c r="AH69" s="164">
        <f t="shared" si="19"/>
        <v>9.69</v>
      </c>
      <c r="AI69" s="165">
        <f t="shared" si="20"/>
        <v>9</v>
      </c>
    </row>
    <row r="70" spans="1:35">
      <c r="A70" s="521"/>
      <c r="B70" s="193" t="s">
        <v>433</v>
      </c>
      <c r="C70" s="148">
        <f>(1.89+16.76)/2</f>
        <v>9.3250000000000011</v>
      </c>
      <c r="D70" s="145">
        <v>7</v>
      </c>
      <c r="E70" s="150">
        <f>(0.109+0.398)/2</f>
        <v>0.2535</v>
      </c>
      <c r="F70" s="150">
        <f>+(0.4+1.091)/2</f>
        <v>0.74550000000000005</v>
      </c>
      <c r="G70" s="151">
        <f t="shared" si="0"/>
        <v>0.74550000000000005</v>
      </c>
      <c r="H70" s="145">
        <v>67</v>
      </c>
      <c r="I70" s="145" t="s">
        <v>389</v>
      </c>
      <c r="J70" s="145">
        <v>4</v>
      </c>
      <c r="K70" s="145">
        <v>15</v>
      </c>
      <c r="L70" s="181">
        <v>10</v>
      </c>
      <c r="M70" s="175">
        <v>1200</v>
      </c>
      <c r="N70" s="154">
        <f t="shared" si="1"/>
        <v>0.25</v>
      </c>
      <c r="O70" s="154">
        <f t="shared" si="2"/>
        <v>0.12</v>
      </c>
      <c r="P70" s="154">
        <f t="shared" si="3"/>
        <v>7.0000000000000007E-2</v>
      </c>
      <c r="Q70" s="154">
        <f t="shared" si="4"/>
        <v>9.56</v>
      </c>
      <c r="R70" s="154">
        <f t="shared" si="5"/>
        <v>9.56</v>
      </c>
      <c r="S70" s="154">
        <f t="shared" si="6"/>
        <v>66.67</v>
      </c>
      <c r="T70" s="154">
        <f t="shared" si="7"/>
        <v>4.29</v>
      </c>
      <c r="U70" s="154">
        <f t="shared" si="8"/>
        <v>5</v>
      </c>
      <c r="V70" s="155" cm="1">
        <f t="array" ref="V70">IFERROR(SUMPRODUCT($N70:$U70, TRANSPOSE($L$81:$L$88)), "NN")</f>
        <v>11.632625000000001</v>
      </c>
      <c r="W70" s="156">
        <f>IFERROR(C70/'S10 Mat. Cost per Strength'!$B$1, "NN")</f>
        <v>3.7300000000000004</v>
      </c>
      <c r="X70" s="157">
        <f t="shared" si="9"/>
        <v>0.74550000000000005</v>
      </c>
      <c r="Y70" s="3">
        <f t="shared" si="12"/>
        <v>12</v>
      </c>
      <c r="Z70" s="8">
        <f t="shared" si="10"/>
        <v>2.3980000000000001</v>
      </c>
      <c r="AA70" s="145">
        <f t="shared" si="13"/>
        <v>239.8</v>
      </c>
      <c r="AB70" s="158">
        <f t="shared" si="14"/>
        <v>5</v>
      </c>
      <c r="AC70" s="159">
        <f t="shared" si="15"/>
        <v>34</v>
      </c>
      <c r="AD70" s="168">
        <f t="shared" si="11"/>
        <v>0.59599999999999997</v>
      </c>
      <c r="AE70" s="145">
        <f t="shared" si="16"/>
        <v>59.599999999999994</v>
      </c>
      <c r="AF70" s="169">
        <f t="shared" si="17"/>
        <v>20</v>
      </c>
      <c r="AG70" s="163">
        <f t="shared" si="18"/>
        <v>18</v>
      </c>
      <c r="AH70" s="164">
        <f t="shared" si="19"/>
        <v>18.7</v>
      </c>
      <c r="AI70" s="165">
        <f t="shared" si="20"/>
        <v>18</v>
      </c>
    </row>
    <row r="71" spans="1:35">
      <c r="A71" s="521"/>
      <c r="B71" s="193" t="s">
        <v>434</v>
      </c>
      <c r="C71" s="148">
        <v>125.4</v>
      </c>
      <c r="D71" s="145">
        <v>10</v>
      </c>
      <c r="E71" s="150">
        <f>13280.57/1000</f>
        <v>13.280569999999999</v>
      </c>
      <c r="F71" s="150">
        <v>0.65</v>
      </c>
      <c r="G71" s="151">
        <f t="shared" si="0"/>
        <v>0.65</v>
      </c>
      <c r="H71" s="173">
        <v>75</v>
      </c>
      <c r="I71" s="145" t="s">
        <v>389</v>
      </c>
      <c r="J71" s="145">
        <v>4</v>
      </c>
      <c r="K71" s="173">
        <v>12.5</v>
      </c>
      <c r="L71" s="173">
        <v>10</v>
      </c>
      <c r="M71" s="175">
        <v>200</v>
      </c>
      <c r="N71" s="154">
        <f t="shared" si="1"/>
        <v>3.3</v>
      </c>
      <c r="O71" s="154">
        <f t="shared" si="2"/>
        <v>0.17</v>
      </c>
      <c r="P71" s="154">
        <f t="shared" si="3"/>
        <v>3.79</v>
      </c>
      <c r="Q71" s="154">
        <f t="shared" si="4"/>
        <v>8.33</v>
      </c>
      <c r="R71" s="154">
        <f t="shared" si="5"/>
        <v>8.33</v>
      </c>
      <c r="S71" s="154">
        <f t="shared" si="6"/>
        <v>66.67</v>
      </c>
      <c r="T71" s="154">
        <f t="shared" si="7"/>
        <v>3.57</v>
      </c>
      <c r="U71" s="154">
        <f t="shared" si="8"/>
        <v>5</v>
      </c>
      <c r="V71" s="155" cm="1">
        <f t="array" ref="V71">IFERROR(SUMPRODUCT($N71:$U71, TRANSPOSE($L$81:$L$88)), "NN")</f>
        <v>12.509125000000001</v>
      </c>
      <c r="W71" s="156">
        <f>IFERROR(C71/'S10 Mat. Cost per Strength'!$B$1, "NN")</f>
        <v>50.160000000000004</v>
      </c>
      <c r="X71" s="157">
        <f t="shared" si="9"/>
        <v>0.65</v>
      </c>
      <c r="Y71" s="3">
        <f t="shared" si="12"/>
        <v>2</v>
      </c>
      <c r="Z71" s="8">
        <f t="shared" si="10"/>
        <v>2.5999999999999999E-2</v>
      </c>
      <c r="AA71" s="145">
        <f t="shared" si="13"/>
        <v>2.6</v>
      </c>
      <c r="AB71" s="158">
        <f t="shared" si="14"/>
        <v>482</v>
      </c>
      <c r="AC71" s="159">
        <f t="shared" si="15"/>
        <v>2</v>
      </c>
      <c r="AD71" s="168">
        <f t="shared" si="11"/>
        <v>0.104</v>
      </c>
      <c r="AE71" s="145">
        <f t="shared" si="16"/>
        <v>10.4</v>
      </c>
      <c r="AF71" s="169">
        <f t="shared" si="17"/>
        <v>120</v>
      </c>
      <c r="AG71" s="163">
        <f t="shared" si="18"/>
        <v>6</v>
      </c>
      <c r="AH71" s="164">
        <f t="shared" si="19"/>
        <v>6.71</v>
      </c>
      <c r="AI71" s="165">
        <f t="shared" si="20"/>
        <v>6</v>
      </c>
    </row>
    <row r="72" spans="1:35">
      <c r="A72" s="521"/>
      <c r="B72" s="193" t="s">
        <v>435</v>
      </c>
      <c r="C72" s="183">
        <v>441</v>
      </c>
      <c r="D72" s="145">
        <v>129</v>
      </c>
      <c r="E72" s="184">
        <v>359</v>
      </c>
      <c r="F72" s="184">
        <v>800</v>
      </c>
      <c r="G72" s="151">
        <f t="shared" si="0"/>
        <v>800</v>
      </c>
      <c r="H72" s="145">
        <v>72.33</v>
      </c>
      <c r="I72" s="145" t="s">
        <v>389</v>
      </c>
      <c r="J72" s="145">
        <v>4</v>
      </c>
      <c r="K72" s="181">
        <v>12.5</v>
      </c>
      <c r="L72" s="145">
        <v>7</v>
      </c>
      <c r="M72" s="175">
        <v>3300</v>
      </c>
      <c r="N72" s="154">
        <f t="shared" si="1"/>
        <v>11.61</v>
      </c>
      <c r="O72" s="154">
        <f t="shared" si="2"/>
        <v>2.2400000000000002</v>
      </c>
      <c r="P72" s="154">
        <f t="shared" si="3"/>
        <v>102.57</v>
      </c>
      <c r="Q72" s="154">
        <f t="shared" si="4"/>
        <v>10256.41</v>
      </c>
      <c r="R72" s="154">
        <f t="shared" si="5"/>
        <v>10256.41</v>
      </c>
      <c r="S72" s="154">
        <f t="shared" si="6"/>
        <v>66.67</v>
      </c>
      <c r="T72" s="154">
        <f t="shared" si="7"/>
        <v>3.57</v>
      </c>
      <c r="U72" s="154">
        <f t="shared" si="8"/>
        <v>3.5</v>
      </c>
      <c r="V72" s="155" cm="1">
        <f t="array" ref="V72">IFERROR(SUMPRODUCT($N72:$U72, TRANSPOSE($L$81:$L$88)), "NN")</f>
        <v>3364.6371249999997</v>
      </c>
      <c r="W72" s="156">
        <f>IFERROR(C72/'S10 Mat. Cost per Strength'!$B$1, "NN")</f>
        <v>176.4</v>
      </c>
      <c r="X72" s="157">
        <f t="shared" si="9"/>
        <v>800</v>
      </c>
      <c r="Y72" s="3">
        <f t="shared" si="12"/>
        <v>33</v>
      </c>
      <c r="Z72" s="8">
        <f t="shared" si="10"/>
        <v>149.66</v>
      </c>
      <c r="AA72" s="145">
        <f t="shared" si="13"/>
        <v>14966</v>
      </c>
      <c r="AB72" s="158">
        <f t="shared" si="14"/>
        <v>23</v>
      </c>
      <c r="AC72" s="159">
        <f t="shared" si="15"/>
        <v>15</v>
      </c>
      <c r="AD72" s="168">
        <f t="shared" si="11"/>
        <v>2112</v>
      </c>
      <c r="AE72" s="145">
        <f t="shared" si="16"/>
        <v>211200</v>
      </c>
      <c r="AF72" s="169">
        <f t="shared" si="17"/>
        <v>2</v>
      </c>
      <c r="AG72" s="163">
        <f t="shared" si="18"/>
        <v>31</v>
      </c>
      <c r="AH72" s="164">
        <f t="shared" si="19"/>
        <v>31.72</v>
      </c>
      <c r="AI72" s="165">
        <f t="shared" si="20"/>
        <v>35</v>
      </c>
    </row>
    <row r="73" spans="1:35" ht="16" thickBot="1">
      <c r="A73" s="521"/>
      <c r="B73" s="194" t="s">
        <v>436</v>
      </c>
      <c r="C73" s="195">
        <v>1.48</v>
      </c>
      <c r="D73" s="196">
        <v>0</v>
      </c>
      <c r="E73" s="197">
        <v>0</v>
      </c>
      <c r="F73" s="197">
        <v>0.69</v>
      </c>
      <c r="G73" s="151">
        <f t="shared" si="0"/>
        <v>0.69</v>
      </c>
      <c r="H73" s="145">
        <v>0</v>
      </c>
      <c r="I73" s="145" t="s">
        <v>437</v>
      </c>
      <c r="J73" s="145">
        <v>1</v>
      </c>
      <c r="K73" s="198">
        <v>12.5</v>
      </c>
      <c r="L73" s="199">
        <v>10</v>
      </c>
      <c r="M73" s="200">
        <v>100</v>
      </c>
      <c r="N73" s="154">
        <f t="shared" si="1"/>
        <v>0.04</v>
      </c>
      <c r="O73" s="154">
        <f t="shared" si="2"/>
        <v>0</v>
      </c>
      <c r="P73" s="154">
        <f t="shared" si="3"/>
        <v>0</v>
      </c>
      <c r="Q73" s="154">
        <f t="shared" si="4"/>
        <v>8.85</v>
      </c>
      <c r="R73" s="154">
        <f t="shared" si="5"/>
        <v>8.85</v>
      </c>
      <c r="S73" s="154">
        <f t="shared" si="6"/>
        <v>16.670000000000002</v>
      </c>
      <c r="T73" s="154">
        <f t="shared" si="7"/>
        <v>3.57</v>
      </c>
      <c r="U73" s="154">
        <f t="shared" si="8"/>
        <v>5</v>
      </c>
      <c r="V73" s="155" cm="1">
        <f t="array" ref="V73">IFERROR(SUMPRODUCT($N73:$U73, TRANSPOSE($L$81:$L$88)), "NN")</f>
        <v>5.0741249999999996</v>
      </c>
      <c r="W73" s="156">
        <f>IFERROR(C73/'S10 Mat. Cost per Strength'!$B$1, "NN")</f>
        <v>0.59199999999999997</v>
      </c>
      <c r="X73" s="201">
        <f t="shared" si="9"/>
        <v>0.69</v>
      </c>
      <c r="Y73" s="3">
        <f t="shared" si="12"/>
        <v>1</v>
      </c>
      <c r="Z73" s="202">
        <f t="shared" si="10"/>
        <v>1.1659999999999999</v>
      </c>
      <c r="AA73" s="196">
        <f t="shared" si="13"/>
        <v>116.6</v>
      </c>
      <c r="AB73" s="203">
        <f t="shared" si="14"/>
        <v>5</v>
      </c>
      <c r="AC73" s="159">
        <f t="shared" si="15"/>
        <v>34</v>
      </c>
      <c r="AD73" s="204">
        <f t="shared" si="11"/>
        <v>5.5E-2</v>
      </c>
      <c r="AE73" s="196">
        <f t="shared" si="16"/>
        <v>5.5</v>
      </c>
      <c r="AF73" s="205">
        <f t="shared" si="17"/>
        <v>92</v>
      </c>
      <c r="AG73" s="163">
        <f t="shared" si="18"/>
        <v>8</v>
      </c>
      <c r="AH73" s="164">
        <f t="shared" si="19"/>
        <v>8.73</v>
      </c>
      <c r="AI73" s="165">
        <f t="shared" si="20"/>
        <v>8</v>
      </c>
    </row>
    <row r="74" spans="1:35" ht="16" thickBot="1">
      <c r="A74" s="230"/>
      <c r="B74" s="228" t="s">
        <v>438</v>
      </c>
      <c r="C74" s="206">
        <v>0.55000000000000004</v>
      </c>
      <c r="D74" s="207">
        <v>0</v>
      </c>
      <c r="E74" s="206">
        <v>5</v>
      </c>
      <c r="F74" s="206">
        <v>0.5</v>
      </c>
      <c r="G74" s="151">
        <f t="shared" si="0"/>
        <v>0.5</v>
      </c>
      <c r="H74" s="208">
        <v>0</v>
      </c>
      <c r="I74" s="145" t="s">
        <v>437</v>
      </c>
      <c r="J74" s="209">
        <v>1</v>
      </c>
      <c r="K74" s="3">
        <v>5</v>
      </c>
      <c r="L74" s="3">
        <v>2</v>
      </c>
      <c r="M74" s="200">
        <v>100</v>
      </c>
      <c r="N74" s="210">
        <f t="shared" si="1"/>
        <v>0.01</v>
      </c>
      <c r="O74" s="154">
        <f t="shared" si="2"/>
        <v>0</v>
      </c>
      <c r="P74" s="154">
        <f t="shared" si="3"/>
        <v>1.43</v>
      </c>
      <c r="Q74" s="210">
        <f t="shared" si="4"/>
        <v>6.41</v>
      </c>
      <c r="R74" s="211">
        <f t="shared" si="5"/>
        <v>6.41</v>
      </c>
      <c r="S74" s="154">
        <f t="shared" si="6"/>
        <v>16.670000000000002</v>
      </c>
      <c r="T74" s="154">
        <f t="shared" si="7"/>
        <v>1.43</v>
      </c>
      <c r="U74" s="154">
        <f t="shared" si="8"/>
        <v>1</v>
      </c>
      <c r="V74" s="155" cm="1">
        <f t="array" ref="V74">IFERROR(SUMPRODUCT($N74:$U74, TRANSPOSE($L$81:$L$88)), "NN")</f>
        <v>4.4851250000000009</v>
      </c>
      <c r="W74" s="156">
        <f>IFERROR(C74/'S10 Mat. Cost per Strength'!$B$1, "NN")</f>
        <v>0.22000000000000003</v>
      </c>
      <c r="X74" s="212">
        <f t="shared" si="9"/>
        <v>0.5</v>
      </c>
      <c r="Y74" s="3">
        <f t="shared" si="12"/>
        <v>1</v>
      </c>
      <c r="Z74" s="202">
        <f t="shared" si="10"/>
        <v>2.2730000000000001</v>
      </c>
      <c r="AA74" s="196">
        <f t="shared" si="13"/>
        <v>227.3</v>
      </c>
      <c r="AB74" s="203">
        <f t="shared" si="14"/>
        <v>2</v>
      </c>
      <c r="AC74" s="159">
        <f t="shared" si="15"/>
        <v>37</v>
      </c>
      <c r="AD74" s="204">
        <f t="shared" si="11"/>
        <v>0.1</v>
      </c>
      <c r="AE74" s="196">
        <f t="shared" si="16"/>
        <v>10</v>
      </c>
      <c r="AF74" s="205">
        <f t="shared" si="17"/>
        <v>45</v>
      </c>
      <c r="AG74" s="163">
        <f t="shared" si="18"/>
        <v>15</v>
      </c>
      <c r="AH74" s="164">
        <f t="shared" si="19"/>
        <v>15.74</v>
      </c>
      <c r="AI74" s="165">
        <f t="shared" si="20"/>
        <v>15</v>
      </c>
    </row>
    <row r="79" spans="1:35">
      <c r="A79" s="213" t="s">
        <v>439</v>
      </c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5"/>
    </row>
    <row r="80" spans="1:35">
      <c r="A80" s="216"/>
      <c r="B80" s="217" t="s">
        <v>288</v>
      </c>
      <c r="C80" s="217" t="s">
        <v>347</v>
      </c>
      <c r="D80" s="217" t="s">
        <v>290</v>
      </c>
      <c r="E80" s="217" t="s">
        <v>292</v>
      </c>
      <c r="F80" s="217" t="s">
        <v>293</v>
      </c>
      <c r="G80" s="217" t="s">
        <v>348</v>
      </c>
      <c r="H80" s="217" t="s">
        <v>440</v>
      </c>
      <c r="I80" s="217" t="s">
        <v>441</v>
      </c>
      <c r="J80" s="218" t="s">
        <v>171</v>
      </c>
      <c r="K80" s="218" t="s">
        <v>172</v>
      </c>
      <c r="L80" s="218" t="s">
        <v>173</v>
      </c>
    </row>
    <row r="81" spans="1:16">
      <c r="A81" s="219" t="s">
        <v>288</v>
      </c>
      <c r="B81" s="220"/>
      <c r="C81" s="152">
        <v>1</v>
      </c>
      <c r="D81" s="152">
        <v>3</v>
      </c>
      <c r="E81" s="152">
        <v>0</v>
      </c>
      <c r="F81" s="152">
        <v>0</v>
      </c>
      <c r="G81" s="152">
        <v>0</v>
      </c>
      <c r="H81" s="152">
        <v>0</v>
      </c>
      <c r="I81" s="152">
        <v>0</v>
      </c>
      <c r="J81" s="152">
        <f>SUM(B81:I81)</f>
        <v>4</v>
      </c>
      <c r="K81" s="152">
        <f>J81+ROUNDUP(ABS(MIN($J$81:$J$88)),-1)</f>
        <v>14</v>
      </c>
      <c r="L81" s="221">
        <f>K81/SUM($K$81:$K$88)</f>
        <v>0.17499999999999999</v>
      </c>
      <c r="O81" s="145">
        <v>9</v>
      </c>
      <c r="P81" s="145" t="s">
        <v>442</v>
      </c>
    </row>
    <row r="82" spans="1:16">
      <c r="A82" s="219" t="s">
        <v>347</v>
      </c>
      <c r="B82" s="222" cm="1">
        <f t="array" ref="B82:B88">TRANSPOSE(C81:I81)*-1</f>
        <v>-1</v>
      </c>
      <c r="C82" s="220"/>
      <c r="D82" s="152">
        <v>0</v>
      </c>
      <c r="E82" s="152">
        <v>3</v>
      </c>
      <c r="F82" s="152">
        <v>0</v>
      </c>
      <c r="G82" s="152">
        <v>0</v>
      </c>
      <c r="H82" s="152">
        <v>0</v>
      </c>
      <c r="I82" s="152">
        <v>0</v>
      </c>
      <c r="J82" s="152">
        <f t="shared" ref="J82:J88" si="21">SUM(B82:I82)</f>
        <v>2</v>
      </c>
      <c r="K82" s="152">
        <f t="shared" ref="K82:K88" si="22">J82+ROUNDUP(ABS(MIN($J$81:$J$88)),-1)</f>
        <v>12</v>
      </c>
      <c r="L82" s="221">
        <f t="shared" ref="L82:L88" si="23">K82/SUM($K$81:$K$88)</f>
        <v>0.15</v>
      </c>
      <c r="O82" s="161">
        <v>3</v>
      </c>
      <c r="P82" s="161" t="s">
        <v>443</v>
      </c>
    </row>
    <row r="83" spans="1:16">
      <c r="A83" s="219" t="s">
        <v>290</v>
      </c>
      <c r="B83" s="222">
        <v>-3</v>
      </c>
      <c r="C83" s="222" cm="1">
        <f t="array" ref="C83:C88">TRANSPOSE(D82:I82)*-1</f>
        <v>0</v>
      </c>
      <c r="D83" s="220"/>
      <c r="E83" s="152">
        <v>0</v>
      </c>
      <c r="F83" s="152">
        <v>0</v>
      </c>
      <c r="G83" s="152">
        <v>9</v>
      </c>
      <c r="H83" s="152">
        <v>0</v>
      </c>
      <c r="I83" s="152">
        <v>0</v>
      </c>
      <c r="J83" s="152">
        <f t="shared" si="21"/>
        <v>6</v>
      </c>
      <c r="K83" s="152">
        <f t="shared" si="22"/>
        <v>16</v>
      </c>
      <c r="L83" s="221">
        <f t="shared" si="23"/>
        <v>0.2</v>
      </c>
      <c r="O83" s="145">
        <v>1</v>
      </c>
      <c r="P83" s="145" t="s">
        <v>444</v>
      </c>
    </row>
    <row r="84" spans="1:16">
      <c r="A84" s="219" t="s">
        <v>292</v>
      </c>
      <c r="B84" s="222">
        <v>0</v>
      </c>
      <c r="C84" s="222">
        <v>-3</v>
      </c>
      <c r="D84" s="222" cm="1">
        <f t="array" ref="D84:D88">TRANSPOSE(E83:I83)*-1</f>
        <v>0</v>
      </c>
      <c r="E84" s="220"/>
      <c r="F84" s="152">
        <v>0</v>
      </c>
      <c r="G84" s="152">
        <v>0</v>
      </c>
      <c r="H84" s="152">
        <v>0</v>
      </c>
      <c r="I84" s="152">
        <v>0</v>
      </c>
      <c r="J84" s="152">
        <f t="shared" si="21"/>
        <v>-3</v>
      </c>
      <c r="K84" s="152">
        <f t="shared" si="22"/>
        <v>7</v>
      </c>
      <c r="L84" s="221">
        <f t="shared" si="23"/>
        <v>8.7499999999999994E-2</v>
      </c>
      <c r="O84" s="145">
        <v>0</v>
      </c>
      <c r="P84" s="145" t="s">
        <v>274</v>
      </c>
    </row>
    <row r="85" spans="1:16">
      <c r="A85" s="219" t="s">
        <v>293</v>
      </c>
      <c r="B85" s="222">
        <v>0</v>
      </c>
      <c r="C85" s="222">
        <v>0</v>
      </c>
      <c r="D85" s="222">
        <v>0</v>
      </c>
      <c r="E85" s="224" cm="1">
        <f t="array" ref="E85:E88">TRANSPOSE(F84:I84)*(-1)</f>
        <v>0</v>
      </c>
      <c r="F85" s="225"/>
      <c r="G85" s="152">
        <v>0</v>
      </c>
      <c r="H85" s="152">
        <v>9</v>
      </c>
      <c r="I85" s="152">
        <v>0</v>
      </c>
      <c r="J85" s="152">
        <f t="shared" si="21"/>
        <v>9</v>
      </c>
      <c r="K85" s="152">
        <f t="shared" si="22"/>
        <v>19</v>
      </c>
      <c r="L85" s="221">
        <f t="shared" si="23"/>
        <v>0.23749999999999999</v>
      </c>
      <c r="O85" s="145">
        <v>-1</v>
      </c>
      <c r="P85" s="145" t="s">
        <v>445</v>
      </c>
    </row>
    <row r="86" spans="1:16">
      <c r="A86" s="219" t="s">
        <v>348</v>
      </c>
      <c r="B86" s="222">
        <v>0</v>
      </c>
      <c r="C86" s="222">
        <v>0</v>
      </c>
      <c r="D86" s="222">
        <v>-9</v>
      </c>
      <c r="E86" s="224">
        <v>0</v>
      </c>
      <c r="F86" s="224" cm="1">
        <f t="array" ref="F86:F88">TRANSPOSE(G85:I85)*(-1)</f>
        <v>0</v>
      </c>
      <c r="G86" s="225"/>
      <c r="H86" s="152">
        <v>0</v>
      </c>
      <c r="I86" s="152">
        <v>9</v>
      </c>
      <c r="J86" s="152">
        <f t="shared" si="21"/>
        <v>0</v>
      </c>
      <c r="K86" s="152">
        <f t="shared" si="22"/>
        <v>10</v>
      </c>
      <c r="L86" s="221">
        <f t="shared" si="23"/>
        <v>0.125</v>
      </c>
      <c r="O86" s="145">
        <v>-3</v>
      </c>
      <c r="P86" s="145" t="s">
        <v>446</v>
      </c>
    </row>
    <row r="87" spans="1:16">
      <c r="A87" s="145" t="s">
        <v>440</v>
      </c>
      <c r="B87" s="223">
        <v>0</v>
      </c>
      <c r="C87" s="223">
        <v>0</v>
      </c>
      <c r="D87" s="223">
        <v>0</v>
      </c>
      <c r="E87" s="223">
        <v>0</v>
      </c>
      <c r="F87" s="223">
        <v>-9</v>
      </c>
      <c r="G87" s="223" cm="1">
        <f t="array" ref="G87:G88">TRANSPOSE(H86:I86)*(-1)</f>
        <v>0</v>
      </c>
      <c r="H87" s="226"/>
      <c r="I87" s="145">
        <v>0</v>
      </c>
      <c r="J87" s="152">
        <f t="shared" si="21"/>
        <v>-9</v>
      </c>
      <c r="K87" s="152">
        <f t="shared" si="22"/>
        <v>1</v>
      </c>
      <c r="L87" s="221">
        <f t="shared" si="23"/>
        <v>1.2500000000000001E-2</v>
      </c>
      <c r="O87" s="145">
        <v>-9</v>
      </c>
      <c r="P87" s="145" t="s">
        <v>447</v>
      </c>
    </row>
    <row r="88" spans="1:16">
      <c r="A88" s="145" t="s">
        <v>441</v>
      </c>
      <c r="B88" s="223">
        <v>0</v>
      </c>
      <c r="C88" s="223">
        <v>0</v>
      </c>
      <c r="D88" s="223">
        <v>0</v>
      </c>
      <c r="E88" s="223">
        <v>0</v>
      </c>
      <c r="F88" s="223">
        <v>0</v>
      </c>
      <c r="G88" s="223">
        <v>-9</v>
      </c>
      <c r="H88" s="223">
        <f>I87*(-1)</f>
        <v>0</v>
      </c>
      <c r="I88" s="226"/>
      <c r="J88" s="152">
        <f t="shared" si="21"/>
        <v>-9</v>
      </c>
      <c r="K88" s="152">
        <f t="shared" si="22"/>
        <v>1</v>
      </c>
      <c r="L88" s="221">
        <f t="shared" si="23"/>
        <v>1.2500000000000001E-2</v>
      </c>
    </row>
  </sheetData>
  <mergeCells count="12">
    <mergeCell ref="A69:A73"/>
    <mergeCell ref="N32:V32"/>
    <mergeCell ref="AD32:AI32"/>
    <mergeCell ref="A33:A34"/>
    <mergeCell ref="B33:B34"/>
    <mergeCell ref="H33:J33"/>
    <mergeCell ref="AG33:AI33"/>
    <mergeCell ref="A49:A50"/>
    <mergeCell ref="A51:A54"/>
    <mergeCell ref="A55:A57"/>
    <mergeCell ref="A58:A62"/>
    <mergeCell ref="A63:A68"/>
  </mergeCells>
  <conditionalFormatting sqref="C35:C7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5:D7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5:E7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:F7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5:M74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5:AC74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5:N74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5:O74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7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5:V7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5:W7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5:X74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5:Y74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5:Z74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35:AA74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5:AC7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5:AC74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35:AC7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5:AC7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35:G74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5:H74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5:H7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5:J7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5:L73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5:S7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35:S7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5:R7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5:R7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5:T74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35:T7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5:U74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35:U7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7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35:Q7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5:U73 P35:P74 S74:U74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5:AD7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35:AE7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5:AF7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35:AG7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35:AI7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disablePrompts="1" count="1">
    <dataValidation type="list" allowBlank="1" showInputMessage="1" showErrorMessage="1" sqref="B81:I88" xr:uid="{23CC23DC-ECB0-7B4D-B0FE-2E3FFAB92690}">
      <formula1>$O$81:$O$87</formula1>
    </dataValidation>
  </dataValidations>
  <pageMargins left="0.7" right="0.7" top="0.75" bottom="0.75" header="0.3" footer="0.3"/>
  <pageSetup paperSize="9" orientation="portrait" horizontalDpi="0" verticalDpi="0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8DBE1-D2DD-974A-A74A-7C66284D36AD}">
  <sheetPr codeName="Sheet17"/>
  <dimension ref="A1:I8"/>
  <sheetViews>
    <sheetView zoomScale="150" workbookViewId="0">
      <selection activeCell="I2" sqref="I2:I6"/>
    </sheetView>
  </sheetViews>
  <sheetFormatPr defaultColWidth="10.83203125" defaultRowHeight="15.5"/>
  <cols>
    <col min="1" max="1" width="25.1640625" style="117" bestFit="1" customWidth="1"/>
    <col min="2" max="2" width="23.5" style="117" bestFit="1" customWidth="1"/>
    <col min="3" max="3" width="21.1640625" style="117" bestFit="1" customWidth="1"/>
    <col min="4" max="4" width="24.5" style="117" bestFit="1" customWidth="1"/>
    <col min="5" max="5" width="25.1640625" style="117" bestFit="1" customWidth="1"/>
    <col min="6" max="6" width="22" style="117" bestFit="1" customWidth="1"/>
    <col min="7" max="7" width="8.33203125" style="117" customWidth="1"/>
    <col min="8" max="8" width="12" style="117" bestFit="1" customWidth="1"/>
    <col min="9" max="9" width="16.83203125" style="117" bestFit="1" customWidth="1"/>
    <col min="10" max="16384" width="10.83203125" style="117"/>
  </cols>
  <sheetData>
    <row r="1" spans="1:9">
      <c r="A1" s="116"/>
      <c r="B1" s="116" t="str">
        <f>'S07 Material Properties'!B1</f>
        <v>Tensile Strength</v>
      </c>
      <c r="C1" s="116" t="str">
        <f>'S07 Material Properties'!C1</f>
        <v>Yield Strength</v>
      </c>
      <c r="D1" s="116" t="str">
        <f>'S07 Material Properties'!D1</f>
        <v xml:space="preserve">Young’s Modulus </v>
      </c>
      <c r="E1" s="116" t="str">
        <f>'S07 Material Properties'!E1</f>
        <v xml:space="preserve">Toughness  </v>
      </c>
      <c r="F1" s="116" t="str">
        <f>'S07 Material Properties'!F1</f>
        <v xml:space="preserve">Density </v>
      </c>
      <c r="G1" s="116" t="s">
        <v>171</v>
      </c>
      <c r="H1" s="116" t="s">
        <v>172</v>
      </c>
      <c r="I1" s="116" t="s">
        <v>173</v>
      </c>
    </row>
    <row r="2" spans="1:9">
      <c r="A2" s="118" t="str">
        <f t="array" ref="A2:A6">TRANSPOSE(B1:F1)</f>
        <v>Tensile Strength</v>
      </c>
      <c r="B2" s="119"/>
      <c r="C2" s="120">
        <v>1</v>
      </c>
      <c r="D2" s="120">
        <v>-1</v>
      </c>
      <c r="E2" s="120">
        <v>4</v>
      </c>
      <c r="F2" s="120">
        <v>1</v>
      </c>
      <c r="G2" s="120">
        <f>SUM(B2:F2)</f>
        <v>5</v>
      </c>
      <c r="H2" s="120" cm="1">
        <f t="array" ref="H2">G2+ROUNDUP(MAX(ABS($G$2:$G$6)),-1)</f>
        <v>15</v>
      </c>
      <c r="I2" s="121">
        <f>H2/SUM($H$2:$H$6)</f>
        <v>0.3</v>
      </c>
    </row>
    <row r="3" spans="1:9">
      <c r="A3" s="118" t="str">
        <v>Yield Strength</v>
      </c>
      <c r="B3" s="250">
        <f t="array" ref="B3:B6">TRANSPOSE(C2:F2)*(-1)</f>
        <v>-1</v>
      </c>
      <c r="C3" s="251"/>
      <c r="D3" s="120">
        <v>-2</v>
      </c>
      <c r="E3" s="120">
        <v>2</v>
      </c>
      <c r="F3" s="120">
        <v>3</v>
      </c>
      <c r="G3" s="120">
        <f>SUM(B3:F3)</f>
        <v>2</v>
      </c>
      <c r="H3" s="120" cm="1">
        <f t="array" ref="H3">G3+ROUNDUP(MAX(ABS($G$2:$G$6)),-1)</f>
        <v>12</v>
      </c>
      <c r="I3" s="121">
        <f>H3/SUM($H$2:$H$6)</f>
        <v>0.24</v>
      </c>
    </row>
    <row r="4" spans="1:9">
      <c r="A4" s="118" t="str">
        <v xml:space="preserve">Young’s Modulus </v>
      </c>
      <c r="B4" s="250">
        <v>1</v>
      </c>
      <c r="C4" s="250">
        <f t="array" ref="C4:C6">TRANSPOSE(D3:F3)*(-1)</f>
        <v>2</v>
      </c>
      <c r="D4" s="119"/>
      <c r="E4" s="120">
        <v>0</v>
      </c>
      <c r="F4" s="120">
        <v>-2</v>
      </c>
      <c r="G4" s="120">
        <f>SUM(B4:F4)</f>
        <v>1</v>
      </c>
      <c r="H4" s="120" cm="1">
        <f t="array" ref="H4">G4+ROUNDUP(MAX(ABS($G$2:$G$6)),-1)</f>
        <v>11</v>
      </c>
      <c r="I4" s="121">
        <f>H4/SUM($H$2:$H$6)</f>
        <v>0.22</v>
      </c>
    </row>
    <row r="5" spans="1:9">
      <c r="A5" s="118" t="str">
        <v xml:space="preserve">Toughness  </v>
      </c>
      <c r="B5" s="250">
        <v>-4</v>
      </c>
      <c r="C5" s="250">
        <v>-2</v>
      </c>
      <c r="D5" s="250" cm="1">
        <f t="array" ref="D5:D6">TRANSPOSE(E4:F4)*(-1)</f>
        <v>0</v>
      </c>
      <c r="E5" s="251"/>
      <c r="F5" s="120">
        <v>0</v>
      </c>
      <c r="G5" s="120">
        <f>SUM(B5:F5)</f>
        <v>-6</v>
      </c>
      <c r="H5" s="120" cm="1">
        <f t="array" ref="H5">G5+ROUNDUP(MAX(ABS($G$2:$G$6)),-1)</f>
        <v>4</v>
      </c>
      <c r="I5" s="121">
        <f>H5/SUM($H$2:$H$6)</f>
        <v>0.08</v>
      </c>
    </row>
    <row r="6" spans="1:9">
      <c r="A6" s="118" t="str">
        <v xml:space="preserve">Density </v>
      </c>
      <c r="B6" s="250">
        <v>-1</v>
      </c>
      <c r="C6" s="250">
        <v>-3</v>
      </c>
      <c r="D6" s="250">
        <v>2</v>
      </c>
      <c r="E6" s="250" cm="1">
        <f t="array" ref="E6">TRANSPOSE(F5)*(-1)</f>
        <v>0</v>
      </c>
      <c r="F6" s="119"/>
      <c r="G6" s="120">
        <f>SUM(B6:F6)</f>
        <v>-2</v>
      </c>
      <c r="H6" s="120" cm="1">
        <f t="array" ref="H6">G6+ROUNDUP(MAX(ABS($G$2:$G$6)),-1)</f>
        <v>8</v>
      </c>
      <c r="I6" s="121">
        <f>H6/SUM($H$2:$H$6)</f>
        <v>0.16</v>
      </c>
    </row>
    <row r="7" spans="1:9">
      <c r="A7" s="252"/>
      <c r="B7" s="253"/>
      <c r="C7" s="253"/>
      <c r="D7" s="253"/>
      <c r="E7" s="253"/>
      <c r="F7" s="253"/>
      <c r="G7" s="122"/>
      <c r="H7" s="122"/>
      <c r="I7" s="122"/>
    </row>
    <row r="8" spans="1:9">
      <c r="B8" s="122"/>
      <c r="C8" s="122"/>
      <c r="D8" s="122"/>
      <c r="E8" s="122"/>
      <c r="F8" s="122"/>
      <c r="G8" s="12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1290B-2331-B942-B578-E4D7EC581A1E}">
  <sheetPr codeName="Sheet18"/>
  <dimension ref="A1:H8"/>
  <sheetViews>
    <sheetView zoomScale="138" workbookViewId="0">
      <selection activeCell="I15" sqref="I15"/>
    </sheetView>
  </sheetViews>
  <sheetFormatPr defaultColWidth="10.6640625" defaultRowHeight="15.5"/>
  <cols>
    <col min="1" max="1" width="20.83203125" style="65" customWidth="1"/>
    <col min="2" max="3" width="22.6640625" bestFit="1" customWidth="1"/>
    <col min="4" max="4" width="24.83203125" bestFit="1" customWidth="1"/>
    <col min="5" max="5" width="23.5" bestFit="1" customWidth="1"/>
    <col min="6" max="6" width="14.83203125" bestFit="1" customWidth="1"/>
    <col min="7" max="7" width="19.83203125" bestFit="1" customWidth="1"/>
    <col min="8" max="8" width="11.1640625" customWidth="1"/>
  </cols>
  <sheetData>
    <row r="1" spans="1:8">
      <c r="B1" s="3">
        <f>VLOOKUP(B3, 'S08 Mat. Prop. Weights'!$A$2:$I$6, 9, 0)</f>
        <v>0.3</v>
      </c>
      <c r="C1" s="3">
        <f>VLOOKUP(C3, 'S08 Mat. Prop. Weights'!$A$2:$I$6, 9, 0)</f>
        <v>0.24</v>
      </c>
      <c r="D1" s="3">
        <f>VLOOKUP(D3, 'S08 Mat. Prop. Weights'!$A$2:$I$6, 9, 0)</f>
        <v>0.22</v>
      </c>
      <c r="E1" s="3">
        <f>VLOOKUP(E3, 'S08 Mat. Prop. Weights'!$A$2:$I$6, 9, 0)</f>
        <v>0.08</v>
      </c>
      <c r="F1" s="3">
        <f>VLOOKUP(F3, 'S08 Mat. Prop. Weights'!$A$2:$I$6, 9, 0)</f>
        <v>0.16</v>
      </c>
      <c r="G1" s="3"/>
    </row>
    <row r="2" spans="1:8" s="65" customFormat="1">
      <c r="A2" s="539"/>
      <c r="B2" s="123" t="s">
        <v>331</v>
      </c>
      <c r="C2" s="123" t="s">
        <v>331</v>
      </c>
      <c r="D2" s="123" t="s">
        <v>331</v>
      </c>
      <c r="E2" s="123" t="s">
        <v>331</v>
      </c>
      <c r="F2" s="84" t="s">
        <v>331</v>
      </c>
      <c r="G2" s="541" t="s">
        <v>332</v>
      </c>
    </row>
    <row r="3" spans="1:8" s="65" customFormat="1">
      <c r="A3" s="540"/>
      <c r="B3" s="124" t="str">
        <f>'S07 Material Properties'!B1</f>
        <v>Tensile Strength</v>
      </c>
      <c r="C3" s="124" t="str">
        <f>'S07 Material Properties'!C1</f>
        <v>Yield Strength</v>
      </c>
      <c r="D3" s="124" t="str">
        <f>'S07 Material Properties'!D1</f>
        <v xml:space="preserve">Young’s Modulus </v>
      </c>
      <c r="E3" s="124" t="str">
        <f>'S07 Material Properties'!E1</f>
        <v xml:space="preserve">Toughness  </v>
      </c>
      <c r="F3" s="124" t="str">
        <f>'S07 Material Properties'!F1</f>
        <v xml:space="preserve">Density </v>
      </c>
      <c r="G3" s="542"/>
    </row>
    <row r="4" spans="1:8">
      <c r="A4" s="125" t="str">
        <f>'S07 Material Properties'!A3</f>
        <v>Steel 1020</v>
      </c>
      <c r="B4" s="255">
        <f>VLOOKUP($A4, 'S07 Material Properties'!$A$3:$H$7, COLUMN(), 0)/MAX('S07 Material Properties'!B$3:B$7)*100</f>
        <v>11.842105263157894</v>
      </c>
      <c r="C4" s="255">
        <f>VLOOKUP($A4, 'S07 Material Properties'!$A$3:$H$7, COLUMN(), 0)/MAX('S07 Material Properties'!C$3:C$7)*100</f>
        <v>19.26040061633282</v>
      </c>
      <c r="D4" s="255">
        <f>VLOOKUP($A4, 'S07 Material Properties'!$A$3:$H$7, COLUMN(), 0)/MAX('S07 Material Properties'!D$3:D$7)*100</f>
        <v>60</v>
      </c>
      <c r="E4" s="255">
        <f>VLOOKUP($A4, 'S07 Material Properties'!$A$3:$H$7, COLUMN(), 0)/MAX('S07 Material Properties'!E$3:E$7)*100</f>
        <v>10.059523809523808</v>
      </c>
      <c r="F4" s="255">
        <f>VLOOKUP($A4, 'S07 Material Properties'!$A$3:$H$7, COLUMN(), 0)/MAX('S07 Material Properties'!F$3:F$7)*100</f>
        <v>100</v>
      </c>
      <c r="G4" s="255">
        <f>SUMPRODUCT($B4:$F4, B$1:F$1)</f>
        <v>38.179889631629152</v>
      </c>
      <c r="H4" t="str">
        <f>REPT("I", G4)</f>
        <v>IIIIIIIIIIIIIIIIIIIIIIIIIIIIIIIIIIIIII</v>
      </c>
    </row>
    <row r="5" spans="1:8">
      <c r="A5" s="125" t="str">
        <f>'S07 Material Properties'!A4</f>
        <v>Aluminum AW-1200</v>
      </c>
      <c r="B5" s="255">
        <f>VLOOKUP($A5, 'S07 Material Properties'!$A$3:$H$7, COLUMN(), 0)/MAX('S07 Material Properties'!B$3:B$7)*100</f>
        <v>4.4736842105263159</v>
      </c>
      <c r="C5" s="255">
        <f>VLOOKUP($A5, 'S07 Material Properties'!$A$3:$H$7, COLUMN(), 0)/MAX('S07 Material Properties'!C$3:C$7)*100</f>
        <v>7.5500770416024654</v>
      </c>
      <c r="D5" s="255">
        <f>VLOOKUP($A5, 'S07 Material Properties'!$A$3:$H$7, COLUMN(), 0)/MAX('S07 Material Properties'!D$3:D$7)*100</f>
        <v>20</v>
      </c>
      <c r="E5" s="255">
        <f>VLOOKUP($A5, 'S07 Material Properties'!$A$3:$H$7, COLUMN(), 0)/MAX('S07 Material Properties'!E$3:E$7)*100</f>
        <v>12.5</v>
      </c>
      <c r="F5" s="255">
        <f>VLOOKUP($A5, 'S07 Material Properties'!$A$3:$H$7, COLUMN(), 0)/MAX('S07 Material Properties'!F$3:F$7)*100</f>
        <v>34.61538461538462</v>
      </c>
      <c r="G5" s="255">
        <f>SUMPRODUCT($B5:$F5, B$1:F$1)</f>
        <v>14.092585291604028</v>
      </c>
      <c r="H5" t="str">
        <f>REPT("I", G5)</f>
        <v>IIIIIIIIIIIIII</v>
      </c>
    </row>
    <row r="6" spans="1:8">
      <c r="A6" s="125" t="str">
        <f>'S07 Material Properties'!A5</f>
        <v>CFRP</v>
      </c>
      <c r="B6" s="255">
        <f>VLOOKUP($A6, 'S07 Material Properties'!$A$3:$H$7, COLUMN(), 0)/MAX('S07 Material Properties'!B$3:B$7)*100</f>
        <v>71.184210526315795</v>
      </c>
      <c r="C6" s="255">
        <f>VLOOKUP($A6, 'S07 Material Properties'!$A$3:$H$7, COLUMN(), 0)/MAX('S07 Material Properties'!C$3:C$7)*100</f>
        <v>100</v>
      </c>
      <c r="D6" s="255">
        <f>VLOOKUP($A6, 'S07 Material Properties'!$A$3:$H$7, COLUMN(), 0)/MAX('S07 Material Properties'!D$3:D$7)*100</f>
        <v>100</v>
      </c>
      <c r="E6" s="255">
        <f>VLOOKUP($A6, 'S07 Material Properties'!$A$3:$H$7, COLUMN(), 0)/MAX('S07 Material Properties'!E$3:E$7)*100</f>
        <v>100</v>
      </c>
      <c r="F6" s="255">
        <f>VLOOKUP($A6, 'S07 Material Properties'!$A$3:$H$7, COLUMN(), 0)/MAX('S07 Material Properties'!F$3:F$7)*100</f>
        <v>19.230769230769234</v>
      </c>
      <c r="G6" s="255">
        <f>SUMPRODUCT($B6:$F6, B$1:F$1)</f>
        <v>78.43218623481782</v>
      </c>
      <c r="H6" t="str">
        <f>REPT("I", G6)</f>
        <v>IIIIIIIIIIIIIIIIIIIIIIIIIIIIIIIIIIIIIIIIIIIIIIIIIIIIIIIIIIIIIIIIIIIIIIIIIIIIII</v>
      </c>
    </row>
    <row r="7" spans="1:8">
      <c r="A7" s="125" t="str">
        <f>'S07 Material Properties'!A6</f>
        <v>BFRP</v>
      </c>
      <c r="B7" s="255">
        <f>VLOOKUP($A7, 'S07 Material Properties'!$A$3:$H$7, COLUMN(), 0)/MAX('S07 Material Properties'!B$3:B$7)*100</f>
        <v>100</v>
      </c>
      <c r="C7" s="255">
        <f>VLOOKUP($A7, 'S07 Material Properties'!$A$3:$H$7, COLUMN(), 0)/MAX('S07 Material Properties'!C$3:C$7)*100</f>
        <v>80.508474576271183</v>
      </c>
      <c r="D7" s="255">
        <f>VLOOKUP($A7, 'S07 Material Properties'!$A$3:$H$7, COLUMN(), 0)/MAX('S07 Material Properties'!D$3:D$7)*100</f>
        <v>25.142857142857146</v>
      </c>
      <c r="E7" s="255">
        <f>VLOOKUP($A7, 'S07 Material Properties'!$A$3:$H$7, COLUMN(), 0)/MAX('S07 Material Properties'!E$3:E$7)*100</f>
        <v>2.5773809523809526</v>
      </c>
      <c r="F7" s="255">
        <f>VLOOKUP($A7, 'S07 Material Properties'!$A$3:$H$7, COLUMN(), 0)/MAX('S07 Material Properties'!F$3:F$7)*100</f>
        <v>34.61538461538462</v>
      </c>
      <c r="G7" s="255">
        <f>SUMPRODUCT($B7:$F7, B$1:F$1)</f>
        <v>60.598114484385668</v>
      </c>
      <c r="H7" t="str">
        <f>REPT("I", G7)</f>
        <v>IIIIIIIIIIIIIIIIIIIIIIIIIIIIIIIIIIIIIIIIIIIIIIIIIIIIIIIIIIII</v>
      </c>
    </row>
    <row r="8" spans="1:8">
      <c r="A8" s="125" t="str">
        <f>'S07 Material Properties'!A7</f>
        <v>GFRP</v>
      </c>
      <c r="B8" s="255">
        <f>VLOOKUP($A8, 'S07 Material Properties'!$A$3:$H$7, COLUMN(), 0)/MAX('S07 Material Properties'!B$3:B$7)*100</f>
        <v>27.368421052631582</v>
      </c>
      <c r="C8" s="255">
        <f>VLOOKUP($A8, 'S07 Material Properties'!$A$3:$H$7, COLUMN(), 0)/MAX('S07 Material Properties'!C$3:C$7)*100</f>
        <v>49.691833590138671</v>
      </c>
      <c r="D8" s="255">
        <f>VLOOKUP($A8, 'S07 Material Properties'!$A$3:$H$7, COLUMN(), 0)/MAX('S07 Material Properties'!D$3:D$7)*100</f>
        <v>12.285714285714286</v>
      </c>
      <c r="E8" s="255">
        <f>VLOOKUP($A8, 'S07 Material Properties'!$A$3:$H$7, COLUMN(), 0)/MAX('S07 Material Properties'!E$3:E$7)*100</f>
        <v>5.5535714285714288</v>
      </c>
      <c r="F8" s="255">
        <f>VLOOKUP($A8, 'S07 Material Properties'!$A$3:$H$7, COLUMN(), 0)/MAX('S07 Material Properties'!F$3:F$7)*100</f>
        <v>23.076923076923077</v>
      </c>
      <c r="G8" s="255">
        <f>SUMPRODUCT($B8:$F8, B$1:F$1)</f>
        <v>26.976016926873303</v>
      </c>
      <c r="H8" t="str">
        <f>REPT("I", G8)</f>
        <v>IIIIIIIIIIIIIIIIIIIIIIIIII</v>
      </c>
    </row>
  </sheetData>
  <mergeCells count="2">
    <mergeCell ref="A2:A3"/>
    <mergeCell ref="G2:G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AC4F-8C07-B141-9C75-340026983CA1}">
  <sheetPr codeName="Sheet19"/>
  <dimension ref="A1:G8"/>
  <sheetViews>
    <sheetView zoomScale="190" zoomScaleNormal="100" workbookViewId="0">
      <selection activeCell="G13" sqref="G13"/>
    </sheetView>
  </sheetViews>
  <sheetFormatPr defaultColWidth="10.6640625" defaultRowHeight="15.5"/>
  <cols>
    <col min="1" max="1" width="18.83203125" customWidth="1"/>
    <col min="2" max="2" width="25.5" bestFit="1" customWidth="1"/>
    <col min="3" max="3" width="28.83203125" bestFit="1" customWidth="1"/>
    <col min="4" max="4" width="29.83203125" bestFit="1" customWidth="1"/>
    <col min="5" max="5" width="19.33203125" bestFit="1" customWidth="1"/>
    <col min="6" max="6" width="33.1640625" bestFit="1" customWidth="1"/>
  </cols>
  <sheetData>
    <row r="1" spans="1:7" ht="31">
      <c r="A1" s="126" t="s">
        <v>333</v>
      </c>
      <c r="B1" s="127">
        <v>2.5</v>
      </c>
    </row>
    <row r="3" spans="1:7">
      <c r="A3" s="128" t="s">
        <v>334</v>
      </c>
      <c r="B3" s="128" t="s">
        <v>335</v>
      </c>
      <c r="C3" s="128" t="s">
        <v>336</v>
      </c>
      <c r="D3" s="128" t="s">
        <v>337</v>
      </c>
      <c r="E3" s="128" t="s">
        <v>338</v>
      </c>
      <c r="F3" s="128" t="s">
        <v>339</v>
      </c>
    </row>
    <row r="4" spans="1:7">
      <c r="A4" s="110" t="str">
        <f>'S07 Material Properties'!A3</f>
        <v>Steel 1020</v>
      </c>
      <c r="B4" s="111">
        <f>VLOOKUP(A4, 'S07 Material Properties'!$A$3:$H$7, 3, 0)</f>
        <v>250</v>
      </c>
      <c r="C4" s="112">
        <f>B4/$B$1</f>
        <v>100</v>
      </c>
      <c r="D4" s="129">
        <f>VLOOKUP($A4, 'S07 Material Properties'!$A$3:$H$7, COLUMN()+3, 0)</f>
        <v>7.8</v>
      </c>
      <c r="E4" s="129">
        <f>VLOOKUP($A4, 'S07 Material Properties'!$A$3:$H$7, COLUMN()+3, 0)</f>
        <v>1950</v>
      </c>
      <c r="F4" s="129">
        <f>D4/C4*E4</f>
        <v>152.1</v>
      </c>
      <c r="G4" t="str">
        <f>REPT("I", F4/10)</f>
        <v>IIIIIIIIIIIIIII</v>
      </c>
    </row>
    <row r="5" spans="1:7">
      <c r="A5" s="110" t="str">
        <f>'S07 Material Properties'!A4</f>
        <v>Aluminum AW-1200</v>
      </c>
      <c r="B5" s="111">
        <f>VLOOKUP(A5, 'S07 Material Properties'!$A$3:$H$7, 3, 0)</f>
        <v>98</v>
      </c>
      <c r="C5" s="112">
        <f>B5/$B$1</f>
        <v>39.200000000000003</v>
      </c>
      <c r="D5" s="129">
        <f>VLOOKUP(A5, 'S07 Material Properties'!$A$3:$H$7, 7, 0)</f>
        <v>2.7</v>
      </c>
      <c r="E5" s="129">
        <f>VLOOKUP($A5, 'S07 Material Properties'!$A$3:$H$7, COLUMN()+3, 0)</f>
        <v>2954</v>
      </c>
      <c r="F5" s="129">
        <f>D5/C5*E5</f>
        <v>203.46428571428569</v>
      </c>
      <c r="G5" t="str">
        <f>REPT("I", F5/10)</f>
        <v>IIIIIIIIIIIIIIIIIIII</v>
      </c>
    </row>
    <row r="6" spans="1:7">
      <c r="A6" s="110" t="str">
        <f>'S07 Material Properties'!A5</f>
        <v>CFRP</v>
      </c>
      <c r="B6" s="111">
        <f>VLOOKUP(A6, 'S07 Material Properties'!$A$3:$H$7, 3, 0)</f>
        <v>1298</v>
      </c>
      <c r="C6" s="112">
        <f>B6/$B$1</f>
        <v>519.20000000000005</v>
      </c>
      <c r="D6" s="129">
        <f>VLOOKUP(A6, 'S07 Material Properties'!$A$3:$H$7, 7, 0)</f>
        <v>1.5</v>
      </c>
      <c r="E6" s="129">
        <f>VLOOKUP($A6, 'S07 Material Properties'!$A$3:$H$7, COLUMN()+3, 0)</f>
        <v>6500</v>
      </c>
      <c r="F6" s="129">
        <f>D6/C6*E6</f>
        <v>18.778890600924498</v>
      </c>
      <c r="G6" t="str">
        <f>REPT("I", F6/10)</f>
        <v>I</v>
      </c>
    </row>
    <row r="7" spans="1:7">
      <c r="A7" s="110" t="str">
        <f>'S07 Material Properties'!A6</f>
        <v>BFRP</v>
      </c>
      <c r="B7" s="111">
        <f>VLOOKUP(A7, 'S07 Material Properties'!$A$3:$H$7, 3, 0)</f>
        <v>1045</v>
      </c>
      <c r="C7" s="112">
        <f>B7/$B$1</f>
        <v>418</v>
      </c>
      <c r="D7" s="129">
        <f>VLOOKUP(A7, 'S07 Material Properties'!$A$3:$H$7, 7, 0)</f>
        <v>2.7</v>
      </c>
      <c r="E7" s="129">
        <f>VLOOKUP($A7, 'S07 Material Properties'!$A$3:$H$7, COLUMN()+3, 0)</f>
        <v>6250</v>
      </c>
      <c r="F7" s="129">
        <f>D7/C7*E7</f>
        <v>40.37081339712919</v>
      </c>
      <c r="G7" t="str">
        <f>REPT("I", F7/10)</f>
        <v>IIII</v>
      </c>
    </row>
    <row r="8" spans="1:7">
      <c r="A8" s="110" t="str">
        <f>'S07 Material Properties'!A7</f>
        <v>GFRP</v>
      </c>
      <c r="B8" s="111">
        <f>VLOOKUP(A8, 'S07 Material Properties'!$A$3:$H$7, 3, 0)</f>
        <v>645</v>
      </c>
      <c r="C8" s="112">
        <f>B8/$B$1</f>
        <v>258</v>
      </c>
      <c r="D8" s="129">
        <f>VLOOKUP(A8, 'S07 Material Properties'!$A$3:$H$7, 7, 0)</f>
        <v>1.8</v>
      </c>
      <c r="E8" s="129">
        <f>VLOOKUP($A8, 'S07 Material Properties'!$A$3:$H$7, COLUMN()+3, 0)</f>
        <v>32456</v>
      </c>
      <c r="F8" s="129">
        <f>D8/C8*E8</f>
        <v>226.43720930232558</v>
      </c>
      <c r="G8" t="str">
        <f>REPT("I", F8/10)</f>
        <v>IIIIIIIIIIIIIIIIIIIIII</v>
      </c>
    </row>
  </sheetData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346E-2254-004D-9076-73D465544176}">
  <sheetPr codeName="Sheet20"/>
  <dimension ref="A1:F6"/>
  <sheetViews>
    <sheetView workbookViewId="0">
      <selection activeCell="J11" sqref="J11"/>
    </sheetView>
  </sheetViews>
  <sheetFormatPr defaultColWidth="10.6640625" defaultRowHeight="15.5"/>
  <cols>
    <col min="1" max="1" width="19.5" style="65" customWidth="1"/>
    <col min="2" max="2" width="13.83203125" bestFit="1" customWidth="1"/>
    <col min="3" max="3" width="33.83203125" bestFit="1" customWidth="1"/>
    <col min="4" max="4" width="19.83203125" bestFit="1" customWidth="1"/>
    <col min="5" max="5" width="13.5" bestFit="1" customWidth="1"/>
  </cols>
  <sheetData>
    <row r="1" spans="1:6" s="65" customFormat="1">
      <c r="A1" s="5" t="s">
        <v>340</v>
      </c>
      <c r="B1" s="5" t="s">
        <v>338</v>
      </c>
      <c r="C1" s="5" t="s">
        <v>341</v>
      </c>
      <c r="D1" s="5" t="s">
        <v>332</v>
      </c>
      <c r="E1" s="5" t="s">
        <v>342</v>
      </c>
    </row>
    <row r="2" spans="1:6">
      <c r="A2" s="125" t="str">
        <f>'S07 Material Properties'!A3</f>
        <v>Steel 1020</v>
      </c>
      <c r="B2" s="254">
        <f>VLOOKUP(A2, 'S10 Mat. Cost per Strength'!$A$4:$E$8, 5, 0)</f>
        <v>1950</v>
      </c>
      <c r="C2" s="255">
        <f>VLOOKUP(A2, 'S10 Mat. Cost per Strength'!$A$4:$F$8, 6, 0)</f>
        <v>152.1</v>
      </c>
      <c r="D2" s="255">
        <f>VLOOKUP(A2, 'S09 Mat. Perf. Index'!$A$4:$G$8, 7, 0)</f>
        <v>38.179889631629152</v>
      </c>
      <c r="E2" s="255">
        <f>D2/C2</f>
        <v>0.25101834077336721</v>
      </c>
      <c r="F2" t="str">
        <f>REPT("I", E2*50)</f>
        <v>IIIIIIIIIIII</v>
      </c>
    </row>
    <row r="3" spans="1:6">
      <c r="A3" s="125" t="str">
        <f>'S07 Material Properties'!A4</f>
        <v>Aluminum AW-1200</v>
      </c>
      <c r="B3" s="254">
        <f>VLOOKUP(A3, 'S10 Mat. Cost per Strength'!$A$4:$E$8, 5, 0)</f>
        <v>2954</v>
      </c>
      <c r="C3" s="255">
        <f>VLOOKUP(A3, 'S10 Mat. Cost per Strength'!$A$4:$F$8, 6, 0)</f>
        <v>203.46428571428569</v>
      </c>
      <c r="D3" s="255">
        <f>VLOOKUP(A3, 'S09 Mat. Perf. Index'!$A$4:$G$8, 7, 0)</f>
        <v>14.092585291604028</v>
      </c>
      <c r="E3" s="255">
        <f>D3/C3</f>
        <v>6.926318907581408E-2</v>
      </c>
      <c r="F3" t="str">
        <f>REPT("I", E3*50)</f>
        <v>III</v>
      </c>
    </row>
    <row r="4" spans="1:6">
      <c r="A4" s="125" t="str">
        <f>'S07 Material Properties'!A5</f>
        <v>CFRP</v>
      </c>
      <c r="B4" s="254">
        <f>VLOOKUP(A4, 'S10 Mat. Cost per Strength'!$A$4:$E$8, 5, 0)</f>
        <v>6500</v>
      </c>
      <c r="C4" s="255">
        <f>VLOOKUP(A4, 'S10 Mat. Cost per Strength'!$A$4:$F$8, 6, 0)</f>
        <v>18.778890600924498</v>
      </c>
      <c r="D4" s="255">
        <f>VLOOKUP(A4, 'S09 Mat. Perf. Index'!$A$4:$G$8, 7, 0)</f>
        <v>78.43218623481782</v>
      </c>
      <c r="E4" s="255">
        <f>D4/C4</f>
        <v>4.1766144710889659</v>
      </c>
      <c r="F4" t="str">
        <f>REPT("I", E4*50)</f>
        <v>IIIIIIIIIIIIIIIIIIIIIIIIIIIIIIIIIIIIIIIIIIIIIIIIIIIIIIIIIIIIIIIIIIIIIIIIIIIIIIIIIIIIIIIIIIIIIIIIIIIIIIIIIIIIIIIIIIIIIIIIIIIIIIIIIIIIIIIIIIIIIIIIIIIIIIIIIIIIIIIIIIIIIIIIIIIIIIIIIIIIIIIIIIIIIIIIIIIIIIIIIIIIIIII</v>
      </c>
    </row>
    <row r="5" spans="1:6">
      <c r="A5" s="125" t="str">
        <f>'S07 Material Properties'!A6</f>
        <v>BFRP</v>
      </c>
      <c r="B5" s="254">
        <f>VLOOKUP(A5, 'S10 Mat. Cost per Strength'!$A$4:$E$8, 5, 0)</f>
        <v>6250</v>
      </c>
      <c r="C5" s="255">
        <f>VLOOKUP(A5, 'S10 Mat. Cost per Strength'!$A$4:$F$8, 6, 0)</f>
        <v>40.37081339712919</v>
      </c>
      <c r="D5" s="255">
        <f>VLOOKUP(A5, 'S09 Mat. Perf. Index'!$A$4:$G$8, 7, 0)</f>
        <v>60.598114484385668</v>
      </c>
      <c r="E5" s="255">
        <f>D5/C5</f>
        <v>1.5010377395243382</v>
      </c>
      <c r="F5" t="str">
        <f>REPT("I", E5*50)</f>
        <v>IIIIIIIIIIIIIIIIIIIIIIIIIIIIIIIIIIIIIIIIIIIIIIIIIIIIIIIIIIIIIIIIIIIIIIIIIII</v>
      </c>
    </row>
    <row r="6" spans="1:6">
      <c r="A6" s="125" t="str">
        <f>'S07 Material Properties'!A7</f>
        <v>GFRP</v>
      </c>
      <c r="B6" s="254">
        <f>VLOOKUP(A6, 'S10 Mat. Cost per Strength'!$A$4:$E$8, 5, 0)</f>
        <v>32456</v>
      </c>
      <c r="C6" s="255">
        <f>VLOOKUP(A6, 'S10 Mat. Cost per Strength'!$A$4:$F$8, 6, 0)</f>
        <v>226.43720930232558</v>
      </c>
      <c r="D6" s="255">
        <f>VLOOKUP(A6, 'S09 Mat. Perf. Index'!$A$4:$G$8, 7, 0)</f>
        <v>26.976016926873303</v>
      </c>
      <c r="E6" s="255">
        <f>D6/C6</f>
        <v>0.11913243856868294</v>
      </c>
      <c r="F6" t="str">
        <f>REPT("I", E6*50)</f>
        <v>IIIII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81E73-CC3E-9A46-891A-721EA7AFAA1D}">
  <sheetPr codeName="Sheet21"/>
  <dimension ref="A1:V27"/>
  <sheetViews>
    <sheetView zoomScale="188" workbookViewId="0">
      <selection activeCell="A3" sqref="A3"/>
    </sheetView>
  </sheetViews>
  <sheetFormatPr defaultColWidth="10.83203125" defaultRowHeight="15.5"/>
  <cols>
    <col min="1" max="1" width="18" style="257" bestFit="1" customWidth="1"/>
    <col min="2" max="2" width="18.83203125" style="257" customWidth="1"/>
    <col min="3" max="3" width="20.6640625" style="257" customWidth="1"/>
    <col min="4" max="4" width="18.33203125" style="257" bestFit="1" customWidth="1"/>
    <col min="5" max="5" width="6.6640625" style="257" customWidth="1"/>
    <col min="6" max="6" width="10.83203125" style="257"/>
    <col min="7" max="7" width="12" style="257" bestFit="1" customWidth="1"/>
    <col min="8" max="8" width="15.83203125" style="257" customWidth="1"/>
    <col min="9" max="11" width="19" style="257" customWidth="1"/>
    <col min="12" max="12" width="17.1640625" style="257" bestFit="1" customWidth="1"/>
    <col min="13" max="14" width="18.83203125" style="257" customWidth="1"/>
    <col min="15" max="16" width="17.1640625" style="257" customWidth="1"/>
    <col min="17" max="19" width="19" style="257" customWidth="1"/>
    <col min="20" max="22" width="22.1640625" style="257" customWidth="1"/>
    <col min="23" max="23" width="10" style="257" customWidth="1"/>
    <col min="24" max="24" width="16.83203125" style="257" customWidth="1"/>
    <col min="25" max="25" width="18.33203125" style="257" bestFit="1" customWidth="1"/>
    <col min="26" max="26" width="17.5" style="257" bestFit="1" customWidth="1"/>
    <col min="27" max="27" width="8" style="257" customWidth="1"/>
    <col min="28" max="16384" width="10.83203125" style="257"/>
  </cols>
  <sheetData>
    <row r="1" spans="1:22" ht="35" customHeight="1">
      <c r="A1" s="256" t="s">
        <v>451</v>
      </c>
      <c r="B1" s="256" t="s">
        <v>452</v>
      </c>
      <c r="C1" s="256" t="s">
        <v>453</v>
      </c>
      <c r="D1" s="256" t="s">
        <v>504</v>
      </c>
      <c r="F1" s="256" t="s">
        <v>454</v>
      </c>
      <c r="G1" s="256" t="s">
        <v>455</v>
      </c>
      <c r="H1" s="256" t="s">
        <v>500</v>
      </c>
      <c r="I1" s="256" t="s">
        <v>456</v>
      </c>
      <c r="J1" s="256" t="s">
        <v>457</v>
      </c>
      <c r="K1" s="256" t="s">
        <v>501</v>
      </c>
      <c r="L1" s="256" t="s">
        <v>458</v>
      </c>
      <c r="M1" s="256" t="s">
        <v>459</v>
      </c>
      <c r="N1" s="256" t="s">
        <v>502</v>
      </c>
      <c r="O1" s="258"/>
      <c r="P1" s="259" t="s">
        <v>460</v>
      </c>
      <c r="Q1" s="260" t="s">
        <v>461</v>
      </c>
      <c r="R1" s="261" t="s">
        <v>462</v>
      </c>
      <c r="S1" s="256" t="s">
        <v>457</v>
      </c>
      <c r="T1" s="256" t="s">
        <v>459</v>
      </c>
      <c r="U1" s="256" t="s">
        <v>463</v>
      </c>
      <c r="V1" s="256" t="s">
        <v>503</v>
      </c>
    </row>
    <row r="2" spans="1:22">
      <c r="A2" s="262">
        <v>165</v>
      </c>
      <c r="B2" s="262">
        <f>VLOOKUP($A2, $R$2:$V$27, 2, 1)</f>
        <v>51</v>
      </c>
      <c r="C2" s="262">
        <f>VLOOKUP($A2, $R$2:$V$27, 4, 1)</f>
        <v>41</v>
      </c>
      <c r="D2" s="262" t="str">
        <f>VLOOKUP($A2, $R$2:$V$27, 5, 1)</f>
        <v>S</v>
      </c>
      <c r="F2" s="262" t="s">
        <v>464</v>
      </c>
      <c r="G2" s="262" t="s">
        <v>465</v>
      </c>
      <c r="H2" s="262">
        <f>VALUE(LEFT(G2, 3))</f>
        <v>143</v>
      </c>
      <c r="I2" s="262" t="s">
        <v>466</v>
      </c>
      <c r="J2" s="262">
        <f>VALUE(LEFT(I2, 2))</f>
        <v>44</v>
      </c>
      <c r="K2" s="262" t="str">
        <f>MID(I2, 6, 4)</f>
        <v>XXS</v>
      </c>
      <c r="L2" s="262" t="s">
        <v>467</v>
      </c>
      <c r="M2" s="262">
        <f>VALUE(LEFT(L2, 2))</f>
        <v>13</v>
      </c>
      <c r="N2" s="262" t="str">
        <f>MID(L2, 7, 4)</f>
        <v>XXS</v>
      </c>
      <c r="P2" s="263">
        <v>4</v>
      </c>
      <c r="Q2" s="264">
        <v>8</v>
      </c>
      <c r="R2" s="265">
        <f>ROUNDUP(P2*$B$6+Q2*$D$6, 0)</f>
        <v>143</v>
      </c>
      <c r="S2" s="262">
        <f>VLOOKUP($R2, $H$2:$N$9, 3, 1)</f>
        <v>44</v>
      </c>
      <c r="T2" s="262">
        <f>VLOOKUP($R2, $H$2:$N$9, 6, 1)</f>
        <v>13</v>
      </c>
      <c r="U2" s="262">
        <f>ROUNDUP(T2*$D$6, 0)</f>
        <v>34</v>
      </c>
      <c r="V2" s="262" t="str">
        <f>VLOOKUP(T2, $M$2:$N$9, 2, 1)</f>
        <v>XXS</v>
      </c>
    </row>
    <row r="3" spans="1:22">
      <c r="F3" s="262" t="s">
        <v>468</v>
      </c>
      <c r="G3" s="262" t="s">
        <v>469</v>
      </c>
      <c r="H3" s="262">
        <f t="shared" ref="H3:H9" si="0">VALUE(LEFT(G3, 3))</f>
        <v>155</v>
      </c>
      <c r="I3" s="262" t="s">
        <v>470</v>
      </c>
      <c r="J3" s="262">
        <f t="shared" ref="J3:J9" si="1">VALUE(LEFT(I3, 2))</f>
        <v>48</v>
      </c>
      <c r="K3" s="262" t="str">
        <f t="shared" ref="K3:K9" si="2">MID(I3, 6, 4)</f>
        <v>XS</v>
      </c>
      <c r="L3" s="262" t="s">
        <v>471</v>
      </c>
      <c r="M3" s="262">
        <f t="shared" ref="M3:M9" si="3">VALUE(LEFT(L3, 2))</f>
        <v>15</v>
      </c>
      <c r="N3" s="262" t="str">
        <f t="shared" ref="N3:N9" si="4">MID(L3, 7, 4)</f>
        <v>XS</v>
      </c>
      <c r="P3" s="263">
        <v>4</v>
      </c>
      <c r="Q3" s="264">
        <v>9</v>
      </c>
      <c r="R3" s="265">
        <f t="shared" ref="R3:R27" si="5">ROUNDUP(P3*$B$6+Q3*$D$6, 0)</f>
        <v>145</v>
      </c>
      <c r="S3" s="262">
        <f t="shared" ref="S3:S27" si="6">VLOOKUP(R3, $H$2:$N$9, 3, 1)</f>
        <v>44</v>
      </c>
      <c r="T3" s="262">
        <f t="shared" ref="T3:T27" si="7">VLOOKUP($R3, $H$2:$N$9, 6, 1)</f>
        <v>13</v>
      </c>
      <c r="U3" s="262">
        <f t="shared" ref="U3:U27" si="8">ROUNDUP(T3*$D$6, 0)</f>
        <v>34</v>
      </c>
      <c r="V3" s="262" t="str">
        <f t="shared" ref="V3:V27" si="9">VLOOKUP(T3, $M$2:$N$9, 2, 1)</f>
        <v>XXS</v>
      </c>
    </row>
    <row r="4" spans="1:22">
      <c r="A4" s="543" t="s">
        <v>472</v>
      </c>
      <c r="B4" s="543"/>
      <c r="C4" s="543"/>
      <c r="D4" s="543"/>
      <c r="F4" s="262" t="s">
        <v>473</v>
      </c>
      <c r="G4" s="262" t="s">
        <v>474</v>
      </c>
      <c r="H4" s="262">
        <f t="shared" si="0"/>
        <v>163</v>
      </c>
      <c r="I4" s="262" t="s">
        <v>475</v>
      </c>
      <c r="J4" s="262">
        <f t="shared" si="1"/>
        <v>51</v>
      </c>
      <c r="K4" s="262" t="str">
        <f t="shared" si="2"/>
        <v>S</v>
      </c>
      <c r="L4" s="262" t="s">
        <v>476</v>
      </c>
      <c r="M4" s="262">
        <f t="shared" si="3"/>
        <v>16</v>
      </c>
      <c r="N4" s="262" t="str">
        <f t="shared" si="4"/>
        <v>S</v>
      </c>
      <c r="P4" s="263">
        <v>4</v>
      </c>
      <c r="Q4" s="264">
        <v>10</v>
      </c>
      <c r="R4" s="265">
        <f t="shared" si="5"/>
        <v>148</v>
      </c>
      <c r="S4" s="262">
        <f t="shared" si="6"/>
        <v>44</v>
      </c>
      <c r="T4" s="262">
        <f t="shared" si="7"/>
        <v>13</v>
      </c>
      <c r="U4" s="262">
        <f t="shared" si="8"/>
        <v>34</v>
      </c>
      <c r="V4" s="262" t="str">
        <f t="shared" si="9"/>
        <v>XXS</v>
      </c>
    </row>
    <row r="5" spans="1:22">
      <c r="A5" s="266" t="s">
        <v>477</v>
      </c>
      <c r="B5" s="5" t="s">
        <v>478</v>
      </c>
      <c r="C5" s="266" t="s">
        <v>479</v>
      </c>
      <c r="D5" s="5" t="s">
        <v>478</v>
      </c>
      <c r="E5" s="258"/>
      <c r="F5" s="262" t="s">
        <v>480</v>
      </c>
      <c r="G5" s="262" t="s">
        <v>481</v>
      </c>
      <c r="H5" s="262">
        <f t="shared" si="0"/>
        <v>170</v>
      </c>
      <c r="I5" s="262" t="s">
        <v>482</v>
      </c>
      <c r="J5" s="262">
        <f t="shared" si="1"/>
        <v>54</v>
      </c>
      <c r="K5" s="262" t="str">
        <f t="shared" si="2"/>
        <v>M</v>
      </c>
      <c r="L5" s="262" t="s">
        <v>483</v>
      </c>
      <c r="M5" s="262">
        <f t="shared" si="3"/>
        <v>18</v>
      </c>
      <c r="N5" s="262" t="str">
        <f t="shared" si="4"/>
        <v>M</v>
      </c>
      <c r="P5" s="263">
        <v>4</v>
      </c>
      <c r="Q5" s="264">
        <v>11</v>
      </c>
      <c r="R5" s="265">
        <f t="shared" si="5"/>
        <v>150</v>
      </c>
      <c r="S5" s="262">
        <f t="shared" si="6"/>
        <v>44</v>
      </c>
      <c r="T5" s="262">
        <f t="shared" si="7"/>
        <v>13</v>
      </c>
      <c r="U5" s="262">
        <f t="shared" si="8"/>
        <v>34</v>
      </c>
      <c r="V5" s="262" t="str">
        <f t="shared" si="9"/>
        <v>XXS</v>
      </c>
    </row>
    <row r="6" spans="1:22">
      <c r="A6" s="262">
        <v>1</v>
      </c>
      <c r="B6" s="267">
        <v>30.48</v>
      </c>
      <c r="C6" s="262">
        <v>1</v>
      </c>
      <c r="D6" s="267">
        <v>2.54</v>
      </c>
      <c r="F6" s="262" t="s">
        <v>484</v>
      </c>
      <c r="G6" s="262" t="s">
        <v>485</v>
      </c>
      <c r="H6" s="262">
        <f t="shared" si="0"/>
        <v>178</v>
      </c>
      <c r="I6" s="262" t="s">
        <v>486</v>
      </c>
      <c r="J6" s="262">
        <f t="shared" si="1"/>
        <v>56</v>
      </c>
      <c r="K6" s="262" t="str">
        <f t="shared" si="2"/>
        <v>L</v>
      </c>
      <c r="L6" s="262" t="s">
        <v>487</v>
      </c>
      <c r="M6" s="262">
        <f t="shared" si="3"/>
        <v>19</v>
      </c>
      <c r="N6" s="262" t="str">
        <f t="shared" si="4"/>
        <v>L</v>
      </c>
      <c r="P6" s="263">
        <v>5</v>
      </c>
      <c r="Q6" s="264">
        <v>0</v>
      </c>
      <c r="R6" s="265">
        <f t="shared" si="5"/>
        <v>153</v>
      </c>
      <c r="S6" s="262">
        <f t="shared" si="6"/>
        <v>44</v>
      </c>
      <c r="T6" s="262">
        <f t="shared" si="7"/>
        <v>13</v>
      </c>
      <c r="U6" s="262">
        <f t="shared" si="8"/>
        <v>34</v>
      </c>
      <c r="V6" s="262" t="str">
        <f t="shared" si="9"/>
        <v>XXS</v>
      </c>
    </row>
    <row r="7" spans="1:22">
      <c r="F7" s="262" t="s">
        <v>488</v>
      </c>
      <c r="G7" s="262" t="s">
        <v>489</v>
      </c>
      <c r="H7" s="262">
        <f t="shared" si="0"/>
        <v>183</v>
      </c>
      <c r="I7" s="262" t="s">
        <v>490</v>
      </c>
      <c r="J7" s="262">
        <f t="shared" si="1"/>
        <v>58</v>
      </c>
      <c r="K7" s="262" t="str">
        <f t="shared" si="2"/>
        <v>XL</v>
      </c>
      <c r="L7" s="262" t="s">
        <v>491</v>
      </c>
      <c r="M7" s="262">
        <f t="shared" si="3"/>
        <v>20</v>
      </c>
      <c r="N7" s="262" t="str">
        <f t="shared" si="4"/>
        <v>XL</v>
      </c>
      <c r="P7" s="263">
        <v>5</v>
      </c>
      <c r="Q7" s="264">
        <v>1</v>
      </c>
      <c r="R7" s="265">
        <f t="shared" si="5"/>
        <v>155</v>
      </c>
      <c r="S7" s="262">
        <f t="shared" si="6"/>
        <v>48</v>
      </c>
      <c r="T7" s="262">
        <f t="shared" si="7"/>
        <v>15</v>
      </c>
      <c r="U7" s="262">
        <f t="shared" si="8"/>
        <v>39</v>
      </c>
      <c r="V7" s="262" t="str">
        <f t="shared" si="9"/>
        <v>XS</v>
      </c>
    </row>
    <row r="8" spans="1:22">
      <c r="F8" s="262" t="s">
        <v>492</v>
      </c>
      <c r="G8" s="262" t="s">
        <v>493</v>
      </c>
      <c r="H8" s="262">
        <f t="shared" si="0"/>
        <v>191</v>
      </c>
      <c r="I8" s="262" t="s">
        <v>494</v>
      </c>
      <c r="J8" s="262">
        <f t="shared" si="1"/>
        <v>60</v>
      </c>
      <c r="K8" s="262" t="str">
        <f t="shared" si="2"/>
        <v>XXL</v>
      </c>
      <c r="L8" s="262" t="s">
        <v>495</v>
      </c>
      <c r="M8" s="262">
        <f t="shared" si="3"/>
        <v>21</v>
      </c>
      <c r="N8" s="262" t="str">
        <f t="shared" si="4"/>
        <v>XXL</v>
      </c>
      <c r="P8" s="263">
        <v>5</v>
      </c>
      <c r="Q8" s="264">
        <v>2</v>
      </c>
      <c r="R8" s="265">
        <f t="shared" si="5"/>
        <v>158</v>
      </c>
      <c r="S8" s="262">
        <f t="shared" si="6"/>
        <v>48</v>
      </c>
      <c r="T8" s="262">
        <f t="shared" si="7"/>
        <v>15</v>
      </c>
      <c r="U8" s="262">
        <f t="shared" si="8"/>
        <v>39</v>
      </c>
      <c r="V8" s="262" t="str">
        <f t="shared" si="9"/>
        <v>XS</v>
      </c>
    </row>
    <row r="9" spans="1:22">
      <c r="F9" s="262" t="s">
        <v>496</v>
      </c>
      <c r="G9" s="262" t="s">
        <v>497</v>
      </c>
      <c r="H9" s="262">
        <f t="shared" si="0"/>
        <v>196</v>
      </c>
      <c r="I9" s="262" t="s">
        <v>498</v>
      </c>
      <c r="J9" s="262">
        <f t="shared" si="1"/>
        <v>62</v>
      </c>
      <c r="K9" s="262" t="str">
        <f t="shared" si="2"/>
        <v>XXXL</v>
      </c>
      <c r="L9" s="262" t="s">
        <v>499</v>
      </c>
      <c r="M9" s="262">
        <f t="shared" si="3"/>
        <v>22</v>
      </c>
      <c r="N9" s="262" t="str">
        <f t="shared" si="4"/>
        <v>XXXL</v>
      </c>
      <c r="P9" s="263">
        <v>5</v>
      </c>
      <c r="Q9" s="264">
        <v>3</v>
      </c>
      <c r="R9" s="265">
        <f t="shared" si="5"/>
        <v>161</v>
      </c>
      <c r="S9" s="262">
        <f t="shared" si="6"/>
        <v>48</v>
      </c>
      <c r="T9" s="262">
        <f t="shared" si="7"/>
        <v>15</v>
      </c>
      <c r="U9" s="262">
        <f t="shared" si="8"/>
        <v>39</v>
      </c>
      <c r="V9" s="262" t="str">
        <f t="shared" si="9"/>
        <v>XS</v>
      </c>
    </row>
    <row r="10" spans="1:22">
      <c r="P10" s="263">
        <v>5</v>
      </c>
      <c r="Q10" s="264">
        <v>4</v>
      </c>
      <c r="R10" s="265">
        <f t="shared" si="5"/>
        <v>163</v>
      </c>
      <c r="S10" s="262">
        <f t="shared" si="6"/>
        <v>51</v>
      </c>
      <c r="T10" s="262">
        <f t="shared" si="7"/>
        <v>16</v>
      </c>
      <c r="U10" s="262">
        <f t="shared" si="8"/>
        <v>41</v>
      </c>
      <c r="V10" s="262" t="str">
        <f t="shared" si="9"/>
        <v>S</v>
      </c>
    </row>
    <row r="11" spans="1:22">
      <c r="P11" s="263">
        <v>5</v>
      </c>
      <c r="Q11" s="264">
        <v>5</v>
      </c>
      <c r="R11" s="265">
        <f t="shared" si="5"/>
        <v>166</v>
      </c>
      <c r="S11" s="262">
        <f t="shared" si="6"/>
        <v>51</v>
      </c>
      <c r="T11" s="262">
        <f t="shared" si="7"/>
        <v>16</v>
      </c>
      <c r="U11" s="262">
        <f t="shared" si="8"/>
        <v>41</v>
      </c>
      <c r="V11" s="262" t="str">
        <f t="shared" si="9"/>
        <v>S</v>
      </c>
    </row>
    <row r="12" spans="1:22">
      <c r="P12" s="263">
        <v>5</v>
      </c>
      <c r="Q12" s="264">
        <v>6</v>
      </c>
      <c r="R12" s="265">
        <f t="shared" si="5"/>
        <v>168</v>
      </c>
      <c r="S12" s="262">
        <f t="shared" si="6"/>
        <v>51</v>
      </c>
      <c r="T12" s="262">
        <f t="shared" si="7"/>
        <v>16</v>
      </c>
      <c r="U12" s="262">
        <f t="shared" si="8"/>
        <v>41</v>
      </c>
      <c r="V12" s="262" t="str">
        <f t="shared" si="9"/>
        <v>S</v>
      </c>
    </row>
    <row r="13" spans="1:22">
      <c r="P13" s="263">
        <v>5</v>
      </c>
      <c r="Q13" s="264">
        <v>7</v>
      </c>
      <c r="R13" s="265">
        <f t="shared" si="5"/>
        <v>171</v>
      </c>
      <c r="S13" s="262">
        <f t="shared" si="6"/>
        <v>54</v>
      </c>
      <c r="T13" s="262">
        <f t="shared" si="7"/>
        <v>18</v>
      </c>
      <c r="U13" s="262">
        <f t="shared" si="8"/>
        <v>46</v>
      </c>
      <c r="V13" s="262" t="str">
        <f t="shared" si="9"/>
        <v>M</v>
      </c>
    </row>
    <row r="14" spans="1:22">
      <c r="P14" s="263">
        <v>5</v>
      </c>
      <c r="Q14" s="264">
        <v>8</v>
      </c>
      <c r="R14" s="265">
        <f t="shared" si="5"/>
        <v>173</v>
      </c>
      <c r="S14" s="262">
        <f t="shared" si="6"/>
        <v>54</v>
      </c>
      <c r="T14" s="262">
        <f t="shared" si="7"/>
        <v>18</v>
      </c>
      <c r="U14" s="262">
        <f t="shared" si="8"/>
        <v>46</v>
      </c>
      <c r="V14" s="262" t="str">
        <f t="shared" si="9"/>
        <v>M</v>
      </c>
    </row>
    <row r="15" spans="1:22">
      <c r="P15" s="263">
        <v>5</v>
      </c>
      <c r="Q15" s="264">
        <v>9</v>
      </c>
      <c r="R15" s="265">
        <f t="shared" si="5"/>
        <v>176</v>
      </c>
      <c r="S15" s="262">
        <f t="shared" si="6"/>
        <v>54</v>
      </c>
      <c r="T15" s="262">
        <f t="shared" si="7"/>
        <v>18</v>
      </c>
      <c r="U15" s="262">
        <f t="shared" si="8"/>
        <v>46</v>
      </c>
      <c r="V15" s="262" t="str">
        <f t="shared" si="9"/>
        <v>M</v>
      </c>
    </row>
    <row r="16" spans="1:22">
      <c r="P16" s="263">
        <v>5</v>
      </c>
      <c r="Q16" s="264">
        <v>10</v>
      </c>
      <c r="R16" s="265">
        <f t="shared" si="5"/>
        <v>178</v>
      </c>
      <c r="S16" s="262">
        <f t="shared" si="6"/>
        <v>56</v>
      </c>
      <c r="T16" s="262">
        <f t="shared" si="7"/>
        <v>19</v>
      </c>
      <c r="U16" s="262">
        <f t="shared" si="8"/>
        <v>49</v>
      </c>
      <c r="V16" s="262" t="str">
        <f t="shared" si="9"/>
        <v>L</v>
      </c>
    </row>
    <row r="17" spans="16:22">
      <c r="P17" s="263">
        <v>5</v>
      </c>
      <c r="Q17" s="264">
        <v>11</v>
      </c>
      <c r="R17" s="265">
        <f t="shared" si="5"/>
        <v>181</v>
      </c>
      <c r="S17" s="262">
        <f t="shared" si="6"/>
        <v>56</v>
      </c>
      <c r="T17" s="262">
        <f t="shared" si="7"/>
        <v>19</v>
      </c>
      <c r="U17" s="262">
        <f t="shared" si="8"/>
        <v>49</v>
      </c>
      <c r="V17" s="262" t="str">
        <f t="shared" si="9"/>
        <v>L</v>
      </c>
    </row>
    <row r="18" spans="16:22">
      <c r="P18" s="263">
        <v>6</v>
      </c>
      <c r="Q18" s="264">
        <v>0</v>
      </c>
      <c r="R18" s="265">
        <f t="shared" si="5"/>
        <v>183</v>
      </c>
      <c r="S18" s="262">
        <f t="shared" si="6"/>
        <v>58</v>
      </c>
      <c r="T18" s="262">
        <f t="shared" si="7"/>
        <v>20</v>
      </c>
      <c r="U18" s="262">
        <f t="shared" si="8"/>
        <v>51</v>
      </c>
      <c r="V18" s="262" t="str">
        <f t="shared" si="9"/>
        <v>XL</v>
      </c>
    </row>
    <row r="19" spans="16:22">
      <c r="P19" s="263">
        <v>6</v>
      </c>
      <c r="Q19" s="264">
        <v>1</v>
      </c>
      <c r="R19" s="265">
        <f t="shared" si="5"/>
        <v>186</v>
      </c>
      <c r="S19" s="262">
        <f t="shared" si="6"/>
        <v>58</v>
      </c>
      <c r="T19" s="262">
        <f t="shared" si="7"/>
        <v>20</v>
      </c>
      <c r="U19" s="262">
        <f t="shared" si="8"/>
        <v>51</v>
      </c>
      <c r="V19" s="262" t="str">
        <f t="shared" si="9"/>
        <v>XL</v>
      </c>
    </row>
    <row r="20" spans="16:22">
      <c r="P20" s="263">
        <v>6</v>
      </c>
      <c r="Q20" s="264">
        <v>2</v>
      </c>
      <c r="R20" s="265">
        <f t="shared" si="5"/>
        <v>188</v>
      </c>
      <c r="S20" s="262">
        <f t="shared" si="6"/>
        <v>58</v>
      </c>
      <c r="T20" s="262">
        <f t="shared" si="7"/>
        <v>20</v>
      </c>
      <c r="U20" s="262">
        <f t="shared" si="8"/>
        <v>51</v>
      </c>
      <c r="V20" s="262" t="str">
        <f t="shared" si="9"/>
        <v>XL</v>
      </c>
    </row>
    <row r="21" spans="16:22">
      <c r="P21" s="263">
        <v>6</v>
      </c>
      <c r="Q21" s="264">
        <v>3</v>
      </c>
      <c r="R21" s="265">
        <f t="shared" si="5"/>
        <v>191</v>
      </c>
      <c r="S21" s="262">
        <f t="shared" si="6"/>
        <v>60</v>
      </c>
      <c r="T21" s="262">
        <f t="shared" si="7"/>
        <v>21</v>
      </c>
      <c r="U21" s="262">
        <f t="shared" si="8"/>
        <v>54</v>
      </c>
      <c r="V21" s="262" t="str">
        <f t="shared" si="9"/>
        <v>XXL</v>
      </c>
    </row>
    <row r="22" spans="16:22">
      <c r="P22" s="263">
        <v>6</v>
      </c>
      <c r="Q22" s="264">
        <v>4</v>
      </c>
      <c r="R22" s="265">
        <f t="shared" si="5"/>
        <v>194</v>
      </c>
      <c r="S22" s="262">
        <f t="shared" si="6"/>
        <v>60</v>
      </c>
      <c r="T22" s="262">
        <f t="shared" si="7"/>
        <v>21</v>
      </c>
      <c r="U22" s="262">
        <f t="shared" si="8"/>
        <v>54</v>
      </c>
      <c r="V22" s="262" t="str">
        <f t="shared" si="9"/>
        <v>XXL</v>
      </c>
    </row>
    <row r="23" spans="16:22">
      <c r="P23" s="263">
        <v>6</v>
      </c>
      <c r="Q23" s="264">
        <v>5</v>
      </c>
      <c r="R23" s="265">
        <f t="shared" si="5"/>
        <v>196</v>
      </c>
      <c r="S23" s="262">
        <f t="shared" si="6"/>
        <v>62</v>
      </c>
      <c r="T23" s="262">
        <f t="shared" si="7"/>
        <v>22</v>
      </c>
      <c r="U23" s="262">
        <f t="shared" si="8"/>
        <v>56</v>
      </c>
      <c r="V23" s="262" t="str">
        <f t="shared" si="9"/>
        <v>XXXL</v>
      </c>
    </row>
    <row r="24" spans="16:22">
      <c r="P24" s="263">
        <v>6</v>
      </c>
      <c r="Q24" s="264">
        <v>6</v>
      </c>
      <c r="R24" s="265">
        <f t="shared" si="5"/>
        <v>199</v>
      </c>
      <c r="S24" s="262">
        <f t="shared" si="6"/>
        <v>62</v>
      </c>
      <c r="T24" s="262">
        <f t="shared" si="7"/>
        <v>22</v>
      </c>
      <c r="U24" s="262">
        <f t="shared" si="8"/>
        <v>56</v>
      </c>
      <c r="V24" s="262" t="str">
        <f t="shared" si="9"/>
        <v>XXXL</v>
      </c>
    </row>
    <row r="25" spans="16:22">
      <c r="P25" s="263">
        <v>6</v>
      </c>
      <c r="Q25" s="264">
        <v>7</v>
      </c>
      <c r="R25" s="265">
        <f t="shared" si="5"/>
        <v>201</v>
      </c>
      <c r="S25" s="262">
        <f t="shared" si="6"/>
        <v>62</v>
      </c>
      <c r="T25" s="262">
        <f t="shared" si="7"/>
        <v>22</v>
      </c>
      <c r="U25" s="262">
        <f t="shared" si="8"/>
        <v>56</v>
      </c>
      <c r="V25" s="262" t="str">
        <f t="shared" si="9"/>
        <v>XXXL</v>
      </c>
    </row>
    <row r="26" spans="16:22">
      <c r="P26" s="263">
        <v>6</v>
      </c>
      <c r="Q26" s="264">
        <v>8</v>
      </c>
      <c r="R26" s="265">
        <f t="shared" si="5"/>
        <v>204</v>
      </c>
      <c r="S26" s="262">
        <f t="shared" si="6"/>
        <v>62</v>
      </c>
      <c r="T26" s="262">
        <f t="shared" si="7"/>
        <v>22</v>
      </c>
      <c r="U26" s="262">
        <f t="shared" si="8"/>
        <v>56</v>
      </c>
      <c r="V26" s="262" t="str">
        <f t="shared" si="9"/>
        <v>XXXL</v>
      </c>
    </row>
    <row r="27" spans="16:22" ht="16" thickBot="1">
      <c r="P27" s="268">
        <v>6</v>
      </c>
      <c r="Q27" s="269">
        <v>9</v>
      </c>
      <c r="R27" s="265">
        <f t="shared" si="5"/>
        <v>206</v>
      </c>
      <c r="S27" s="262">
        <f t="shared" si="6"/>
        <v>62</v>
      </c>
      <c r="T27" s="262">
        <f t="shared" si="7"/>
        <v>22</v>
      </c>
      <c r="U27" s="262">
        <f t="shared" si="8"/>
        <v>56</v>
      </c>
      <c r="V27" s="262" t="str">
        <f t="shared" si="9"/>
        <v>XXXL</v>
      </c>
    </row>
  </sheetData>
  <mergeCells count="1">
    <mergeCell ref="A4:D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4DC17-758C-F645-BAEB-7EA4B03EF3F7}">
  <sheetPr codeName="Sheet7"/>
  <dimension ref="A1:K201"/>
  <sheetViews>
    <sheetView zoomScale="91" zoomScaleNormal="91" workbookViewId="0">
      <selection activeCell="C2" sqref="C2"/>
    </sheetView>
  </sheetViews>
  <sheetFormatPr defaultColWidth="8.83203125" defaultRowHeight="15.5"/>
  <cols>
    <col min="2" max="2" width="15.6640625" customWidth="1"/>
    <col min="3" max="3" width="16.6640625" customWidth="1"/>
    <col min="4" max="7" width="12" customWidth="1"/>
    <col min="11" max="11" width="12.5" customWidth="1"/>
  </cols>
  <sheetData>
    <row r="1" spans="1:11">
      <c r="A1" s="270" t="s">
        <v>505</v>
      </c>
      <c r="B1" s="270" t="s">
        <v>506</v>
      </c>
      <c r="C1" s="270" t="s">
        <v>507</v>
      </c>
      <c r="D1" s="270">
        <v>2024</v>
      </c>
      <c r="E1" s="270">
        <v>2025</v>
      </c>
      <c r="F1" s="270">
        <v>2026</v>
      </c>
      <c r="G1" s="270">
        <v>2027</v>
      </c>
    </row>
    <row r="2" spans="1:11">
      <c r="A2" s="3" t="s">
        <v>508</v>
      </c>
      <c r="B2" s="3" t="s">
        <v>509</v>
      </c>
      <c r="C2" s="271">
        <f>D2</f>
        <v>1945</v>
      </c>
      <c r="D2" s="113">
        <v>1945</v>
      </c>
      <c r="E2" s="113">
        <v>239292</v>
      </c>
      <c r="F2" s="113">
        <v>239292</v>
      </c>
      <c r="G2" s="113">
        <v>199141</v>
      </c>
    </row>
    <row r="3" spans="1:11">
      <c r="A3" s="3" t="s">
        <v>510</v>
      </c>
      <c r="B3" s="3" t="s">
        <v>511</v>
      </c>
      <c r="C3" s="271">
        <f t="shared" ref="C3:C66" si="0">D3</f>
        <v>6134</v>
      </c>
      <c r="D3" s="113">
        <v>6134</v>
      </c>
      <c r="E3" s="113">
        <v>132745</v>
      </c>
      <c r="F3" s="113">
        <v>132745</v>
      </c>
      <c r="G3" s="113">
        <v>239295</v>
      </c>
    </row>
    <row r="4" spans="1:11">
      <c r="A4" s="3" t="s">
        <v>512</v>
      </c>
      <c r="B4" s="3" t="s">
        <v>513</v>
      </c>
      <c r="C4" s="271">
        <f t="shared" si="0"/>
        <v>1425</v>
      </c>
      <c r="D4" s="113">
        <v>1425</v>
      </c>
      <c r="E4" s="113">
        <v>187949</v>
      </c>
      <c r="F4" s="113">
        <v>187949</v>
      </c>
      <c r="G4" s="113">
        <v>288460</v>
      </c>
      <c r="K4" s="272"/>
    </row>
    <row r="5" spans="1:11">
      <c r="A5" s="3" t="s">
        <v>514</v>
      </c>
      <c r="B5" s="3" t="s">
        <v>515</v>
      </c>
      <c r="C5" s="271">
        <f t="shared" si="0"/>
        <v>215425</v>
      </c>
      <c r="D5" s="113">
        <v>215425</v>
      </c>
      <c r="E5" s="113">
        <v>201452</v>
      </c>
      <c r="F5" s="113">
        <v>201452</v>
      </c>
      <c r="G5" s="113">
        <v>283065</v>
      </c>
      <c r="K5" s="272"/>
    </row>
    <row r="6" spans="1:11">
      <c r="A6" s="3" t="s">
        <v>516</v>
      </c>
      <c r="B6" s="3" t="s">
        <v>517</v>
      </c>
      <c r="C6" s="271">
        <f t="shared" si="0"/>
        <v>1612</v>
      </c>
      <c r="D6" s="113">
        <v>1612</v>
      </c>
      <c r="E6" s="113">
        <v>213420</v>
      </c>
      <c r="F6" s="113">
        <v>213420</v>
      </c>
      <c r="G6" s="113">
        <v>164738</v>
      </c>
    </row>
    <row r="7" spans="1:11">
      <c r="A7" s="3" t="s">
        <v>518</v>
      </c>
      <c r="B7" s="3" t="s">
        <v>519</v>
      </c>
      <c r="C7" s="271">
        <f t="shared" si="0"/>
        <v>25689</v>
      </c>
      <c r="D7" s="113">
        <v>25689</v>
      </c>
      <c r="E7" s="113">
        <v>302560</v>
      </c>
      <c r="F7" s="113">
        <v>302560</v>
      </c>
      <c r="G7" s="113">
        <v>165891</v>
      </c>
      <c r="K7" s="272"/>
    </row>
    <row r="8" spans="1:11">
      <c r="A8" s="3" t="s">
        <v>520</v>
      </c>
      <c r="B8" s="3" t="s">
        <v>521</v>
      </c>
      <c r="C8" s="271">
        <f t="shared" si="0"/>
        <v>25639</v>
      </c>
      <c r="D8" s="113">
        <v>25639</v>
      </c>
      <c r="E8" s="113">
        <v>216975</v>
      </c>
      <c r="F8" s="113">
        <v>216975</v>
      </c>
      <c r="G8" s="113">
        <v>232837</v>
      </c>
    </row>
    <row r="9" spans="1:11">
      <c r="A9" s="3" t="s">
        <v>522</v>
      </c>
      <c r="B9" s="3" t="s">
        <v>523</v>
      </c>
      <c r="C9" s="271">
        <f t="shared" si="0"/>
        <v>2154</v>
      </c>
      <c r="D9" s="113">
        <v>2154</v>
      </c>
      <c r="E9" s="113">
        <v>181948</v>
      </c>
      <c r="F9" s="113">
        <v>181948</v>
      </c>
      <c r="G9" s="113">
        <v>253500</v>
      </c>
    </row>
    <row r="10" spans="1:11">
      <c r="A10" s="3" t="s">
        <v>524</v>
      </c>
      <c r="B10" s="3" t="s">
        <v>525</v>
      </c>
      <c r="C10" s="271">
        <f t="shared" si="0"/>
        <v>4765</v>
      </c>
      <c r="D10" s="113">
        <v>4765</v>
      </c>
      <c r="E10" s="113">
        <v>120606</v>
      </c>
      <c r="F10" s="113">
        <v>120606</v>
      </c>
      <c r="G10" s="113">
        <v>190771</v>
      </c>
    </row>
    <row r="11" spans="1:11">
      <c r="A11" s="3" t="s">
        <v>526</v>
      </c>
      <c r="B11" s="3" t="s">
        <v>527</v>
      </c>
      <c r="C11" s="271">
        <f t="shared" si="0"/>
        <v>250356</v>
      </c>
      <c r="D11" s="113">
        <v>250356</v>
      </c>
      <c r="E11" s="113">
        <v>213426</v>
      </c>
      <c r="F11" s="113">
        <v>213426</v>
      </c>
      <c r="G11" s="113">
        <v>195040</v>
      </c>
    </row>
    <row r="12" spans="1:11">
      <c r="A12" s="3" t="s">
        <v>528</v>
      </c>
      <c r="B12" s="3" t="s">
        <v>529</v>
      </c>
      <c r="C12" s="271">
        <f t="shared" si="0"/>
        <v>6491</v>
      </c>
      <c r="D12" s="113">
        <v>6491</v>
      </c>
      <c r="E12" s="113">
        <v>167040</v>
      </c>
      <c r="F12" s="113">
        <v>167040</v>
      </c>
      <c r="G12" s="113">
        <v>220695</v>
      </c>
    </row>
    <row r="13" spans="1:11">
      <c r="A13" s="3" t="s">
        <v>530</v>
      </c>
      <c r="B13" s="3" t="s">
        <v>531</v>
      </c>
      <c r="C13" s="271">
        <f t="shared" si="0"/>
        <v>50689</v>
      </c>
      <c r="D13" s="113">
        <v>50689</v>
      </c>
      <c r="E13" s="113">
        <v>232792</v>
      </c>
      <c r="F13" s="113">
        <v>312792</v>
      </c>
      <c r="G13" s="113">
        <v>186192</v>
      </c>
    </row>
    <row r="14" spans="1:11">
      <c r="A14" s="3" t="s">
        <v>532</v>
      </c>
      <c r="B14" s="3" t="s">
        <v>533</v>
      </c>
      <c r="C14" s="271">
        <f t="shared" si="0"/>
        <v>1987</v>
      </c>
      <c r="D14" s="113">
        <v>1987</v>
      </c>
      <c r="E14" s="113">
        <v>126137</v>
      </c>
      <c r="F14" s="113">
        <v>126137</v>
      </c>
      <c r="G14" s="113">
        <v>268863</v>
      </c>
    </row>
    <row r="15" spans="1:11">
      <c r="A15" s="3" t="s">
        <v>534</v>
      </c>
      <c r="B15" s="3" t="s">
        <v>535</v>
      </c>
      <c r="C15" s="271">
        <f t="shared" si="0"/>
        <v>1413</v>
      </c>
      <c r="D15" s="113">
        <v>1413</v>
      </c>
      <c r="E15" s="113">
        <v>200524</v>
      </c>
      <c r="F15" s="113">
        <v>200524</v>
      </c>
      <c r="G15" s="113">
        <v>264057</v>
      </c>
    </row>
    <row r="16" spans="1:11">
      <c r="A16" s="3" t="s">
        <v>536</v>
      </c>
      <c r="B16" s="3" t="s">
        <v>537</v>
      </c>
      <c r="C16" s="271">
        <f t="shared" si="0"/>
        <v>2014</v>
      </c>
      <c r="D16" s="113">
        <v>2014</v>
      </c>
      <c r="E16" s="113">
        <v>138784</v>
      </c>
      <c r="F16" s="113">
        <v>138784</v>
      </c>
      <c r="G16" s="113">
        <v>265813</v>
      </c>
    </row>
    <row r="17" spans="1:7">
      <c r="A17" s="3" t="s">
        <v>538</v>
      </c>
      <c r="B17" s="3" t="s">
        <v>539</v>
      </c>
      <c r="C17" s="271">
        <f t="shared" si="0"/>
        <v>5692</v>
      </c>
      <c r="D17" s="113">
        <v>5692</v>
      </c>
      <c r="E17" s="113">
        <v>260167</v>
      </c>
      <c r="F17" s="113">
        <v>260167</v>
      </c>
      <c r="G17" s="113">
        <v>199052</v>
      </c>
    </row>
    <row r="18" spans="1:7">
      <c r="A18" s="3" t="s">
        <v>540</v>
      </c>
      <c r="B18" s="3" t="s">
        <v>541</v>
      </c>
      <c r="C18" s="271">
        <f t="shared" si="0"/>
        <v>1498</v>
      </c>
      <c r="D18" s="113">
        <v>1498</v>
      </c>
      <c r="E18" s="113">
        <v>241365</v>
      </c>
      <c r="F18" s="113">
        <v>241365</v>
      </c>
      <c r="G18" s="113">
        <v>165090</v>
      </c>
    </row>
    <row r="19" spans="1:7">
      <c r="A19" s="3" t="s">
        <v>542</v>
      </c>
      <c r="B19" s="3" t="s">
        <v>543</v>
      </c>
      <c r="C19" s="271">
        <f t="shared" si="0"/>
        <v>1524</v>
      </c>
      <c r="D19" s="113">
        <v>1524</v>
      </c>
      <c r="E19" s="113">
        <v>209630</v>
      </c>
      <c r="F19" s="113">
        <v>209630</v>
      </c>
      <c r="G19" s="113">
        <v>205426</v>
      </c>
    </row>
    <row r="20" spans="1:7">
      <c r="A20" s="3" t="s">
        <v>544</v>
      </c>
      <c r="B20" s="3" t="s">
        <v>545</v>
      </c>
      <c r="C20" s="271">
        <f t="shared" si="0"/>
        <v>1750</v>
      </c>
      <c r="D20" s="113">
        <v>1750</v>
      </c>
      <c r="E20" s="113">
        <v>213654</v>
      </c>
      <c r="F20" s="113">
        <v>213654</v>
      </c>
      <c r="G20" s="113">
        <v>292527</v>
      </c>
    </row>
    <row r="21" spans="1:7">
      <c r="A21" s="3" t="s">
        <v>546</v>
      </c>
      <c r="B21" s="3" t="s">
        <v>547</v>
      </c>
      <c r="C21" s="271">
        <f t="shared" si="0"/>
        <v>1348</v>
      </c>
      <c r="D21" s="113">
        <v>1348</v>
      </c>
      <c r="E21" s="113">
        <v>259751</v>
      </c>
      <c r="F21" s="113">
        <v>259751</v>
      </c>
      <c r="G21" s="113">
        <v>201365</v>
      </c>
    </row>
    <row r="22" spans="1:7">
      <c r="A22" s="3" t="s">
        <v>548</v>
      </c>
      <c r="B22" s="3" t="s">
        <v>549</v>
      </c>
      <c r="C22" s="271">
        <f t="shared" si="0"/>
        <v>6903</v>
      </c>
      <c r="D22" s="113">
        <v>6903</v>
      </c>
      <c r="E22" s="113">
        <v>277450</v>
      </c>
      <c r="F22" s="113">
        <v>277450</v>
      </c>
      <c r="G22" s="113">
        <v>192177</v>
      </c>
    </row>
    <row r="23" spans="1:7">
      <c r="A23" s="3" t="s">
        <v>550</v>
      </c>
      <c r="B23" s="3" t="s">
        <v>551</v>
      </c>
      <c r="C23" s="271">
        <f t="shared" si="0"/>
        <v>1631</v>
      </c>
      <c r="D23" s="113">
        <v>1631</v>
      </c>
      <c r="E23" s="113">
        <v>180094</v>
      </c>
      <c r="F23" s="113">
        <v>180094</v>
      </c>
      <c r="G23" s="113">
        <v>281770</v>
      </c>
    </row>
    <row r="24" spans="1:7">
      <c r="A24" s="3" t="s">
        <v>552</v>
      </c>
      <c r="B24" s="3" t="s">
        <v>553</v>
      </c>
      <c r="C24" s="271">
        <f t="shared" si="0"/>
        <v>4177</v>
      </c>
      <c r="D24" s="113">
        <v>4177</v>
      </c>
      <c r="E24" s="113">
        <v>145240</v>
      </c>
      <c r="F24" s="113">
        <v>145240</v>
      </c>
      <c r="G24" s="113">
        <v>185281</v>
      </c>
    </row>
    <row r="25" spans="1:7">
      <c r="A25" s="3" t="s">
        <v>554</v>
      </c>
      <c r="B25" s="3" t="s">
        <v>555</v>
      </c>
      <c r="C25" s="271">
        <f t="shared" si="0"/>
        <v>2821</v>
      </c>
      <c r="D25" s="113">
        <v>2821</v>
      </c>
      <c r="E25" s="113">
        <v>312405</v>
      </c>
      <c r="F25" s="113">
        <v>312405</v>
      </c>
      <c r="G25" s="113">
        <v>207543</v>
      </c>
    </row>
    <row r="26" spans="1:7">
      <c r="A26" s="3" t="s">
        <v>556</v>
      </c>
      <c r="B26" s="3" t="s">
        <v>557</v>
      </c>
      <c r="C26" s="271">
        <f t="shared" si="0"/>
        <v>12224</v>
      </c>
      <c r="D26" s="113">
        <v>12224</v>
      </c>
      <c r="E26" s="113">
        <v>119920</v>
      </c>
      <c r="F26" s="113">
        <v>119920</v>
      </c>
      <c r="G26" s="113">
        <v>205706</v>
      </c>
    </row>
    <row r="27" spans="1:7">
      <c r="A27" s="3" t="s">
        <v>558</v>
      </c>
      <c r="B27" s="3" t="s">
        <v>559</v>
      </c>
      <c r="C27" s="271">
        <f t="shared" si="0"/>
        <v>1533</v>
      </c>
      <c r="D27" s="113">
        <v>1533</v>
      </c>
      <c r="E27" s="113">
        <v>272602</v>
      </c>
      <c r="F27" s="113">
        <v>272602</v>
      </c>
      <c r="G27" s="113">
        <v>298426</v>
      </c>
    </row>
    <row r="28" spans="1:7">
      <c r="A28" s="3" t="s">
        <v>560</v>
      </c>
      <c r="B28" s="3" t="s">
        <v>561</v>
      </c>
      <c r="C28" s="271">
        <f t="shared" si="0"/>
        <v>245</v>
      </c>
      <c r="D28" s="113">
        <v>245</v>
      </c>
      <c r="E28" s="113">
        <v>142650</v>
      </c>
      <c r="F28" s="113">
        <v>358650</v>
      </c>
      <c r="G28" s="113">
        <v>195093</v>
      </c>
    </row>
    <row r="29" spans="1:7">
      <c r="A29" s="3" t="s">
        <v>562</v>
      </c>
      <c r="B29" s="3" t="s">
        <v>563</v>
      </c>
      <c r="C29" s="271">
        <f t="shared" si="0"/>
        <v>2156</v>
      </c>
      <c r="D29" s="113">
        <v>2156</v>
      </c>
      <c r="E29" s="113">
        <v>159544</v>
      </c>
      <c r="F29" s="113">
        <v>159544</v>
      </c>
      <c r="G29" s="113">
        <v>256540</v>
      </c>
    </row>
    <row r="30" spans="1:7">
      <c r="A30" s="3" t="s">
        <v>564</v>
      </c>
      <c r="B30" s="3" t="s">
        <v>565</v>
      </c>
      <c r="C30" s="271">
        <f t="shared" si="0"/>
        <v>3562</v>
      </c>
      <c r="D30" s="113">
        <v>3562</v>
      </c>
      <c r="E30" s="113">
        <v>131644</v>
      </c>
      <c r="F30" s="113">
        <v>131644</v>
      </c>
      <c r="G30" s="113">
        <v>214533</v>
      </c>
    </row>
    <row r="31" spans="1:7">
      <c r="A31" s="3" t="s">
        <v>566</v>
      </c>
      <c r="B31" s="3" t="s">
        <v>567</v>
      </c>
      <c r="C31" s="271">
        <f t="shared" si="0"/>
        <v>1554</v>
      </c>
      <c r="D31" s="113">
        <v>1554</v>
      </c>
      <c r="E31" s="113">
        <v>216547</v>
      </c>
      <c r="F31" s="113">
        <v>216547</v>
      </c>
      <c r="G31" s="113">
        <v>203470</v>
      </c>
    </row>
    <row r="32" spans="1:7">
      <c r="A32" s="3" t="s">
        <v>568</v>
      </c>
      <c r="B32" s="3" t="s">
        <v>569</v>
      </c>
      <c r="C32" s="271">
        <f t="shared" si="0"/>
        <v>12036</v>
      </c>
      <c r="D32" s="113">
        <v>12036</v>
      </c>
      <c r="E32" s="113">
        <v>236541</v>
      </c>
      <c r="F32" s="113">
        <v>236541</v>
      </c>
      <c r="G32" s="113">
        <v>174168</v>
      </c>
    </row>
    <row r="33" spans="1:7">
      <c r="A33" s="3" t="s">
        <v>570</v>
      </c>
      <c r="B33" s="3" t="s">
        <v>571</v>
      </c>
      <c r="C33" s="271">
        <f t="shared" si="0"/>
        <v>3735</v>
      </c>
      <c r="D33" s="113">
        <v>3735</v>
      </c>
      <c r="E33" s="113">
        <v>105963</v>
      </c>
      <c r="F33" s="113">
        <v>105963</v>
      </c>
      <c r="G33" s="113">
        <v>248647</v>
      </c>
    </row>
    <row r="34" spans="1:7">
      <c r="A34" s="3" t="s">
        <v>572</v>
      </c>
      <c r="B34" s="3" t="s">
        <v>573</v>
      </c>
      <c r="C34" s="271">
        <f t="shared" si="0"/>
        <v>10356</v>
      </c>
      <c r="D34" s="113">
        <v>10356</v>
      </c>
      <c r="E34" s="113">
        <v>171667</v>
      </c>
      <c r="F34" s="113">
        <v>171667</v>
      </c>
      <c r="G34" s="113">
        <v>241613</v>
      </c>
    </row>
    <row r="35" spans="1:7">
      <c r="A35" s="3" t="s">
        <v>574</v>
      </c>
      <c r="B35" s="3" t="s">
        <v>575</v>
      </c>
      <c r="C35" s="271">
        <f t="shared" si="0"/>
        <v>10254</v>
      </c>
      <c r="D35" s="113">
        <v>10254</v>
      </c>
      <c r="E35" s="113">
        <v>274120</v>
      </c>
      <c r="F35" s="113">
        <v>274120</v>
      </c>
      <c r="G35" s="113">
        <v>246912</v>
      </c>
    </row>
    <row r="36" spans="1:7">
      <c r="A36" s="3" t="s">
        <v>576</v>
      </c>
      <c r="B36" s="3" t="s">
        <v>577</v>
      </c>
      <c r="C36" s="271">
        <f t="shared" si="0"/>
        <v>3076</v>
      </c>
      <c r="D36" s="113">
        <v>3076</v>
      </c>
      <c r="E36" s="113">
        <v>121557</v>
      </c>
      <c r="F36" s="113">
        <v>121557</v>
      </c>
      <c r="G36" s="113">
        <v>193932</v>
      </c>
    </row>
    <row r="37" spans="1:7">
      <c r="A37" s="3" t="s">
        <v>578</v>
      </c>
      <c r="B37" s="3" t="s">
        <v>579</v>
      </c>
      <c r="C37" s="271">
        <f t="shared" si="0"/>
        <v>1637</v>
      </c>
      <c r="D37" s="113">
        <v>1637</v>
      </c>
      <c r="E37" s="113">
        <v>268727</v>
      </c>
      <c r="F37" s="113">
        <v>268727</v>
      </c>
      <c r="G37" s="113">
        <v>293195</v>
      </c>
    </row>
    <row r="38" spans="1:7">
      <c r="A38" s="3" t="s">
        <v>580</v>
      </c>
      <c r="B38" s="3" t="s">
        <v>581</v>
      </c>
      <c r="C38" s="271">
        <f t="shared" si="0"/>
        <v>125036</v>
      </c>
      <c r="D38" s="113">
        <v>125036</v>
      </c>
      <c r="E38" s="113">
        <v>252854</v>
      </c>
      <c r="F38" s="113">
        <v>252854</v>
      </c>
      <c r="G38" s="113">
        <v>279399</v>
      </c>
    </row>
    <row r="39" spans="1:7">
      <c r="A39" s="3" t="s">
        <v>582</v>
      </c>
      <c r="B39" s="3" t="s">
        <v>583</v>
      </c>
      <c r="C39" s="271">
        <f t="shared" si="0"/>
        <v>2154</v>
      </c>
      <c r="D39" s="113">
        <v>2154</v>
      </c>
      <c r="E39" s="113">
        <v>131271</v>
      </c>
      <c r="F39" s="113">
        <v>331271</v>
      </c>
      <c r="G39" s="113">
        <v>277326</v>
      </c>
    </row>
    <row r="40" spans="1:7">
      <c r="A40" s="3" t="s">
        <v>584</v>
      </c>
      <c r="B40" s="3" t="s">
        <v>585</v>
      </c>
      <c r="C40" s="271">
        <f t="shared" si="0"/>
        <v>8070</v>
      </c>
      <c r="D40" s="113">
        <v>8070</v>
      </c>
      <c r="E40" s="113">
        <v>195411</v>
      </c>
      <c r="F40" s="113">
        <v>195411</v>
      </c>
      <c r="G40" s="113">
        <v>191709</v>
      </c>
    </row>
    <row r="41" spans="1:7">
      <c r="A41" s="3" t="s">
        <v>586</v>
      </c>
      <c r="B41" s="3" t="s">
        <v>587</v>
      </c>
      <c r="C41" s="271">
        <f t="shared" si="0"/>
        <v>2342</v>
      </c>
      <c r="D41" s="113">
        <v>2342</v>
      </c>
      <c r="E41" s="113">
        <v>290451</v>
      </c>
      <c r="F41" s="113">
        <v>290451</v>
      </c>
      <c r="G41" s="113">
        <v>187443</v>
      </c>
    </row>
    <row r="42" spans="1:7">
      <c r="A42" s="3" t="s">
        <v>588</v>
      </c>
      <c r="B42" s="3" t="s">
        <v>589</v>
      </c>
      <c r="C42" s="271">
        <f t="shared" si="0"/>
        <v>2156</v>
      </c>
      <c r="D42" s="113">
        <v>2156</v>
      </c>
      <c r="E42" s="113">
        <v>111930</v>
      </c>
      <c r="F42" s="113">
        <v>111930</v>
      </c>
      <c r="G42" s="113">
        <v>190564</v>
      </c>
    </row>
    <row r="43" spans="1:7">
      <c r="A43" s="3" t="s">
        <v>590</v>
      </c>
      <c r="B43" s="3" t="s">
        <v>591</v>
      </c>
      <c r="C43" s="271">
        <f t="shared" si="0"/>
        <v>2226</v>
      </c>
      <c r="D43" s="113">
        <v>2226</v>
      </c>
      <c r="E43" s="113">
        <v>321526</v>
      </c>
      <c r="F43" s="113">
        <v>321526</v>
      </c>
      <c r="G43" s="113">
        <v>196496</v>
      </c>
    </row>
    <row r="44" spans="1:7">
      <c r="A44" s="3" t="s">
        <v>592</v>
      </c>
      <c r="B44" s="3" t="s">
        <v>593</v>
      </c>
      <c r="C44" s="271">
        <f t="shared" si="0"/>
        <v>2454</v>
      </c>
      <c r="D44" s="113">
        <v>2454</v>
      </c>
      <c r="E44" s="113">
        <v>138527</v>
      </c>
      <c r="F44" s="113">
        <v>138527</v>
      </c>
      <c r="G44" s="113">
        <v>251547</v>
      </c>
    </row>
    <row r="45" spans="1:7">
      <c r="A45" s="3" t="s">
        <v>594</v>
      </c>
      <c r="B45" s="3" t="s">
        <v>595</v>
      </c>
      <c r="C45" s="271">
        <f t="shared" si="0"/>
        <v>2458</v>
      </c>
      <c r="D45" s="113">
        <v>2458</v>
      </c>
      <c r="E45" s="113">
        <v>368952</v>
      </c>
      <c r="F45" s="113">
        <v>368952</v>
      </c>
      <c r="G45" s="113">
        <v>240263</v>
      </c>
    </row>
    <row r="46" spans="1:7">
      <c r="A46" s="3" t="s">
        <v>596</v>
      </c>
      <c r="B46" s="3" t="s">
        <v>597</v>
      </c>
      <c r="C46" s="271">
        <f t="shared" si="0"/>
        <v>8750</v>
      </c>
      <c r="D46" s="113">
        <v>8750</v>
      </c>
      <c r="E46" s="113">
        <v>157307</v>
      </c>
      <c r="F46" s="113">
        <v>157307</v>
      </c>
      <c r="G46" s="113">
        <v>216743</v>
      </c>
    </row>
    <row r="47" spans="1:7">
      <c r="A47" s="3" t="s">
        <v>598</v>
      </c>
      <c r="B47" s="3" t="s">
        <v>599</v>
      </c>
      <c r="C47" s="271">
        <f t="shared" si="0"/>
        <v>3450</v>
      </c>
      <c r="D47" s="113">
        <v>3450</v>
      </c>
      <c r="E47" s="113">
        <v>103297</v>
      </c>
      <c r="F47" s="113">
        <v>103297</v>
      </c>
      <c r="G47" s="113">
        <v>262457</v>
      </c>
    </row>
    <row r="48" spans="1:7">
      <c r="A48" s="3" t="s">
        <v>600</v>
      </c>
      <c r="B48" s="3" t="s">
        <v>601</v>
      </c>
      <c r="C48" s="271">
        <f t="shared" si="0"/>
        <v>4730</v>
      </c>
      <c r="D48" s="113">
        <v>4730</v>
      </c>
      <c r="E48" s="113">
        <v>114514</v>
      </c>
      <c r="F48" s="113">
        <v>114514</v>
      </c>
      <c r="G48" s="113">
        <v>165399</v>
      </c>
    </row>
    <row r="49" spans="1:7">
      <c r="A49" s="3" t="s">
        <v>602</v>
      </c>
      <c r="B49" s="3" t="s">
        <v>603</v>
      </c>
      <c r="C49" s="271">
        <f t="shared" si="0"/>
        <v>8230</v>
      </c>
      <c r="D49" s="113">
        <v>8230</v>
      </c>
      <c r="E49" s="113">
        <v>157808</v>
      </c>
      <c r="F49" s="113">
        <v>157808</v>
      </c>
      <c r="G49" s="113">
        <v>195478</v>
      </c>
    </row>
    <row r="50" spans="1:7">
      <c r="A50" s="3" t="s">
        <v>604</v>
      </c>
      <c r="B50" s="3" t="s">
        <v>605</v>
      </c>
      <c r="C50" s="271">
        <f t="shared" si="0"/>
        <v>7065</v>
      </c>
      <c r="D50" s="113">
        <v>7065</v>
      </c>
      <c r="E50" s="113">
        <v>197813</v>
      </c>
      <c r="F50" s="113">
        <v>197813</v>
      </c>
      <c r="G50" s="113">
        <v>243044</v>
      </c>
    </row>
    <row r="51" spans="1:7">
      <c r="A51" s="3" t="s">
        <v>606</v>
      </c>
      <c r="B51" s="3" t="s">
        <v>607</v>
      </c>
      <c r="C51" s="271">
        <f t="shared" si="0"/>
        <v>2456</v>
      </c>
      <c r="D51" s="113">
        <v>2456</v>
      </c>
      <c r="E51" s="113">
        <v>186953</v>
      </c>
      <c r="F51" s="113">
        <v>305695</v>
      </c>
      <c r="G51" s="113">
        <v>209624</v>
      </c>
    </row>
    <row r="52" spans="1:7">
      <c r="A52" s="3" t="s">
        <v>608</v>
      </c>
      <c r="B52" s="3" t="s">
        <v>609</v>
      </c>
      <c r="C52" s="271">
        <f t="shared" si="0"/>
        <v>9246</v>
      </c>
      <c r="D52" s="113">
        <v>9246</v>
      </c>
      <c r="E52" s="113">
        <v>162701</v>
      </c>
      <c r="F52" s="113">
        <v>162701</v>
      </c>
      <c r="G52" s="113">
        <v>230503</v>
      </c>
    </row>
    <row r="53" spans="1:7">
      <c r="A53" s="3" t="s">
        <v>610</v>
      </c>
      <c r="B53" s="3" t="s">
        <v>611</v>
      </c>
      <c r="C53" s="271">
        <f t="shared" si="0"/>
        <v>85612</v>
      </c>
      <c r="D53" s="113">
        <v>85612</v>
      </c>
      <c r="E53" s="113">
        <v>260729</v>
      </c>
      <c r="F53" s="113">
        <v>260729</v>
      </c>
      <c r="G53" s="113">
        <v>181818</v>
      </c>
    </row>
    <row r="54" spans="1:7">
      <c r="A54" s="3" t="s">
        <v>612</v>
      </c>
      <c r="B54" s="3" t="s">
        <v>613</v>
      </c>
      <c r="C54" s="271">
        <f t="shared" si="0"/>
        <v>54682</v>
      </c>
      <c r="D54" s="113">
        <v>54682</v>
      </c>
      <c r="E54" s="113">
        <v>302641</v>
      </c>
      <c r="F54" s="113">
        <v>302641</v>
      </c>
      <c r="G54" s="113">
        <v>230231</v>
      </c>
    </row>
    <row r="55" spans="1:7">
      <c r="A55" s="3" t="s">
        <v>614</v>
      </c>
      <c r="B55" s="3" t="s">
        <v>615</v>
      </c>
      <c r="C55" s="271">
        <f t="shared" si="0"/>
        <v>2456</v>
      </c>
      <c r="D55" s="113">
        <v>2456</v>
      </c>
      <c r="E55" s="113">
        <v>172838</v>
      </c>
      <c r="F55" s="113">
        <v>172838</v>
      </c>
      <c r="G55" s="113">
        <v>220662</v>
      </c>
    </row>
    <row r="56" spans="1:7">
      <c r="A56" s="3" t="s">
        <v>616</v>
      </c>
      <c r="B56" s="3" t="s">
        <v>617</v>
      </c>
      <c r="C56" s="271">
        <f t="shared" si="0"/>
        <v>2559</v>
      </c>
      <c r="D56" s="113">
        <v>2559</v>
      </c>
      <c r="E56" s="113">
        <v>356780</v>
      </c>
      <c r="F56" s="113">
        <v>356780</v>
      </c>
      <c r="G56" s="113">
        <v>246682</v>
      </c>
    </row>
    <row r="57" spans="1:7">
      <c r="A57" s="3" t="s">
        <v>618</v>
      </c>
      <c r="B57" s="3" t="s">
        <v>619</v>
      </c>
      <c r="C57" s="271">
        <f t="shared" si="0"/>
        <v>2547</v>
      </c>
      <c r="D57" s="113">
        <v>2547</v>
      </c>
      <c r="E57" s="113">
        <v>288403</v>
      </c>
      <c r="F57" s="113">
        <v>288403</v>
      </c>
      <c r="G57" s="113">
        <v>232888</v>
      </c>
    </row>
    <row r="58" spans="1:7">
      <c r="A58" s="3" t="s">
        <v>620</v>
      </c>
      <c r="B58" s="3" t="s">
        <v>621</v>
      </c>
      <c r="C58" s="271">
        <f t="shared" si="0"/>
        <v>7654</v>
      </c>
      <c r="D58" s="113">
        <v>7654</v>
      </c>
      <c r="E58" s="113">
        <v>154928</v>
      </c>
      <c r="F58" s="113">
        <v>154928</v>
      </c>
      <c r="G58" s="113">
        <v>211584</v>
      </c>
    </row>
    <row r="59" spans="1:7">
      <c r="A59" s="3" t="s">
        <v>622</v>
      </c>
      <c r="B59" s="3" t="s">
        <v>623</v>
      </c>
      <c r="C59" s="271">
        <f t="shared" si="0"/>
        <v>2549</v>
      </c>
      <c r="D59" s="113">
        <v>2549</v>
      </c>
      <c r="E59" s="113">
        <v>289410</v>
      </c>
      <c r="F59" s="113">
        <v>299410</v>
      </c>
      <c r="G59" s="113">
        <v>161350</v>
      </c>
    </row>
    <row r="60" spans="1:7">
      <c r="A60" s="3" t="s">
        <v>624</v>
      </c>
      <c r="B60" s="3" t="s">
        <v>625</v>
      </c>
      <c r="C60" s="271">
        <f t="shared" si="0"/>
        <v>4084</v>
      </c>
      <c r="D60" s="113">
        <v>4084</v>
      </c>
      <c r="E60" s="113">
        <v>196199</v>
      </c>
      <c r="F60" s="113">
        <v>196199</v>
      </c>
      <c r="G60" s="113">
        <v>162618</v>
      </c>
    </row>
    <row r="61" spans="1:7">
      <c r="A61" s="3" t="s">
        <v>626</v>
      </c>
      <c r="B61" s="3" t="s">
        <v>627</v>
      </c>
      <c r="C61" s="271">
        <f t="shared" si="0"/>
        <v>10038</v>
      </c>
      <c r="D61" s="113">
        <v>10038</v>
      </c>
      <c r="E61" s="113">
        <v>192060</v>
      </c>
      <c r="F61" s="113">
        <v>192060</v>
      </c>
      <c r="G61" s="113">
        <v>212844</v>
      </c>
    </row>
    <row r="62" spans="1:7">
      <c r="A62" s="3" t="s">
        <v>628</v>
      </c>
      <c r="B62" s="3" t="s">
        <v>629</v>
      </c>
      <c r="C62" s="271">
        <f t="shared" si="0"/>
        <v>2525</v>
      </c>
      <c r="D62" s="113">
        <v>2525</v>
      </c>
      <c r="E62" s="113">
        <v>309153</v>
      </c>
      <c r="F62" s="113">
        <v>309153</v>
      </c>
      <c r="G62" s="113">
        <v>242956</v>
      </c>
    </row>
    <row r="63" spans="1:7">
      <c r="A63" s="3" t="s">
        <v>630</v>
      </c>
      <c r="B63" s="3" t="s">
        <v>631</v>
      </c>
      <c r="C63" s="271">
        <f t="shared" si="0"/>
        <v>6003</v>
      </c>
      <c r="D63" s="113">
        <v>6003</v>
      </c>
      <c r="E63" s="113">
        <v>149604</v>
      </c>
      <c r="F63" s="113">
        <v>149604</v>
      </c>
      <c r="G63" s="113">
        <v>163362</v>
      </c>
    </row>
    <row r="64" spans="1:7">
      <c r="A64" s="3" t="s">
        <v>632</v>
      </c>
      <c r="B64" s="3" t="s">
        <v>633</v>
      </c>
      <c r="C64" s="271">
        <f t="shared" si="0"/>
        <v>2189</v>
      </c>
      <c r="D64" s="113">
        <v>2189</v>
      </c>
      <c r="E64" s="113">
        <v>279461</v>
      </c>
      <c r="F64" s="113">
        <v>279461</v>
      </c>
      <c r="G64" s="113">
        <v>184220</v>
      </c>
    </row>
    <row r="65" spans="1:7">
      <c r="A65" s="3" t="s">
        <v>634</v>
      </c>
      <c r="B65" s="3" t="s">
        <v>635</v>
      </c>
      <c r="C65" s="271">
        <f t="shared" si="0"/>
        <v>86542</v>
      </c>
      <c r="D65" s="113">
        <v>86542</v>
      </c>
      <c r="E65" s="113">
        <v>356914</v>
      </c>
      <c r="F65" s="113">
        <v>356914</v>
      </c>
      <c r="G65" s="113">
        <v>215086</v>
      </c>
    </row>
    <row r="66" spans="1:7">
      <c r="A66" s="3" t="s">
        <v>636</v>
      </c>
      <c r="B66" s="3" t="s">
        <v>637</v>
      </c>
      <c r="C66" s="271">
        <f t="shared" si="0"/>
        <v>2458</v>
      </c>
      <c r="D66" s="113">
        <v>2458</v>
      </c>
      <c r="E66" s="113">
        <v>145250</v>
      </c>
      <c r="F66" s="113">
        <v>145250</v>
      </c>
      <c r="G66" s="113">
        <v>221007</v>
      </c>
    </row>
    <row r="67" spans="1:7">
      <c r="A67" s="3" t="s">
        <v>638</v>
      </c>
      <c r="B67" s="3" t="s">
        <v>639</v>
      </c>
      <c r="C67" s="271">
        <f t="shared" ref="C67:C130" si="1">D67</f>
        <v>45896</v>
      </c>
      <c r="D67" s="113">
        <v>45896</v>
      </c>
      <c r="E67" s="113">
        <v>171592</v>
      </c>
      <c r="F67" s="113">
        <v>171592</v>
      </c>
      <c r="G67" s="113">
        <v>226908</v>
      </c>
    </row>
    <row r="68" spans="1:7">
      <c r="A68" s="3" t="s">
        <v>640</v>
      </c>
      <c r="B68" s="3" t="s">
        <v>641</v>
      </c>
      <c r="C68" s="271">
        <f t="shared" si="1"/>
        <v>9748</v>
      </c>
      <c r="D68" s="113">
        <v>9748</v>
      </c>
      <c r="E68" s="113">
        <v>162464</v>
      </c>
      <c r="F68" s="113">
        <v>162464</v>
      </c>
      <c r="G68" s="113">
        <v>182556</v>
      </c>
    </row>
    <row r="69" spans="1:7">
      <c r="A69" s="3" t="s">
        <v>642</v>
      </c>
      <c r="B69" s="3" t="s">
        <v>643</v>
      </c>
      <c r="C69" s="271">
        <f t="shared" si="1"/>
        <v>65248</v>
      </c>
      <c r="D69" s="113">
        <v>65248</v>
      </c>
      <c r="E69" s="113">
        <v>279425</v>
      </c>
      <c r="F69" s="113">
        <v>279425</v>
      </c>
      <c r="G69" s="113">
        <v>251522</v>
      </c>
    </row>
    <row r="70" spans="1:7">
      <c r="A70" s="3" t="s">
        <v>644</v>
      </c>
      <c r="B70" s="3" t="s">
        <v>645</v>
      </c>
      <c r="C70" s="271">
        <f t="shared" si="1"/>
        <v>36524</v>
      </c>
      <c r="D70" s="113">
        <v>36524</v>
      </c>
      <c r="E70" s="113">
        <v>319524</v>
      </c>
      <c r="F70" s="113">
        <v>319524</v>
      </c>
      <c r="G70" s="113">
        <v>210746</v>
      </c>
    </row>
    <row r="71" spans="1:7">
      <c r="A71" s="3" t="s">
        <v>646</v>
      </c>
      <c r="B71" s="3" t="s">
        <v>647</v>
      </c>
      <c r="C71" s="271">
        <f t="shared" si="1"/>
        <v>36502</v>
      </c>
      <c r="D71" s="113">
        <v>36502</v>
      </c>
      <c r="E71" s="113">
        <v>199585</v>
      </c>
      <c r="F71" s="113">
        <v>199585</v>
      </c>
      <c r="G71" s="113">
        <v>166763</v>
      </c>
    </row>
    <row r="72" spans="1:7">
      <c r="A72" s="3" t="s">
        <v>648</v>
      </c>
      <c r="B72" s="3" t="s">
        <v>649</v>
      </c>
      <c r="C72" s="271">
        <f t="shared" si="1"/>
        <v>25649</v>
      </c>
      <c r="D72" s="113">
        <v>25649</v>
      </c>
      <c r="E72" s="113">
        <v>221376</v>
      </c>
      <c r="F72" s="113">
        <v>221376</v>
      </c>
      <c r="G72" s="113">
        <v>169263</v>
      </c>
    </row>
    <row r="73" spans="1:7">
      <c r="A73" s="3" t="s">
        <v>650</v>
      </c>
      <c r="B73" s="3" t="s">
        <v>651</v>
      </c>
      <c r="C73" s="271">
        <f t="shared" si="1"/>
        <v>2154</v>
      </c>
      <c r="D73" s="113">
        <v>2154</v>
      </c>
      <c r="E73" s="113">
        <v>88923</v>
      </c>
      <c r="F73" s="113">
        <v>88923</v>
      </c>
      <c r="G73" s="113">
        <v>88923</v>
      </c>
    </row>
    <row r="74" spans="1:7">
      <c r="A74" s="3" t="s">
        <v>652</v>
      </c>
      <c r="B74" s="3" t="s">
        <v>653</v>
      </c>
      <c r="C74" s="271">
        <f t="shared" si="1"/>
        <v>25689</v>
      </c>
      <c r="D74" s="113">
        <v>25689</v>
      </c>
      <c r="E74" s="113">
        <v>153537</v>
      </c>
      <c r="F74" s="113">
        <v>153537</v>
      </c>
      <c r="G74" s="113">
        <v>289464</v>
      </c>
    </row>
    <row r="75" spans="1:7">
      <c r="A75" s="3" t="s">
        <v>654</v>
      </c>
      <c r="B75" s="3" t="s">
        <v>655</v>
      </c>
      <c r="C75" s="271">
        <f t="shared" si="1"/>
        <v>25468</v>
      </c>
      <c r="D75" s="113">
        <v>25468</v>
      </c>
      <c r="E75" s="113">
        <v>256854</v>
      </c>
      <c r="F75" s="113">
        <v>256854</v>
      </c>
      <c r="G75" s="113">
        <v>220983</v>
      </c>
    </row>
    <row r="76" spans="1:7">
      <c r="A76" s="3" t="s">
        <v>656</v>
      </c>
      <c r="B76" s="3" t="s">
        <v>657</v>
      </c>
      <c r="C76" s="271">
        <f t="shared" si="1"/>
        <v>235</v>
      </c>
      <c r="D76" s="113">
        <v>235</v>
      </c>
      <c r="E76" s="113">
        <v>326984</v>
      </c>
      <c r="F76" s="113">
        <v>326984</v>
      </c>
      <c r="G76" s="113">
        <v>205188</v>
      </c>
    </row>
    <row r="77" spans="1:7">
      <c r="A77" s="3" t="s">
        <v>658</v>
      </c>
      <c r="B77" s="3" t="s">
        <v>659</v>
      </c>
      <c r="C77" s="271">
        <f t="shared" si="1"/>
        <v>941</v>
      </c>
      <c r="D77" s="113">
        <v>941</v>
      </c>
      <c r="E77" s="113">
        <v>156130</v>
      </c>
      <c r="F77" s="113">
        <v>156130</v>
      </c>
      <c r="G77" s="113">
        <v>208976</v>
      </c>
    </row>
    <row r="78" spans="1:7">
      <c r="A78" s="3" t="s">
        <v>660</v>
      </c>
      <c r="B78" s="3" t="s">
        <v>661</v>
      </c>
      <c r="C78" s="271">
        <f t="shared" si="1"/>
        <v>220</v>
      </c>
      <c r="D78" s="113">
        <v>220</v>
      </c>
      <c r="E78" s="113">
        <v>299450</v>
      </c>
      <c r="F78" s="113">
        <v>299450</v>
      </c>
      <c r="G78" s="113">
        <v>165526</v>
      </c>
    </row>
    <row r="79" spans="1:7">
      <c r="A79" s="3" t="s">
        <v>662</v>
      </c>
      <c r="B79" s="3" t="s">
        <v>663</v>
      </c>
      <c r="C79" s="271">
        <f t="shared" si="1"/>
        <v>407</v>
      </c>
      <c r="D79" s="113">
        <v>407</v>
      </c>
      <c r="E79" s="113">
        <v>141964</v>
      </c>
      <c r="F79" s="113">
        <v>141964</v>
      </c>
      <c r="G79" s="113">
        <v>289422</v>
      </c>
    </row>
    <row r="80" spans="1:7">
      <c r="A80" s="3" t="s">
        <v>664</v>
      </c>
      <c r="B80" s="3" t="s">
        <v>665</v>
      </c>
      <c r="C80" s="271">
        <f t="shared" si="1"/>
        <v>771</v>
      </c>
      <c r="D80" s="113">
        <v>771</v>
      </c>
      <c r="E80" s="113">
        <v>128520</v>
      </c>
      <c r="F80" s="113">
        <v>128520</v>
      </c>
      <c r="G80" s="113">
        <v>293326</v>
      </c>
    </row>
    <row r="81" spans="1:7">
      <c r="A81" s="3" t="s">
        <v>666</v>
      </c>
      <c r="B81" s="3" t="s">
        <v>667</v>
      </c>
      <c r="C81" s="271">
        <f t="shared" si="1"/>
        <v>258</v>
      </c>
      <c r="D81" s="113">
        <v>258</v>
      </c>
      <c r="E81" s="113">
        <v>183974</v>
      </c>
      <c r="F81" s="113">
        <v>183974</v>
      </c>
      <c r="G81" s="113">
        <v>208163</v>
      </c>
    </row>
    <row r="82" spans="1:7">
      <c r="A82" s="3" t="s">
        <v>668</v>
      </c>
      <c r="B82" s="3" t="s">
        <v>669</v>
      </c>
      <c r="C82" s="271">
        <f t="shared" si="1"/>
        <v>215</v>
      </c>
      <c r="D82" s="113">
        <v>215</v>
      </c>
      <c r="E82" s="113">
        <v>152674</v>
      </c>
      <c r="F82" s="113">
        <v>152674</v>
      </c>
      <c r="G82" s="113">
        <v>152674</v>
      </c>
    </row>
    <row r="83" spans="1:7">
      <c r="A83" s="3" t="s">
        <v>670</v>
      </c>
      <c r="B83" s="3" t="s">
        <v>671</v>
      </c>
      <c r="C83" s="271">
        <f t="shared" si="1"/>
        <v>69</v>
      </c>
      <c r="D83" s="113">
        <v>69</v>
      </c>
      <c r="E83" s="113">
        <v>131352</v>
      </c>
      <c r="F83" s="113">
        <v>131352</v>
      </c>
      <c r="G83" s="113">
        <v>263302</v>
      </c>
    </row>
    <row r="84" spans="1:7">
      <c r="A84" s="3" t="s">
        <v>672</v>
      </c>
      <c r="B84" s="3" t="s">
        <v>673</v>
      </c>
      <c r="C84" s="271">
        <f t="shared" si="1"/>
        <v>213</v>
      </c>
      <c r="D84" s="113">
        <v>213</v>
      </c>
      <c r="E84" s="113">
        <v>72257</v>
      </c>
      <c r="F84" s="113">
        <v>72257</v>
      </c>
      <c r="G84" s="113">
        <v>72257</v>
      </c>
    </row>
    <row r="85" spans="1:7">
      <c r="A85" s="3" t="s">
        <v>674</v>
      </c>
      <c r="B85" s="3" t="s">
        <v>675</v>
      </c>
      <c r="C85" s="271">
        <f t="shared" si="1"/>
        <v>104</v>
      </c>
      <c r="D85" s="113">
        <v>104</v>
      </c>
      <c r="E85" s="113">
        <v>73439</v>
      </c>
      <c r="F85" s="113">
        <v>73439</v>
      </c>
      <c r="G85" s="113">
        <v>73439</v>
      </c>
    </row>
    <row r="86" spans="1:7">
      <c r="A86" s="3" t="s">
        <v>676</v>
      </c>
      <c r="B86" s="3" t="s">
        <v>677</v>
      </c>
      <c r="C86" s="271">
        <f t="shared" si="1"/>
        <v>668</v>
      </c>
      <c r="D86" s="113">
        <v>668</v>
      </c>
      <c r="E86" s="113">
        <v>40939</v>
      </c>
      <c r="F86" s="113">
        <v>40939</v>
      </c>
      <c r="G86" s="113">
        <v>40939</v>
      </c>
    </row>
    <row r="87" spans="1:7">
      <c r="A87" s="3" t="s">
        <v>678</v>
      </c>
      <c r="B87" s="3" t="s">
        <v>679</v>
      </c>
      <c r="C87" s="271">
        <f t="shared" si="1"/>
        <v>233</v>
      </c>
      <c r="D87" s="113">
        <v>233</v>
      </c>
      <c r="E87" s="113">
        <v>57723</v>
      </c>
      <c r="F87" s="113">
        <v>57723</v>
      </c>
      <c r="G87" s="113">
        <v>57723</v>
      </c>
    </row>
    <row r="88" spans="1:7">
      <c r="A88" s="3" t="s">
        <v>680</v>
      </c>
      <c r="B88" s="3" t="s">
        <v>681</v>
      </c>
      <c r="C88" s="271">
        <f t="shared" si="1"/>
        <v>224</v>
      </c>
      <c r="D88" s="113">
        <v>224</v>
      </c>
      <c r="E88" s="113">
        <v>94108</v>
      </c>
      <c r="F88" s="113">
        <v>94108</v>
      </c>
      <c r="G88" s="113">
        <v>94108</v>
      </c>
    </row>
    <row r="89" spans="1:7">
      <c r="A89" s="3" t="s">
        <v>682</v>
      </c>
      <c r="B89" s="3" t="s">
        <v>683</v>
      </c>
      <c r="C89" s="271">
        <f t="shared" si="1"/>
        <v>213</v>
      </c>
      <c r="D89" s="113">
        <v>213</v>
      </c>
      <c r="E89" s="113">
        <v>76668</v>
      </c>
      <c r="F89" s="113">
        <v>76668</v>
      </c>
      <c r="G89" s="113">
        <v>76668</v>
      </c>
    </row>
    <row r="90" spans="1:7">
      <c r="A90" s="3" t="s">
        <v>684</v>
      </c>
      <c r="B90" s="3" t="s">
        <v>685</v>
      </c>
      <c r="C90" s="271">
        <f t="shared" si="1"/>
        <v>202</v>
      </c>
      <c r="D90" s="113">
        <v>202</v>
      </c>
      <c r="E90" s="113">
        <v>74097</v>
      </c>
      <c r="F90" s="113">
        <v>74097</v>
      </c>
      <c r="G90" s="113">
        <v>74097</v>
      </c>
    </row>
    <row r="91" spans="1:7">
      <c r="A91" s="3" t="s">
        <v>686</v>
      </c>
      <c r="B91" s="3" t="s">
        <v>687</v>
      </c>
      <c r="C91" s="271">
        <f t="shared" si="1"/>
        <v>191</v>
      </c>
      <c r="D91" s="113">
        <v>191</v>
      </c>
      <c r="E91" s="113">
        <v>64765</v>
      </c>
      <c r="F91" s="113">
        <v>64765</v>
      </c>
      <c r="G91" s="113">
        <v>64765</v>
      </c>
    </row>
    <row r="92" spans="1:7">
      <c r="A92" s="3" t="s">
        <v>688</v>
      </c>
      <c r="B92" s="3" t="s">
        <v>689</v>
      </c>
      <c r="C92" s="271">
        <f t="shared" si="1"/>
        <v>180</v>
      </c>
      <c r="D92" s="113">
        <v>180</v>
      </c>
      <c r="E92" s="113">
        <v>35588</v>
      </c>
      <c r="F92" s="113">
        <v>35588</v>
      </c>
      <c r="G92" s="113">
        <v>35588</v>
      </c>
    </row>
    <row r="93" spans="1:7">
      <c r="A93" s="3" t="s">
        <v>690</v>
      </c>
      <c r="B93" s="3" t="s">
        <v>691</v>
      </c>
      <c r="C93" s="271">
        <f t="shared" si="1"/>
        <v>169</v>
      </c>
      <c r="D93" s="113">
        <v>169</v>
      </c>
      <c r="E93" s="113">
        <v>68357</v>
      </c>
      <c r="F93" s="113">
        <v>68357</v>
      </c>
      <c r="G93" s="113">
        <v>68357</v>
      </c>
    </row>
    <row r="94" spans="1:7">
      <c r="A94" s="3" t="s">
        <v>692</v>
      </c>
      <c r="B94" s="3" t="s">
        <v>693</v>
      </c>
      <c r="C94" s="271">
        <f t="shared" si="1"/>
        <v>159</v>
      </c>
      <c r="D94" s="113">
        <v>159</v>
      </c>
      <c r="E94" s="113">
        <v>14214</v>
      </c>
      <c r="F94" s="113">
        <v>14214</v>
      </c>
      <c r="G94" s="113">
        <v>14214</v>
      </c>
    </row>
    <row r="95" spans="1:7">
      <c r="A95" s="3" t="s">
        <v>694</v>
      </c>
      <c r="B95" s="3" t="s">
        <v>695</v>
      </c>
      <c r="C95" s="271">
        <f t="shared" si="1"/>
        <v>148</v>
      </c>
      <c r="D95" s="113">
        <v>148</v>
      </c>
      <c r="E95" s="113">
        <v>7906</v>
      </c>
      <c r="F95" s="113">
        <v>7906</v>
      </c>
      <c r="G95" s="113">
        <v>7906</v>
      </c>
    </row>
    <row r="96" spans="1:7">
      <c r="A96" s="3" t="s">
        <v>696</v>
      </c>
      <c r="B96" s="3" t="s">
        <v>697</v>
      </c>
      <c r="C96" s="271">
        <f t="shared" si="1"/>
        <v>137</v>
      </c>
      <c r="D96" s="113">
        <v>137</v>
      </c>
      <c r="E96" s="113">
        <v>64385</v>
      </c>
      <c r="F96" s="113">
        <v>64385</v>
      </c>
      <c r="G96" s="113">
        <v>64385</v>
      </c>
    </row>
    <row r="97" spans="1:7">
      <c r="A97" s="3" t="s">
        <v>698</v>
      </c>
      <c r="B97" s="3" t="s">
        <v>699</v>
      </c>
      <c r="C97" s="271">
        <f t="shared" si="1"/>
        <v>126</v>
      </c>
      <c r="D97" s="113">
        <v>126</v>
      </c>
      <c r="E97" s="113">
        <v>41845</v>
      </c>
      <c r="F97" s="113">
        <v>41845</v>
      </c>
      <c r="G97" s="113">
        <v>41845</v>
      </c>
    </row>
    <row r="98" spans="1:7">
      <c r="A98" s="3" t="s">
        <v>700</v>
      </c>
      <c r="B98" s="3" t="s">
        <v>701</v>
      </c>
      <c r="C98" s="271">
        <f t="shared" si="1"/>
        <v>115</v>
      </c>
      <c r="D98" s="113">
        <v>115</v>
      </c>
      <c r="E98" s="113">
        <v>62767</v>
      </c>
      <c r="F98" s="113">
        <v>62767</v>
      </c>
      <c r="G98" s="113">
        <v>62767</v>
      </c>
    </row>
    <row r="99" spans="1:7">
      <c r="A99" s="3" t="s">
        <v>702</v>
      </c>
      <c r="B99" s="3" t="s">
        <v>703</v>
      </c>
      <c r="C99" s="271">
        <f t="shared" si="1"/>
        <v>104</v>
      </c>
      <c r="D99" s="113">
        <v>104</v>
      </c>
      <c r="E99" s="113">
        <v>86611</v>
      </c>
      <c r="F99" s="113">
        <v>86611</v>
      </c>
      <c r="G99" s="113">
        <v>86611</v>
      </c>
    </row>
    <row r="100" spans="1:7">
      <c r="A100" s="3" t="s">
        <v>704</v>
      </c>
      <c r="B100" s="3" t="s">
        <v>705</v>
      </c>
      <c r="C100" s="271">
        <f t="shared" si="1"/>
        <v>103</v>
      </c>
      <c r="D100" s="113">
        <v>103</v>
      </c>
      <c r="E100" s="113">
        <v>18888</v>
      </c>
      <c r="F100" s="113">
        <v>18888</v>
      </c>
      <c r="G100" s="113">
        <v>18888</v>
      </c>
    </row>
    <row r="101" spans="1:7">
      <c r="A101" s="3" t="s">
        <v>706</v>
      </c>
      <c r="B101" s="3" t="s">
        <v>707</v>
      </c>
      <c r="C101" s="271">
        <f t="shared" si="1"/>
        <v>102</v>
      </c>
      <c r="D101" s="113">
        <v>102</v>
      </c>
      <c r="E101" s="113">
        <v>874</v>
      </c>
      <c r="F101" s="113">
        <v>874</v>
      </c>
      <c r="G101" s="113">
        <v>874</v>
      </c>
    </row>
    <row r="102" spans="1:7">
      <c r="A102" s="3" t="s">
        <v>708</v>
      </c>
      <c r="B102" s="3" t="s">
        <v>709</v>
      </c>
      <c r="C102" s="271">
        <f t="shared" si="1"/>
        <v>102</v>
      </c>
      <c r="D102" s="113">
        <v>102</v>
      </c>
      <c r="E102" s="113">
        <v>731</v>
      </c>
      <c r="F102" s="113">
        <v>731</v>
      </c>
      <c r="G102" s="113">
        <v>731</v>
      </c>
    </row>
    <row r="103" spans="1:7">
      <c r="A103" s="3" t="s">
        <v>710</v>
      </c>
      <c r="B103" s="3" t="s">
        <v>711</v>
      </c>
      <c r="C103" s="271">
        <f t="shared" si="1"/>
        <v>101</v>
      </c>
      <c r="D103" s="113">
        <v>101</v>
      </c>
      <c r="E103" s="113">
        <v>388</v>
      </c>
      <c r="F103" s="113">
        <v>388</v>
      </c>
      <c r="G103" s="113">
        <v>388</v>
      </c>
    </row>
    <row r="104" spans="1:7">
      <c r="A104" s="3" t="s">
        <v>712</v>
      </c>
      <c r="B104" s="3" t="s">
        <v>713</v>
      </c>
      <c r="C104" s="271">
        <f t="shared" si="1"/>
        <v>100</v>
      </c>
      <c r="D104" s="113">
        <v>100</v>
      </c>
      <c r="E104" s="113">
        <v>424</v>
      </c>
      <c r="F104" s="113">
        <v>424</v>
      </c>
      <c r="G104" s="113">
        <v>424</v>
      </c>
    </row>
    <row r="105" spans="1:7">
      <c r="A105" s="3" t="s">
        <v>714</v>
      </c>
      <c r="B105" s="3" t="s">
        <v>715</v>
      </c>
      <c r="C105" s="271">
        <f t="shared" si="1"/>
        <v>997</v>
      </c>
      <c r="D105" s="113">
        <v>997</v>
      </c>
      <c r="E105" s="113">
        <v>721</v>
      </c>
      <c r="F105" s="113">
        <v>721</v>
      </c>
      <c r="G105" s="113">
        <v>721</v>
      </c>
    </row>
    <row r="106" spans="1:7">
      <c r="A106" s="3" t="s">
        <v>716</v>
      </c>
      <c r="B106" s="3" t="s">
        <v>717</v>
      </c>
      <c r="C106" s="271">
        <f t="shared" si="1"/>
        <v>989</v>
      </c>
      <c r="D106" s="113">
        <v>989</v>
      </c>
      <c r="E106" s="113">
        <v>565</v>
      </c>
      <c r="F106" s="113">
        <v>565</v>
      </c>
      <c r="G106" s="113">
        <v>565</v>
      </c>
    </row>
    <row r="107" spans="1:7">
      <c r="A107" s="3" t="s">
        <v>718</v>
      </c>
      <c r="B107" s="3" t="s">
        <v>719</v>
      </c>
      <c r="C107" s="271">
        <f t="shared" si="1"/>
        <v>981</v>
      </c>
      <c r="D107" s="113">
        <v>981</v>
      </c>
      <c r="E107" s="113">
        <v>476</v>
      </c>
      <c r="F107" s="113">
        <v>476</v>
      </c>
      <c r="G107" s="113">
        <v>476</v>
      </c>
    </row>
    <row r="108" spans="1:7">
      <c r="A108" s="3" t="s">
        <v>720</v>
      </c>
      <c r="B108" s="3" t="s">
        <v>721</v>
      </c>
      <c r="C108" s="271">
        <f t="shared" si="1"/>
        <v>973</v>
      </c>
      <c r="D108" s="113">
        <v>973</v>
      </c>
      <c r="E108" s="113">
        <v>162</v>
      </c>
      <c r="F108" s="113">
        <v>162</v>
      </c>
      <c r="G108" s="113">
        <v>162</v>
      </c>
    </row>
    <row r="109" spans="1:7">
      <c r="A109" s="3" t="s">
        <v>722</v>
      </c>
      <c r="B109" s="3" t="s">
        <v>723</v>
      </c>
      <c r="C109" s="271">
        <f t="shared" si="1"/>
        <v>965</v>
      </c>
      <c r="D109" s="113">
        <v>965</v>
      </c>
      <c r="E109" s="113">
        <v>563</v>
      </c>
      <c r="F109" s="113">
        <v>563</v>
      </c>
      <c r="G109" s="113">
        <v>563</v>
      </c>
    </row>
    <row r="110" spans="1:7">
      <c r="A110" s="3" t="s">
        <v>724</v>
      </c>
      <c r="B110" s="3" t="s">
        <v>725</v>
      </c>
      <c r="C110" s="271">
        <f t="shared" si="1"/>
        <v>957</v>
      </c>
      <c r="D110" s="113">
        <v>957</v>
      </c>
      <c r="E110" s="113">
        <v>344</v>
      </c>
      <c r="F110" s="113">
        <v>344</v>
      </c>
      <c r="G110" s="113">
        <v>344</v>
      </c>
    </row>
    <row r="111" spans="1:7">
      <c r="A111" s="3" t="s">
        <v>726</v>
      </c>
      <c r="B111" s="3" t="s">
        <v>727</v>
      </c>
      <c r="C111" s="271">
        <f t="shared" si="1"/>
        <v>949</v>
      </c>
      <c r="D111" s="113">
        <v>949</v>
      </c>
      <c r="E111" s="113">
        <v>349</v>
      </c>
      <c r="F111" s="113">
        <v>349</v>
      </c>
      <c r="G111" s="113">
        <v>349</v>
      </c>
    </row>
    <row r="112" spans="1:7">
      <c r="A112" s="3" t="s">
        <v>728</v>
      </c>
      <c r="B112" s="3" t="s">
        <v>729</v>
      </c>
      <c r="C112" s="271">
        <f t="shared" si="1"/>
        <v>941</v>
      </c>
      <c r="D112" s="113">
        <v>941</v>
      </c>
      <c r="E112" s="113">
        <v>321</v>
      </c>
      <c r="F112" s="113">
        <v>321</v>
      </c>
      <c r="G112" s="113">
        <v>321</v>
      </c>
    </row>
    <row r="113" spans="1:7">
      <c r="A113" s="3" t="s">
        <v>730</v>
      </c>
      <c r="B113" s="3" t="s">
        <v>731</v>
      </c>
      <c r="C113" s="271">
        <f t="shared" si="1"/>
        <v>933</v>
      </c>
      <c r="D113" s="113">
        <v>933</v>
      </c>
      <c r="E113" s="113">
        <v>259</v>
      </c>
      <c r="F113" s="113">
        <v>259</v>
      </c>
      <c r="G113" s="113">
        <v>259</v>
      </c>
    </row>
    <row r="114" spans="1:7">
      <c r="A114" s="3" t="s">
        <v>732</v>
      </c>
      <c r="B114" s="3" t="s">
        <v>733</v>
      </c>
      <c r="C114" s="271">
        <f t="shared" si="1"/>
        <v>925</v>
      </c>
      <c r="D114" s="113">
        <v>925</v>
      </c>
      <c r="E114" s="113">
        <v>166</v>
      </c>
      <c r="F114" s="113">
        <v>166</v>
      </c>
      <c r="G114" s="113">
        <v>166</v>
      </c>
    </row>
    <row r="115" spans="1:7">
      <c r="A115" s="3" t="s">
        <v>734</v>
      </c>
      <c r="B115" s="3" t="s">
        <v>735</v>
      </c>
      <c r="C115" s="271">
        <f t="shared" si="1"/>
        <v>917</v>
      </c>
      <c r="D115" s="113">
        <v>917</v>
      </c>
      <c r="E115" s="113">
        <v>505</v>
      </c>
      <c r="F115" s="113">
        <v>505</v>
      </c>
      <c r="G115" s="113">
        <v>505</v>
      </c>
    </row>
    <row r="116" spans="1:7">
      <c r="A116" s="3" t="s">
        <v>736</v>
      </c>
      <c r="B116" s="3" t="s">
        <v>737</v>
      </c>
      <c r="C116" s="271">
        <f t="shared" si="1"/>
        <v>909</v>
      </c>
      <c r="D116" s="113">
        <v>909</v>
      </c>
      <c r="E116" s="113">
        <v>791</v>
      </c>
      <c r="F116" s="113">
        <v>791</v>
      </c>
      <c r="G116" s="113">
        <v>791</v>
      </c>
    </row>
    <row r="117" spans="1:7">
      <c r="A117" s="3" t="s">
        <v>738</v>
      </c>
      <c r="B117" s="3" t="s">
        <v>739</v>
      </c>
      <c r="C117" s="271">
        <f t="shared" si="1"/>
        <v>901</v>
      </c>
      <c r="D117" s="113">
        <v>901</v>
      </c>
      <c r="E117" s="113">
        <v>334</v>
      </c>
      <c r="F117" s="113">
        <v>334</v>
      </c>
      <c r="G117" s="113">
        <v>334</v>
      </c>
    </row>
    <row r="118" spans="1:7">
      <c r="A118" s="3" t="s">
        <v>740</v>
      </c>
      <c r="B118" s="3" t="s">
        <v>741</v>
      </c>
      <c r="C118" s="271">
        <f t="shared" si="1"/>
        <v>893</v>
      </c>
      <c r="D118" s="113">
        <v>893</v>
      </c>
      <c r="E118" s="113">
        <v>441</v>
      </c>
      <c r="F118" s="113">
        <v>441</v>
      </c>
      <c r="G118" s="113">
        <v>441</v>
      </c>
    </row>
    <row r="119" spans="1:7">
      <c r="A119" s="3" t="s">
        <v>742</v>
      </c>
      <c r="B119" s="3" t="s">
        <v>743</v>
      </c>
      <c r="C119" s="271">
        <f t="shared" si="1"/>
        <v>885</v>
      </c>
      <c r="D119" s="113">
        <v>885</v>
      </c>
      <c r="E119" s="113">
        <v>489</v>
      </c>
      <c r="F119" s="113">
        <v>489</v>
      </c>
      <c r="G119" s="113">
        <v>489</v>
      </c>
    </row>
    <row r="120" spans="1:7">
      <c r="A120" s="3" t="s">
        <v>744</v>
      </c>
      <c r="B120" s="3" t="s">
        <v>745</v>
      </c>
      <c r="C120" s="271">
        <f t="shared" si="1"/>
        <v>877</v>
      </c>
      <c r="D120" s="113">
        <v>877</v>
      </c>
      <c r="E120" s="113">
        <v>984</v>
      </c>
      <c r="F120" s="113">
        <v>984</v>
      </c>
      <c r="G120" s="113">
        <v>984</v>
      </c>
    </row>
    <row r="121" spans="1:7">
      <c r="A121" s="3" t="s">
        <v>746</v>
      </c>
      <c r="B121" s="3" t="s">
        <v>747</v>
      </c>
      <c r="C121" s="271">
        <f t="shared" si="1"/>
        <v>869</v>
      </c>
      <c r="D121" s="113">
        <v>869</v>
      </c>
      <c r="E121" s="113">
        <v>935</v>
      </c>
      <c r="F121" s="113">
        <v>935</v>
      </c>
      <c r="G121" s="113">
        <v>935</v>
      </c>
    </row>
    <row r="122" spans="1:7">
      <c r="A122" s="3" t="s">
        <v>748</v>
      </c>
      <c r="B122" s="3" t="s">
        <v>749</v>
      </c>
      <c r="C122" s="271">
        <f t="shared" si="1"/>
        <v>861</v>
      </c>
      <c r="D122" s="113">
        <v>861</v>
      </c>
      <c r="E122" s="113">
        <v>753</v>
      </c>
      <c r="F122" s="113">
        <v>753</v>
      </c>
      <c r="G122" s="113">
        <v>753</v>
      </c>
    </row>
    <row r="123" spans="1:7">
      <c r="A123" s="3" t="s">
        <v>750</v>
      </c>
      <c r="B123" s="3" t="s">
        <v>751</v>
      </c>
      <c r="C123" s="271">
        <f t="shared" si="1"/>
        <v>853</v>
      </c>
      <c r="D123" s="113">
        <v>853</v>
      </c>
      <c r="E123" s="113">
        <v>977</v>
      </c>
      <c r="F123" s="113">
        <v>977</v>
      </c>
      <c r="G123" s="113">
        <v>977</v>
      </c>
    </row>
    <row r="124" spans="1:7">
      <c r="A124" s="3" t="s">
        <v>752</v>
      </c>
      <c r="B124" s="3" t="s">
        <v>753</v>
      </c>
      <c r="C124" s="271">
        <f t="shared" si="1"/>
        <v>845</v>
      </c>
      <c r="D124" s="113">
        <v>845</v>
      </c>
      <c r="E124" s="113">
        <v>855</v>
      </c>
      <c r="F124" s="113">
        <v>855</v>
      </c>
      <c r="G124" s="113">
        <v>855</v>
      </c>
    </row>
    <row r="125" spans="1:7">
      <c r="A125" s="3" t="s">
        <v>754</v>
      </c>
      <c r="B125" s="3" t="s">
        <v>755</v>
      </c>
      <c r="C125" s="271">
        <f t="shared" si="1"/>
        <v>837</v>
      </c>
      <c r="D125" s="113">
        <v>837</v>
      </c>
      <c r="E125" s="113">
        <v>627</v>
      </c>
      <c r="F125" s="113">
        <v>627</v>
      </c>
      <c r="G125" s="113">
        <v>627</v>
      </c>
    </row>
    <row r="126" spans="1:7">
      <c r="A126" s="3" t="s">
        <v>756</v>
      </c>
      <c r="B126" s="3" t="s">
        <v>757</v>
      </c>
      <c r="C126" s="271">
        <f t="shared" si="1"/>
        <v>829</v>
      </c>
      <c r="D126" s="113">
        <v>829</v>
      </c>
      <c r="E126" s="113">
        <v>767</v>
      </c>
      <c r="F126" s="113">
        <v>767</v>
      </c>
      <c r="G126" s="113">
        <v>767</v>
      </c>
    </row>
    <row r="127" spans="1:7">
      <c r="A127" s="3" t="s">
        <v>758</v>
      </c>
      <c r="B127" s="3" t="s">
        <v>759</v>
      </c>
      <c r="C127" s="271">
        <f t="shared" si="1"/>
        <v>732</v>
      </c>
      <c r="D127" s="113">
        <v>732</v>
      </c>
      <c r="E127" s="113">
        <v>977</v>
      </c>
      <c r="F127" s="113">
        <v>977</v>
      </c>
      <c r="G127" s="113">
        <v>977</v>
      </c>
    </row>
    <row r="128" spans="1:7">
      <c r="A128" s="3" t="s">
        <v>760</v>
      </c>
      <c r="B128" s="3" t="s">
        <v>761</v>
      </c>
      <c r="C128" s="271">
        <f t="shared" si="1"/>
        <v>666</v>
      </c>
      <c r="D128" s="113">
        <v>666</v>
      </c>
      <c r="E128" s="113">
        <v>772</v>
      </c>
      <c r="F128" s="113">
        <v>772</v>
      </c>
      <c r="G128" s="113">
        <v>772</v>
      </c>
    </row>
    <row r="129" spans="1:7">
      <c r="A129" s="3" t="s">
        <v>762</v>
      </c>
      <c r="B129" s="3" t="s">
        <v>763</v>
      </c>
      <c r="C129" s="271">
        <f t="shared" si="1"/>
        <v>600</v>
      </c>
      <c r="D129" s="113">
        <v>600</v>
      </c>
      <c r="E129" s="113">
        <v>199</v>
      </c>
      <c r="F129" s="113">
        <v>199</v>
      </c>
      <c r="G129" s="113">
        <v>199</v>
      </c>
    </row>
    <row r="130" spans="1:7">
      <c r="A130" s="3" t="s">
        <v>764</v>
      </c>
      <c r="B130" s="3" t="s">
        <v>765</v>
      </c>
      <c r="C130" s="271">
        <f t="shared" si="1"/>
        <v>534</v>
      </c>
      <c r="D130" s="113">
        <v>534</v>
      </c>
      <c r="E130" s="113">
        <v>132</v>
      </c>
      <c r="F130" s="113">
        <v>132</v>
      </c>
      <c r="G130" s="113">
        <v>132</v>
      </c>
    </row>
    <row r="131" spans="1:7">
      <c r="A131" s="3" t="s">
        <v>766</v>
      </c>
      <c r="B131" s="3" t="s">
        <v>767</v>
      </c>
      <c r="C131" s="271">
        <f t="shared" ref="C131:C194" si="2">D131</f>
        <v>468</v>
      </c>
      <c r="D131" s="113">
        <v>468</v>
      </c>
      <c r="E131" s="113">
        <v>294</v>
      </c>
      <c r="F131" s="113">
        <v>294</v>
      </c>
      <c r="G131" s="113">
        <v>294</v>
      </c>
    </row>
    <row r="132" spans="1:7">
      <c r="A132" s="3" t="s">
        <v>768</v>
      </c>
      <c r="B132" s="3" t="s">
        <v>769</v>
      </c>
      <c r="C132" s="271">
        <f t="shared" si="2"/>
        <v>402</v>
      </c>
      <c r="D132" s="113">
        <v>402</v>
      </c>
      <c r="E132" s="113">
        <v>490</v>
      </c>
      <c r="F132" s="113">
        <v>490</v>
      </c>
      <c r="G132" s="113">
        <v>490</v>
      </c>
    </row>
    <row r="133" spans="1:7">
      <c r="A133" s="3" t="s">
        <v>770</v>
      </c>
      <c r="B133" s="3" t="s">
        <v>771</v>
      </c>
      <c r="C133" s="271">
        <f t="shared" si="2"/>
        <v>336</v>
      </c>
      <c r="D133" s="113">
        <v>336</v>
      </c>
      <c r="E133" s="113">
        <v>585</v>
      </c>
      <c r="F133" s="113">
        <v>585</v>
      </c>
      <c r="G133" s="113">
        <v>585</v>
      </c>
    </row>
    <row r="134" spans="1:7">
      <c r="A134" s="3" t="s">
        <v>772</v>
      </c>
      <c r="B134" s="3" t="s">
        <v>773</v>
      </c>
      <c r="C134" s="271">
        <f t="shared" si="2"/>
        <v>270</v>
      </c>
      <c r="D134" s="113">
        <v>270</v>
      </c>
      <c r="E134" s="113">
        <v>104</v>
      </c>
      <c r="F134" s="113">
        <v>104</v>
      </c>
      <c r="G134" s="113">
        <v>104</v>
      </c>
    </row>
    <row r="135" spans="1:7">
      <c r="A135" s="3" t="s">
        <v>774</v>
      </c>
      <c r="B135" s="3" t="s">
        <v>775</v>
      </c>
      <c r="C135" s="271">
        <f t="shared" si="2"/>
        <v>204</v>
      </c>
      <c r="D135" s="113">
        <v>204</v>
      </c>
      <c r="E135" s="113">
        <v>319</v>
      </c>
      <c r="F135" s="113">
        <v>319</v>
      </c>
      <c r="G135" s="113">
        <v>319</v>
      </c>
    </row>
    <row r="136" spans="1:7">
      <c r="A136" s="3" t="s">
        <v>776</v>
      </c>
      <c r="B136" s="3" t="s">
        <v>777</v>
      </c>
      <c r="C136" s="271">
        <f t="shared" si="2"/>
        <v>203</v>
      </c>
      <c r="D136" s="113">
        <v>203</v>
      </c>
      <c r="E136" s="113">
        <v>224</v>
      </c>
      <c r="F136" s="113">
        <v>224</v>
      </c>
      <c r="G136" s="113">
        <v>224</v>
      </c>
    </row>
    <row r="137" spans="1:7">
      <c r="A137" s="3" t="s">
        <v>778</v>
      </c>
      <c r="B137" s="3" t="s">
        <v>779</v>
      </c>
      <c r="C137" s="271">
        <f t="shared" si="2"/>
        <v>202</v>
      </c>
      <c r="D137" s="113">
        <v>202</v>
      </c>
      <c r="E137" s="113">
        <v>964</v>
      </c>
      <c r="F137" s="113">
        <v>964</v>
      </c>
      <c r="G137" s="113">
        <v>964</v>
      </c>
    </row>
    <row r="138" spans="1:7">
      <c r="A138" s="3" t="s">
        <v>780</v>
      </c>
      <c r="B138" s="3" t="s">
        <v>781</v>
      </c>
      <c r="C138" s="271">
        <f t="shared" si="2"/>
        <v>201</v>
      </c>
      <c r="D138" s="113">
        <v>201</v>
      </c>
      <c r="E138" s="113">
        <v>781</v>
      </c>
      <c r="F138" s="113">
        <v>781</v>
      </c>
      <c r="G138" s="113">
        <v>781</v>
      </c>
    </row>
    <row r="139" spans="1:7">
      <c r="A139" s="3" t="s">
        <v>782</v>
      </c>
      <c r="B139" s="3" t="s">
        <v>783</v>
      </c>
      <c r="C139" s="271">
        <f t="shared" si="2"/>
        <v>200</v>
      </c>
      <c r="D139" s="113">
        <v>200</v>
      </c>
      <c r="E139" s="113">
        <v>534</v>
      </c>
      <c r="F139" s="113">
        <v>534</v>
      </c>
      <c r="G139" s="113">
        <v>534</v>
      </c>
    </row>
    <row r="140" spans="1:7">
      <c r="A140" s="3" t="s">
        <v>784</v>
      </c>
      <c r="B140" s="3" t="s">
        <v>785</v>
      </c>
      <c r="C140" s="271">
        <f t="shared" si="2"/>
        <v>199</v>
      </c>
      <c r="D140" s="113">
        <v>199</v>
      </c>
      <c r="E140" s="113">
        <v>1000</v>
      </c>
      <c r="F140" s="113">
        <v>1000</v>
      </c>
      <c r="G140" s="113">
        <v>1000</v>
      </c>
    </row>
    <row r="141" spans="1:7">
      <c r="A141" s="3" t="s">
        <v>786</v>
      </c>
      <c r="B141" s="3" t="s">
        <v>787</v>
      </c>
      <c r="C141" s="271">
        <f t="shared" si="2"/>
        <v>198</v>
      </c>
      <c r="D141" s="113">
        <v>198</v>
      </c>
      <c r="E141" s="113">
        <v>929</v>
      </c>
      <c r="F141" s="113">
        <v>929</v>
      </c>
      <c r="G141" s="113">
        <v>929</v>
      </c>
    </row>
    <row r="142" spans="1:7">
      <c r="A142" s="3" t="s">
        <v>788</v>
      </c>
      <c r="B142" s="3" t="s">
        <v>789</v>
      </c>
      <c r="C142" s="271">
        <f t="shared" si="2"/>
        <v>197</v>
      </c>
      <c r="D142" s="113">
        <v>197</v>
      </c>
      <c r="E142" s="113">
        <v>554</v>
      </c>
      <c r="F142" s="113">
        <v>554</v>
      </c>
      <c r="G142" s="113">
        <v>554</v>
      </c>
    </row>
    <row r="143" spans="1:7">
      <c r="A143" s="3" t="s">
        <v>790</v>
      </c>
      <c r="B143" s="3" t="s">
        <v>791</v>
      </c>
      <c r="C143" s="271">
        <f t="shared" si="2"/>
        <v>196</v>
      </c>
      <c r="D143" s="113">
        <v>196</v>
      </c>
      <c r="E143" s="113">
        <v>242</v>
      </c>
      <c r="F143" s="113">
        <v>242</v>
      </c>
      <c r="G143" s="113">
        <v>242</v>
      </c>
    </row>
    <row r="144" spans="1:7">
      <c r="A144" s="3" t="s">
        <v>792</v>
      </c>
      <c r="B144" s="3" t="s">
        <v>793</v>
      </c>
      <c r="C144" s="271">
        <f t="shared" si="2"/>
        <v>195</v>
      </c>
      <c r="D144" s="113">
        <v>195</v>
      </c>
      <c r="E144" s="113">
        <v>607</v>
      </c>
      <c r="F144" s="113">
        <v>607</v>
      </c>
      <c r="G144" s="113">
        <v>607</v>
      </c>
    </row>
    <row r="145" spans="1:7">
      <c r="A145" s="3" t="s">
        <v>794</v>
      </c>
      <c r="B145" s="3" t="s">
        <v>795</v>
      </c>
      <c r="C145" s="271">
        <f t="shared" si="2"/>
        <v>194</v>
      </c>
      <c r="D145" s="113">
        <v>194</v>
      </c>
      <c r="E145" s="113">
        <v>341</v>
      </c>
      <c r="F145" s="113">
        <v>341</v>
      </c>
      <c r="G145" s="113">
        <v>341</v>
      </c>
    </row>
    <row r="146" spans="1:7">
      <c r="A146" s="3" t="s">
        <v>796</v>
      </c>
      <c r="B146" s="3" t="s">
        <v>797</v>
      </c>
      <c r="C146" s="271">
        <f t="shared" si="2"/>
        <v>193</v>
      </c>
      <c r="D146" s="113">
        <v>193</v>
      </c>
      <c r="E146" s="113">
        <v>453</v>
      </c>
      <c r="F146" s="113">
        <v>453</v>
      </c>
      <c r="G146" s="113">
        <v>453</v>
      </c>
    </row>
    <row r="147" spans="1:7">
      <c r="A147" s="3" t="s">
        <v>798</v>
      </c>
      <c r="B147" s="3" t="s">
        <v>799</v>
      </c>
      <c r="C147" s="271">
        <f t="shared" si="2"/>
        <v>192</v>
      </c>
      <c r="D147" s="113">
        <v>192</v>
      </c>
      <c r="E147" s="113">
        <v>992</v>
      </c>
      <c r="F147" s="113">
        <v>992</v>
      </c>
      <c r="G147" s="113">
        <v>992</v>
      </c>
    </row>
    <row r="148" spans="1:7">
      <c r="A148" s="3" t="s">
        <v>800</v>
      </c>
      <c r="B148" s="3" t="s">
        <v>801</v>
      </c>
      <c r="C148" s="271">
        <f t="shared" si="2"/>
        <v>191</v>
      </c>
      <c r="D148" s="113">
        <v>191</v>
      </c>
      <c r="E148" s="113">
        <v>895</v>
      </c>
      <c r="F148" s="113">
        <v>895</v>
      </c>
      <c r="G148" s="113">
        <v>895</v>
      </c>
    </row>
    <row r="149" spans="1:7">
      <c r="A149" s="3" t="s">
        <v>802</v>
      </c>
      <c r="B149" s="3" t="s">
        <v>803</v>
      </c>
      <c r="C149" s="271">
        <f t="shared" si="2"/>
        <v>190</v>
      </c>
      <c r="D149" s="113">
        <v>190</v>
      </c>
      <c r="E149" s="113">
        <v>395</v>
      </c>
      <c r="F149" s="113">
        <v>395</v>
      </c>
      <c r="G149" s="113">
        <v>395</v>
      </c>
    </row>
    <row r="150" spans="1:7">
      <c r="A150" s="3" t="s">
        <v>804</v>
      </c>
      <c r="B150" s="3" t="s">
        <v>805</v>
      </c>
      <c r="C150" s="271">
        <f t="shared" si="2"/>
        <v>189</v>
      </c>
      <c r="D150" s="113">
        <v>189</v>
      </c>
      <c r="E150" s="113">
        <v>367</v>
      </c>
      <c r="F150" s="113">
        <v>367</v>
      </c>
      <c r="G150" s="113">
        <v>367</v>
      </c>
    </row>
    <row r="151" spans="1:7">
      <c r="A151" s="3" t="s">
        <v>806</v>
      </c>
      <c r="B151" s="3" t="s">
        <v>807</v>
      </c>
      <c r="C151" s="271">
        <f t="shared" si="2"/>
        <v>188</v>
      </c>
      <c r="D151" s="113">
        <v>188</v>
      </c>
      <c r="E151" s="113">
        <v>445</v>
      </c>
      <c r="F151" s="113">
        <v>445</v>
      </c>
      <c r="G151" s="113">
        <v>445</v>
      </c>
    </row>
    <row r="152" spans="1:7">
      <c r="A152" s="3" t="s">
        <v>808</v>
      </c>
      <c r="B152" s="3" t="s">
        <v>809</v>
      </c>
      <c r="C152" s="271">
        <f t="shared" si="2"/>
        <v>187</v>
      </c>
      <c r="D152" s="113">
        <v>187</v>
      </c>
      <c r="E152" s="113">
        <v>253</v>
      </c>
      <c r="F152" s="113">
        <v>253</v>
      </c>
      <c r="G152" s="113">
        <v>253</v>
      </c>
    </row>
    <row r="153" spans="1:7">
      <c r="A153" s="3" t="s">
        <v>810</v>
      </c>
      <c r="B153" s="3" t="s">
        <v>811</v>
      </c>
      <c r="C153" s="271">
        <f t="shared" si="2"/>
        <v>186</v>
      </c>
      <c r="D153" s="113">
        <v>186</v>
      </c>
      <c r="E153" s="113">
        <v>278</v>
      </c>
      <c r="F153" s="113">
        <v>278</v>
      </c>
      <c r="G153" s="113">
        <v>278</v>
      </c>
    </row>
    <row r="154" spans="1:7">
      <c r="A154" s="3" t="s">
        <v>812</v>
      </c>
      <c r="B154" s="3" t="s">
        <v>813</v>
      </c>
      <c r="C154" s="271">
        <f t="shared" si="2"/>
        <v>185</v>
      </c>
      <c r="D154" s="113">
        <v>185</v>
      </c>
      <c r="E154" s="113">
        <v>802</v>
      </c>
      <c r="F154" s="113">
        <v>802</v>
      </c>
      <c r="G154" s="113">
        <v>802</v>
      </c>
    </row>
    <row r="155" spans="1:7">
      <c r="A155" s="3" t="s">
        <v>814</v>
      </c>
      <c r="B155" s="3" t="s">
        <v>815</v>
      </c>
      <c r="C155" s="271">
        <f t="shared" si="2"/>
        <v>184</v>
      </c>
      <c r="D155" s="113">
        <v>184</v>
      </c>
      <c r="E155" s="113">
        <v>723</v>
      </c>
      <c r="F155" s="113">
        <v>723</v>
      </c>
      <c r="G155" s="113">
        <v>723</v>
      </c>
    </row>
    <row r="156" spans="1:7">
      <c r="A156" s="3" t="s">
        <v>816</v>
      </c>
      <c r="B156" s="3" t="s">
        <v>817</v>
      </c>
      <c r="C156" s="271">
        <f t="shared" si="2"/>
        <v>183</v>
      </c>
      <c r="D156" s="113">
        <v>183</v>
      </c>
      <c r="E156" s="113">
        <v>426</v>
      </c>
      <c r="F156" s="113">
        <v>426</v>
      </c>
      <c r="G156" s="113">
        <v>426</v>
      </c>
    </row>
    <row r="157" spans="1:7">
      <c r="A157" s="3" t="s">
        <v>818</v>
      </c>
      <c r="B157" s="3" t="s">
        <v>819</v>
      </c>
      <c r="C157" s="271">
        <f t="shared" si="2"/>
        <v>182</v>
      </c>
      <c r="D157" s="113">
        <v>182</v>
      </c>
      <c r="E157" s="113">
        <v>243</v>
      </c>
      <c r="F157" s="113">
        <v>243</v>
      </c>
      <c r="G157" s="113">
        <v>243</v>
      </c>
    </row>
    <row r="158" spans="1:7">
      <c r="A158" s="3" t="s">
        <v>820</v>
      </c>
      <c r="B158" s="3" t="s">
        <v>821</v>
      </c>
      <c r="C158" s="271">
        <f t="shared" si="2"/>
        <v>181</v>
      </c>
      <c r="D158" s="113">
        <v>181</v>
      </c>
      <c r="E158" s="113">
        <v>303</v>
      </c>
      <c r="F158" s="113">
        <v>303</v>
      </c>
      <c r="G158" s="113">
        <v>303</v>
      </c>
    </row>
    <row r="159" spans="1:7">
      <c r="A159" s="3" t="s">
        <v>822</v>
      </c>
      <c r="B159" s="3" t="s">
        <v>823</v>
      </c>
      <c r="C159" s="271">
        <f t="shared" si="2"/>
        <v>180</v>
      </c>
      <c r="D159" s="113">
        <v>180</v>
      </c>
      <c r="E159" s="113">
        <v>184</v>
      </c>
      <c r="F159" s="113">
        <v>184</v>
      </c>
      <c r="G159" s="113">
        <v>184</v>
      </c>
    </row>
    <row r="160" spans="1:7">
      <c r="A160" s="3" t="s">
        <v>824</v>
      </c>
      <c r="B160" s="3" t="s">
        <v>825</v>
      </c>
      <c r="C160" s="271">
        <f t="shared" si="2"/>
        <v>179</v>
      </c>
      <c r="D160" s="113">
        <v>179</v>
      </c>
      <c r="E160" s="113">
        <v>840</v>
      </c>
      <c r="F160" s="113">
        <v>840</v>
      </c>
      <c r="G160" s="113">
        <v>840</v>
      </c>
    </row>
    <row r="161" spans="1:7">
      <c r="A161" s="3" t="s">
        <v>826</v>
      </c>
      <c r="B161" s="3" t="s">
        <v>827</v>
      </c>
      <c r="C161" s="271">
        <f t="shared" si="2"/>
        <v>178</v>
      </c>
      <c r="D161" s="113">
        <v>178</v>
      </c>
      <c r="E161" s="113">
        <v>822</v>
      </c>
      <c r="F161" s="113">
        <v>822</v>
      </c>
      <c r="G161" s="113">
        <v>822</v>
      </c>
    </row>
    <row r="162" spans="1:7">
      <c r="A162" s="3" t="s">
        <v>828</v>
      </c>
      <c r="B162" s="3" t="s">
        <v>829</v>
      </c>
      <c r="C162" s="271">
        <f t="shared" si="2"/>
        <v>177</v>
      </c>
      <c r="D162" s="113">
        <v>177</v>
      </c>
      <c r="E162" s="113">
        <v>233</v>
      </c>
      <c r="F162" s="113">
        <v>233</v>
      </c>
      <c r="G162" s="113">
        <v>233</v>
      </c>
    </row>
    <row r="163" spans="1:7">
      <c r="A163" s="3" t="s">
        <v>830</v>
      </c>
      <c r="B163" s="3" t="s">
        <v>831</v>
      </c>
      <c r="C163" s="271">
        <f t="shared" si="2"/>
        <v>176</v>
      </c>
      <c r="D163" s="113">
        <v>176</v>
      </c>
      <c r="E163" s="113">
        <v>813</v>
      </c>
      <c r="F163" s="113">
        <v>813</v>
      </c>
      <c r="G163" s="113">
        <v>813</v>
      </c>
    </row>
    <row r="164" spans="1:7">
      <c r="A164" s="3" t="s">
        <v>832</v>
      </c>
      <c r="B164" s="3" t="s">
        <v>833</v>
      </c>
      <c r="C164" s="271">
        <f t="shared" si="2"/>
        <v>175</v>
      </c>
      <c r="D164" s="113">
        <v>175</v>
      </c>
      <c r="E164" s="113">
        <v>730</v>
      </c>
      <c r="F164" s="113">
        <v>730</v>
      </c>
      <c r="G164" s="113">
        <v>730</v>
      </c>
    </row>
    <row r="165" spans="1:7">
      <c r="A165" s="3" t="s">
        <v>834</v>
      </c>
      <c r="B165" s="3" t="s">
        <v>835</v>
      </c>
      <c r="C165" s="271">
        <f t="shared" si="2"/>
        <v>174</v>
      </c>
      <c r="D165" s="113">
        <v>174</v>
      </c>
      <c r="E165" s="113">
        <v>970</v>
      </c>
      <c r="F165" s="113">
        <v>970</v>
      </c>
      <c r="G165" s="113">
        <v>970</v>
      </c>
    </row>
    <row r="166" spans="1:7">
      <c r="A166" s="3" t="s">
        <v>836</v>
      </c>
      <c r="B166" s="3" t="s">
        <v>837</v>
      </c>
      <c r="C166" s="271">
        <f t="shared" si="2"/>
        <v>173</v>
      </c>
      <c r="D166" s="113">
        <v>173</v>
      </c>
      <c r="E166" s="113">
        <v>356</v>
      </c>
      <c r="F166" s="113">
        <v>356</v>
      </c>
      <c r="G166" s="113">
        <v>356</v>
      </c>
    </row>
    <row r="167" spans="1:7">
      <c r="A167" s="3" t="s">
        <v>838</v>
      </c>
      <c r="B167" s="3" t="s">
        <v>839</v>
      </c>
      <c r="C167" s="271">
        <f t="shared" si="2"/>
        <v>172</v>
      </c>
      <c r="D167" s="113">
        <v>172</v>
      </c>
      <c r="E167" s="113">
        <v>345</v>
      </c>
      <c r="F167" s="113">
        <v>345</v>
      </c>
      <c r="G167" s="113">
        <v>345</v>
      </c>
    </row>
    <row r="168" spans="1:7">
      <c r="A168" s="3" t="s">
        <v>840</v>
      </c>
      <c r="B168" s="3" t="s">
        <v>841</v>
      </c>
      <c r="C168" s="271">
        <f t="shared" si="2"/>
        <v>171</v>
      </c>
      <c r="D168" s="113">
        <v>171</v>
      </c>
      <c r="E168" s="113">
        <v>570</v>
      </c>
      <c r="F168" s="113">
        <v>570</v>
      </c>
      <c r="G168" s="113">
        <v>570</v>
      </c>
    </row>
    <row r="169" spans="1:7">
      <c r="A169" s="3" t="s">
        <v>842</v>
      </c>
      <c r="B169" s="3" t="s">
        <v>843</v>
      </c>
      <c r="C169" s="271">
        <f t="shared" si="2"/>
        <v>170</v>
      </c>
      <c r="D169" s="113">
        <v>170</v>
      </c>
      <c r="E169" s="113">
        <v>950</v>
      </c>
      <c r="F169" s="113">
        <v>950</v>
      </c>
      <c r="G169" s="113">
        <v>950</v>
      </c>
    </row>
    <row r="170" spans="1:7">
      <c r="A170" s="3" t="s">
        <v>844</v>
      </c>
      <c r="B170" s="3" t="s">
        <v>845</v>
      </c>
      <c r="C170" s="271">
        <f t="shared" si="2"/>
        <v>169</v>
      </c>
      <c r="D170" s="113">
        <v>169</v>
      </c>
      <c r="E170" s="113">
        <v>210</v>
      </c>
      <c r="F170" s="113">
        <v>210</v>
      </c>
      <c r="G170" s="113">
        <v>210</v>
      </c>
    </row>
    <row r="171" spans="1:7">
      <c r="A171" s="3" t="s">
        <v>846</v>
      </c>
      <c r="B171" s="3" t="s">
        <v>847</v>
      </c>
      <c r="C171" s="271">
        <f t="shared" si="2"/>
        <v>168</v>
      </c>
      <c r="D171" s="113">
        <v>168</v>
      </c>
      <c r="E171" s="113">
        <v>253</v>
      </c>
      <c r="F171" s="113">
        <v>253</v>
      </c>
      <c r="G171" s="113">
        <v>253</v>
      </c>
    </row>
    <row r="172" spans="1:7">
      <c r="A172" s="3" t="s">
        <v>848</v>
      </c>
      <c r="B172" s="3" t="s">
        <v>849</v>
      </c>
      <c r="C172" s="271">
        <f t="shared" si="2"/>
        <v>167</v>
      </c>
      <c r="D172" s="113">
        <v>167</v>
      </c>
      <c r="E172" s="113">
        <v>232</v>
      </c>
      <c r="F172" s="113">
        <v>232</v>
      </c>
      <c r="G172" s="113">
        <v>232</v>
      </c>
    </row>
    <row r="173" spans="1:7">
      <c r="A173" s="3" t="s">
        <v>850</v>
      </c>
      <c r="B173" s="3" t="s">
        <v>851</v>
      </c>
      <c r="C173" s="271">
        <f t="shared" si="2"/>
        <v>166</v>
      </c>
      <c r="D173" s="113">
        <v>166</v>
      </c>
      <c r="E173" s="113">
        <v>866</v>
      </c>
      <c r="F173" s="113">
        <v>866</v>
      </c>
      <c r="G173" s="113">
        <v>866</v>
      </c>
    </row>
    <row r="174" spans="1:7">
      <c r="A174" s="3" t="s">
        <v>852</v>
      </c>
      <c r="B174" s="3" t="s">
        <v>853</v>
      </c>
      <c r="C174" s="271">
        <f t="shared" si="2"/>
        <v>165</v>
      </c>
      <c r="D174" s="113">
        <v>165</v>
      </c>
      <c r="E174" s="113">
        <v>681</v>
      </c>
      <c r="F174" s="113">
        <v>681</v>
      </c>
      <c r="G174" s="113">
        <v>681</v>
      </c>
    </row>
    <row r="175" spans="1:7">
      <c r="A175" s="3" t="s">
        <v>854</v>
      </c>
      <c r="B175" s="3" t="s">
        <v>855</v>
      </c>
      <c r="C175" s="271">
        <f t="shared" si="2"/>
        <v>164</v>
      </c>
      <c r="D175" s="113">
        <v>164</v>
      </c>
      <c r="E175" s="113">
        <v>420</v>
      </c>
      <c r="F175" s="113">
        <v>420</v>
      </c>
      <c r="G175" s="113">
        <v>420</v>
      </c>
    </row>
    <row r="176" spans="1:7">
      <c r="A176" s="3" t="s">
        <v>856</v>
      </c>
      <c r="B176" s="3" t="s">
        <v>857</v>
      </c>
      <c r="C176" s="271">
        <f t="shared" si="2"/>
        <v>163</v>
      </c>
      <c r="D176" s="113">
        <v>163</v>
      </c>
      <c r="E176" s="113">
        <v>707</v>
      </c>
      <c r="F176" s="113">
        <v>707</v>
      </c>
      <c r="G176" s="113">
        <v>707</v>
      </c>
    </row>
    <row r="177" spans="1:7">
      <c r="A177" s="3" t="s">
        <v>858</v>
      </c>
      <c r="B177" s="3" t="s">
        <v>859</v>
      </c>
      <c r="C177" s="271">
        <f t="shared" si="2"/>
        <v>162</v>
      </c>
      <c r="D177" s="113">
        <v>162</v>
      </c>
      <c r="E177" s="113">
        <v>286</v>
      </c>
      <c r="F177" s="113">
        <v>286</v>
      </c>
      <c r="G177" s="113">
        <v>286</v>
      </c>
    </row>
    <row r="178" spans="1:7">
      <c r="A178" s="3" t="s">
        <v>860</v>
      </c>
      <c r="B178" s="3" t="s">
        <v>861</v>
      </c>
      <c r="C178" s="271">
        <f t="shared" si="2"/>
        <v>161</v>
      </c>
      <c r="D178" s="113">
        <v>161</v>
      </c>
      <c r="E178" s="113">
        <v>388</v>
      </c>
      <c r="F178" s="113">
        <v>388</v>
      </c>
      <c r="G178" s="113">
        <v>388</v>
      </c>
    </row>
    <row r="179" spans="1:7">
      <c r="A179" s="3" t="s">
        <v>862</v>
      </c>
      <c r="B179" s="3" t="s">
        <v>863</v>
      </c>
      <c r="C179" s="271">
        <f t="shared" si="2"/>
        <v>160</v>
      </c>
      <c r="D179" s="113">
        <v>160</v>
      </c>
      <c r="E179" s="113">
        <v>759</v>
      </c>
      <c r="F179" s="113">
        <v>759</v>
      </c>
      <c r="G179" s="113">
        <v>759</v>
      </c>
    </row>
    <row r="180" spans="1:7">
      <c r="A180" s="3" t="s">
        <v>864</v>
      </c>
      <c r="B180" s="3" t="s">
        <v>865</v>
      </c>
      <c r="C180" s="271">
        <f t="shared" si="2"/>
        <v>159</v>
      </c>
      <c r="D180" s="113">
        <v>159</v>
      </c>
      <c r="E180" s="113">
        <v>464</v>
      </c>
      <c r="F180" s="113">
        <v>464</v>
      </c>
      <c r="G180" s="113">
        <v>464</v>
      </c>
    </row>
    <row r="181" spans="1:7">
      <c r="A181" s="3" t="s">
        <v>866</v>
      </c>
      <c r="B181" s="3" t="s">
        <v>867</v>
      </c>
      <c r="C181" s="271">
        <f t="shared" si="2"/>
        <v>158</v>
      </c>
      <c r="D181" s="113">
        <v>158</v>
      </c>
      <c r="E181" s="113">
        <v>445</v>
      </c>
      <c r="F181" s="113">
        <v>445</v>
      </c>
      <c r="G181" s="113">
        <v>445</v>
      </c>
    </row>
    <row r="182" spans="1:7">
      <c r="A182" s="3" t="s">
        <v>868</v>
      </c>
      <c r="B182" s="3" t="s">
        <v>869</v>
      </c>
      <c r="C182" s="271">
        <f t="shared" si="2"/>
        <v>157</v>
      </c>
      <c r="D182" s="113">
        <v>157</v>
      </c>
      <c r="E182" s="113">
        <v>253</v>
      </c>
      <c r="F182" s="113">
        <v>253</v>
      </c>
      <c r="G182" s="113">
        <v>253</v>
      </c>
    </row>
    <row r="183" spans="1:7">
      <c r="A183" s="3" t="s">
        <v>870</v>
      </c>
      <c r="B183" s="3" t="s">
        <v>871</v>
      </c>
      <c r="C183" s="271">
        <f t="shared" si="2"/>
        <v>156</v>
      </c>
      <c r="D183" s="113">
        <v>156</v>
      </c>
      <c r="E183" s="113">
        <v>198</v>
      </c>
      <c r="F183" s="113">
        <v>198</v>
      </c>
      <c r="G183" s="113">
        <v>198</v>
      </c>
    </row>
    <row r="184" spans="1:7">
      <c r="A184" s="3" t="s">
        <v>872</v>
      </c>
      <c r="B184" s="3" t="s">
        <v>873</v>
      </c>
      <c r="C184" s="271">
        <f t="shared" si="2"/>
        <v>155</v>
      </c>
      <c r="D184" s="113">
        <v>155</v>
      </c>
      <c r="E184" s="113">
        <v>472</v>
      </c>
      <c r="F184" s="113">
        <v>472</v>
      </c>
      <c r="G184" s="113">
        <v>472</v>
      </c>
    </row>
    <row r="185" spans="1:7">
      <c r="A185" s="3" t="s">
        <v>874</v>
      </c>
      <c r="B185" s="3" t="s">
        <v>875</v>
      </c>
      <c r="C185" s="271">
        <f t="shared" si="2"/>
        <v>154</v>
      </c>
      <c r="D185" s="113">
        <v>154</v>
      </c>
      <c r="E185" s="113">
        <v>889</v>
      </c>
      <c r="F185" s="113">
        <v>889</v>
      </c>
      <c r="G185" s="113">
        <v>889</v>
      </c>
    </row>
    <row r="186" spans="1:7">
      <c r="A186" s="3" t="s">
        <v>876</v>
      </c>
      <c r="B186" s="3" t="s">
        <v>877</v>
      </c>
      <c r="C186" s="271">
        <f t="shared" si="2"/>
        <v>153</v>
      </c>
      <c r="D186" s="113">
        <v>153</v>
      </c>
      <c r="E186" s="113">
        <v>773</v>
      </c>
      <c r="F186" s="113">
        <v>773</v>
      </c>
      <c r="G186" s="113">
        <v>773</v>
      </c>
    </row>
    <row r="187" spans="1:7">
      <c r="A187" s="3" t="s">
        <v>878</v>
      </c>
      <c r="B187" s="3" t="s">
        <v>879</v>
      </c>
      <c r="C187" s="271">
        <f t="shared" si="2"/>
        <v>152</v>
      </c>
      <c r="D187" s="113">
        <v>152</v>
      </c>
      <c r="E187" s="113">
        <v>748</v>
      </c>
      <c r="F187" s="113">
        <v>748</v>
      </c>
      <c r="G187" s="113">
        <v>748</v>
      </c>
    </row>
    <row r="188" spans="1:7">
      <c r="A188" s="3" t="s">
        <v>880</v>
      </c>
      <c r="B188" s="3" t="s">
        <v>881</v>
      </c>
      <c r="C188" s="271">
        <f t="shared" si="2"/>
        <v>151</v>
      </c>
      <c r="D188" s="113">
        <v>151</v>
      </c>
      <c r="E188" s="113">
        <v>309</v>
      </c>
      <c r="F188" s="113">
        <v>309</v>
      </c>
      <c r="G188" s="113">
        <v>309</v>
      </c>
    </row>
    <row r="189" spans="1:7">
      <c r="A189" s="3" t="s">
        <v>882</v>
      </c>
      <c r="B189" s="3" t="s">
        <v>883</v>
      </c>
      <c r="C189" s="271">
        <f t="shared" si="2"/>
        <v>150</v>
      </c>
      <c r="D189" s="113">
        <v>150</v>
      </c>
      <c r="E189" s="113">
        <v>110</v>
      </c>
      <c r="F189" s="113">
        <v>110</v>
      </c>
      <c r="G189" s="113">
        <v>110</v>
      </c>
    </row>
    <row r="190" spans="1:7">
      <c r="A190" s="3" t="s">
        <v>884</v>
      </c>
      <c r="B190" s="3" t="s">
        <v>885</v>
      </c>
      <c r="C190" s="271">
        <f t="shared" si="2"/>
        <v>149</v>
      </c>
      <c r="D190" s="113">
        <v>149</v>
      </c>
      <c r="E190" s="113">
        <v>568</v>
      </c>
      <c r="F190" s="113">
        <v>568</v>
      </c>
      <c r="G190" s="113">
        <v>568</v>
      </c>
    </row>
    <row r="191" spans="1:7">
      <c r="A191" s="3" t="s">
        <v>886</v>
      </c>
      <c r="B191" s="3" t="s">
        <v>887</v>
      </c>
      <c r="C191" s="271">
        <f t="shared" si="2"/>
        <v>148</v>
      </c>
      <c r="D191" s="113">
        <v>148</v>
      </c>
      <c r="E191" s="113">
        <v>556</v>
      </c>
      <c r="F191" s="113">
        <v>556</v>
      </c>
      <c r="G191" s="113">
        <v>556</v>
      </c>
    </row>
    <row r="192" spans="1:7">
      <c r="A192" s="3" t="s">
        <v>888</v>
      </c>
      <c r="B192" s="3" t="s">
        <v>889</v>
      </c>
      <c r="C192" s="271">
        <f t="shared" si="2"/>
        <v>147</v>
      </c>
      <c r="D192" s="113">
        <v>147</v>
      </c>
      <c r="E192" s="113">
        <v>438</v>
      </c>
      <c r="F192" s="113">
        <v>438</v>
      </c>
      <c r="G192" s="113">
        <v>438</v>
      </c>
    </row>
    <row r="193" spans="1:7">
      <c r="A193" s="3" t="s">
        <v>890</v>
      </c>
      <c r="B193" s="3" t="s">
        <v>891</v>
      </c>
      <c r="C193" s="271">
        <f t="shared" si="2"/>
        <v>146</v>
      </c>
      <c r="D193" s="113">
        <v>146</v>
      </c>
      <c r="E193" s="113">
        <v>998</v>
      </c>
      <c r="F193" s="113">
        <v>998</v>
      </c>
      <c r="G193" s="113">
        <v>998</v>
      </c>
    </row>
    <row r="194" spans="1:7">
      <c r="A194" s="3" t="s">
        <v>892</v>
      </c>
      <c r="B194" s="3" t="s">
        <v>893</v>
      </c>
      <c r="C194" s="271">
        <f t="shared" si="2"/>
        <v>145</v>
      </c>
      <c r="D194" s="113">
        <v>145</v>
      </c>
      <c r="E194" s="113">
        <v>182</v>
      </c>
      <c r="F194" s="113">
        <v>182</v>
      </c>
      <c r="G194" s="113">
        <v>182</v>
      </c>
    </row>
    <row r="195" spans="1:7">
      <c r="A195" s="3" t="s">
        <v>894</v>
      </c>
      <c r="B195" s="3" t="s">
        <v>895</v>
      </c>
      <c r="C195" s="271">
        <f t="shared" ref="C195:C201" si="3">D195</f>
        <v>144</v>
      </c>
      <c r="D195" s="113">
        <v>144</v>
      </c>
      <c r="E195" s="113">
        <v>782</v>
      </c>
      <c r="F195" s="113">
        <v>782</v>
      </c>
      <c r="G195" s="113">
        <v>782</v>
      </c>
    </row>
    <row r="196" spans="1:7">
      <c r="A196" s="3" t="s">
        <v>896</v>
      </c>
      <c r="B196" s="3" t="s">
        <v>897</v>
      </c>
      <c r="C196" s="271">
        <f t="shared" si="3"/>
        <v>143</v>
      </c>
      <c r="D196" s="113">
        <v>143</v>
      </c>
      <c r="E196" s="113">
        <v>741</v>
      </c>
      <c r="F196" s="113">
        <v>741</v>
      </c>
      <c r="G196" s="113">
        <v>741</v>
      </c>
    </row>
    <row r="197" spans="1:7">
      <c r="A197" s="3" t="s">
        <v>898</v>
      </c>
      <c r="B197" s="3" t="s">
        <v>899</v>
      </c>
      <c r="C197" s="271">
        <f t="shared" si="3"/>
        <v>142</v>
      </c>
      <c r="D197" s="113">
        <v>142</v>
      </c>
      <c r="E197" s="113">
        <v>586</v>
      </c>
      <c r="F197" s="113">
        <v>586</v>
      </c>
      <c r="G197" s="113">
        <v>586</v>
      </c>
    </row>
    <row r="198" spans="1:7">
      <c r="A198" s="3" t="s">
        <v>900</v>
      </c>
      <c r="B198" s="3" t="s">
        <v>901</v>
      </c>
      <c r="C198" s="271">
        <f t="shared" si="3"/>
        <v>141</v>
      </c>
      <c r="D198" s="113">
        <v>141</v>
      </c>
      <c r="E198" s="113">
        <v>181</v>
      </c>
      <c r="F198" s="113">
        <v>181</v>
      </c>
      <c r="G198" s="113">
        <v>181</v>
      </c>
    </row>
    <row r="199" spans="1:7">
      <c r="A199" s="3" t="s">
        <v>902</v>
      </c>
      <c r="B199" s="3" t="s">
        <v>903</v>
      </c>
      <c r="C199" s="271">
        <f t="shared" si="3"/>
        <v>140</v>
      </c>
      <c r="D199" s="113">
        <v>140</v>
      </c>
      <c r="E199" s="113">
        <v>413</v>
      </c>
      <c r="F199" s="113">
        <v>413</v>
      </c>
      <c r="G199" s="113">
        <v>413</v>
      </c>
    </row>
    <row r="200" spans="1:7">
      <c r="A200" s="3" t="s">
        <v>904</v>
      </c>
      <c r="B200" s="3" t="s">
        <v>905</v>
      </c>
      <c r="C200" s="271">
        <f t="shared" si="3"/>
        <v>139</v>
      </c>
      <c r="D200" s="113">
        <v>139</v>
      </c>
      <c r="E200" s="113">
        <v>858</v>
      </c>
      <c r="F200" s="113">
        <v>858</v>
      </c>
      <c r="G200" s="113">
        <v>858</v>
      </c>
    </row>
    <row r="201" spans="1:7">
      <c r="A201" s="3" t="s">
        <v>906</v>
      </c>
      <c r="B201" s="3" t="s">
        <v>907</v>
      </c>
      <c r="C201" s="271">
        <f t="shared" si="3"/>
        <v>138</v>
      </c>
      <c r="D201" s="113">
        <v>138</v>
      </c>
      <c r="E201" s="113">
        <v>152</v>
      </c>
      <c r="F201" s="113">
        <v>152</v>
      </c>
      <c r="G201" s="113">
        <v>152</v>
      </c>
    </row>
  </sheetData>
  <autoFilter ref="A1:G1" xr:uid="{4ADAB343-8DAD-244B-B958-3C731A65941C}">
    <sortState xmlns:xlrd2="http://schemas.microsoft.com/office/spreadsheetml/2017/richdata2" ref="A2:G201">
      <sortCondition ref="A1:A201"/>
    </sortState>
  </autoFilter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F3551-4F0E-4542-AB58-3EAF0F6E41F8}">
  <sheetPr codeName="Sheet8"/>
  <dimension ref="A1:F202"/>
  <sheetViews>
    <sheetView zoomScale="125" zoomScaleNormal="90" workbookViewId="0">
      <selection activeCell="C4" sqref="C4"/>
    </sheetView>
  </sheetViews>
  <sheetFormatPr defaultColWidth="11" defaultRowHeight="15.5"/>
  <cols>
    <col min="2" max="2" width="14.6640625" bestFit="1" customWidth="1"/>
    <col min="3" max="3" width="16.5" bestFit="1" customWidth="1"/>
    <col min="4" max="4" width="15.83203125" customWidth="1"/>
    <col min="5" max="5" width="24.1640625" customWidth="1"/>
    <col min="6" max="6" width="16.1640625" bestFit="1" customWidth="1"/>
  </cols>
  <sheetData>
    <row r="1" spans="1:6">
      <c r="A1" s="1" t="s">
        <v>505</v>
      </c>
      <c r="B1" s="1" t="s">
        <v>506</v>
      </c>
      <c r="C1" s="1" t="s">
        <v>908</v>
      </c>
      <c r="D1" s="19" t="s">
        <v>909</v>
      </c>
      <c r="E1" s="19" t="s">
        <v>910</v>
      </c>
      <c r="F1" s="1" t="s">
        <v>911</v>
      </c>
    </row>
    <row r="2" spans="1:6">
      <c r="A2" s="1"/>
      <c r="B2" s="1"/>
      <c r="C2" s="1"/>
      <c r="D2" s="19"/>
      <c r="E2" s="19"/>
      <c r="F2" s="1">
        <v>0</v>
      </c>
    </row>
    <row r="3" spans="1:6">
      <c r="A3" s="337" t="s">
        <v>526</v>
      </c>
      <c r="B3" s="337" t="s">
        <v>527</v>
      </c>
      <c r="C3" s="338">
        <f>VLOOKUP(A3, 'S13 Initial Parameters'!$A$2:$C$201, 3,0)</f>
        <v>250356</v>
      </c>
      <c r="D3" s="339">
        <f>C3+D2</f>
        <v>250356</v>
      </c>
      <c r="E3" s="340">
        <f>C3/SUM($C$3:$C$202)</f>
        <v>0.17084365467684812</v>
      </c>
      <c r="F3" s="341">
        <f>E3+F2</f>
        <v>0.17084365467684812</v>
      </c>
    </row>
    <row r="4" spans="1:6">
      <c r="A4" s="337" t="s">
        <v>514</v>
      </c>
      <c r="B4" s="337" t="s">
        <v>515</v>
      </c>
      <c r="C4" s="338">
        <f>VLOOKUP(A4, 'S13 Initial Parameters'!$A$2:$C$201, 3,0)</f>
        <v>215425</v>
      </c>
      <c r="D4" s="339">
        <f>C4+D3</f>
        <v>465781</v>
      </c>
      <c r="E4" s="340">
        <f t="shared" ref="E4:E67" si="0">C4/SUM($C$3:$C$202)</f>
        <v>0.14700663977999331</v>
      </c>
      <c r="F4" s="341">
        <f t="shared" ref="F4:F67" si="1">E4+F3</f>
        <v>0.31785029445684143</v>
      </c>
    </row>
    <row r="5" spans="1:6">
      <c r="A5" s="337" t="s">
        <v>580</v>
      </c>
      <c r="B5" s="337" t="s">
        <v>581</v>
      </c>
      <c r="C5" s="338">
        <f>VLOOKUP(A5, 'S13 Initial Parameters'!$A$2:$C$201, 3,0)</f>
        <v>125036</v>
      </c>
      <c r="D5" s="339">
        <f t="shared" ref="D5:D68" si="2">C5+D4</f>
        <v>590817</v>
      </c>
      <c r="E5" s="340">
        <f t="shared" si="0"/>
        <v>8.5324926129888568E-2</v>
      </c>
      <c r="F5" s="341">
        <f t="shared" si="1"/>
        <v>0.40317522058673</v>
      </c>
    </row>
    <row r="6" spans="1:6">
      <c r="A6" s="337" t="s">
        <v>634</v>
      </c>
      <c r="B6" s="337" t="s">
        <v>635</v>
      </c>
      <c r="C6" s="338">
        <f>VLOOKUP(A6, 'S13 Initial Parameters'!$A$2:$C$201, 3,0)</f>
        <v>86542</v>
      </c>
      <c r="D6" s="339">
        <f t="shared" si="2"/>
        <v>677359</v>
      </c>
      <c r="E6" s="340">
        <f t="shared" si="0"/>
        <v>5.9056509782245241E-2</v>
      </c>
      <c r="F6" s="341">
        <f t="shared" si="1"/>
        <v>0.46223173036897525</v>
      </c>
    </row>
    <row r="7" spans="1:6">
      <c r="A7" s="337" t="s">
        <v>610</v>
      </c>
      <c r="B7" s="337" t="s">
        <v>611</v>
      </c>
      <c r="C7" s="338">
        <f>VLOOKUP(A7, 'S13 Initial Parameters'!$A$2:$C$201, 3,0)</f>
        <v>85612</v>
      </c>
      <c r="D7" s="339">
        <f t="shared" si="2"/>
        <v>762971</v>
      </c>
      <c r="E7" s="340">
        <f t="shared" si="0"/>
        <v>5.842187510662545E-2</v>
      </c>
      <c r="F7" s="341">
        <f t="shared" si="1"/>
        <v>0.52065360547560069</v>
      </c>
    </row>
    <row r="8" spans="1:6">
      <c r="A8" s="337" t="s">
        <v>642</v>
      </c>
      <c r="B8" s="337" t="s">
        <v>643</v>
      </c>
      <c r="C8" s="338">
        <f>VLOOKUP(A8, 'S13 Initial Parameters'!$A$2:$C$201, 3,0)</f>
        <v>65248</v>
      </c>
      <c r="D8" s="339">
        <f t="shared" si="2"/>
        <v>828219</v>
      </c>
      <c r="E8" s="340">
        <f t="shared" si="0"/>
        <v>4.452542291918303E-2</v>
      </c>
      <c r="F8" s="341">
        <f t="shared" si="1"/>
        <v>0.56517902839478373</v>
      </c>
    </row>
    <row r="9" spans="1:6">
      <c r="A9" s="337" t="s">
        <v>612</v>
      </c>
      <c r="B9" s="337" t="s">
        <v>613</v>
      </c>
      <c r="C9" s="338">
        <f>VLOOKUP(A9, 'S13 Initial Parameters'!$A$2:$C$201, 3,0)</f>
        <v>54682</v>
      </c>
      <c r="D9" s="339">
        <f t="shared" si="2"/>
        <v>882901</v>
      </c>
      <c r="E9" s="340">
        <f t="shared" si="0"/>
        <v>3.7315154120689774E-2</v>
      </c>
      <c r="F9" s="341">
        <f t="shared" si="1"/>
        <v>0.60249418251547349</v>
      </c>
    </row>
    <row r="10" spans="1:6">
      <c r="A10" s="337" t="s">
        <v>530</v>
      </c>
      <c r="B10" s="337" t="s">
        <v>531</v>
      </c>
      <c r="C10" s="338">
        <f>VLOOKUP(A10, 'S13 Initial Parameters'!$A$2:$C$201, 3,0)</f>
        <v>50689</v>
      </c>
      <c r="D10" s="339">
        <f t="shared" si="2"/>
        <v>933590</v>
      </c>
      <c r="E10" s="340">
        <f t="shared" si="0"/>
        <v>3.4590319432786731E-2</v>
      </c>
      <c r="F10" s="341">
        <f t="shared" si="1"/>
        <v>0.63708450194826027</v>
      </c>
    </row>
    <row r="11" spans="1:6">
      <c r="A11" s="337" t="s">
        <v>638</v>
      </c>
      <c r="B11" s="337" t="s">
        <v>639</v>
      </c>
      <c r="C11" s="338">
        <f>VLOOKUP(A11, 'S13 Initial Parameters'!$A$2:$C$201, 3,0)</f>
        <v>45896</v>
      </c>
      <c r="D11" s="339">
        <f t="shared" si="2"/>
        <v>979486</v>
      </c>
      <c r="E11" s="340">
        <f t="shared" si="0"/>
        <v>3.1319562443275259E-2</v>
      </c>
      <c r="F11" s="341">
        <f t="shared" si="1"/>
        <v>0.66840406439153555</v>
      </c>
    </row>
    <row r="12" spans="1:6">
      <c r="A12" s="337" t="s">
        <v>644</v>
      </c>
      <c r="B12" s="337" t="s">
        <v>645</v>
      </c>
      <c r="C12" s="338">
        <f>VLOOKUP(A12, 'S13 Initial Parameters'!$A$2:$C$201, 3,0)</f>
        <v>36524</v>
      </c>
      <c r="D12" s="339">
        <f t="shared" si="2"/>
        <v>1016010</v>
      </c>
      <c r="E12" s="340">
        <f t="shared" si="0"/>
        <v>2.4924082679932579E-2</v>
      </c>
      <c r="F12" s="341">
        <f t="shared" si="1"/>
        <v>0.69332814707146817</v>
      </c>
    </row>
    <row r="13" spans="1:6">
      <c r="A13" s="337" t="s">
        <v>646</v>
      </c>
      <c r="B13" s="337" t="s">
        <v>647</v>
      </c>
      <c r="C13" s="338">
        <f>VLOOKUP(A13, 'S13 Initial Parameters'!$A$2:$C$201, 3,0)</f>
        <v>36502</v>
      </c>
      <c r="D13" s="339">
        <f t="shared" si="2"/>
        <v>1052512</v>
      </c>
      <c r="E13" s="340">
        <f t="shared" si="0"/>
        <v>2.4909069816638346E-2</v>
      </c>
      <c r="F13" s="341">
        <f t="shared" si="1"/>
        <v>0.71823721688810649</v>
      </c>
    </row>
    <row r="14" spans="1:6">
      <c r="A14" s="337" t="s">
        <v>518</v>
      </c>
      <c r="B14" s="337" t="s">
        <v>519</v>
      </c>
      <c r="C14" s="338">
        <f>VLOOKUP(A14, 'S13 Initial Parameters'!$A$2:$C$201, 3,0)</f>
        <v>25689</v>
      </c>
      <c r="D14" s="339">
        <f t="shared" si="2"/>
        <v>1078201</v>
      </c>
      <c r="E14" s="340">
        <f t="shared" si="0"/>
        <v>1.7530247507523491E-2</v>
      </c>
      <c r="F14" s="341">
        <f t="shared" si="1"/>
        <v>0.73576746439563001</v>
      </c>
    </row>
    <row r="15" spans="1:6">
      <c r="A15" s="337" t="s">
        <v>652</v>
      </c>
      <c r="B15" s="337" t="s">
        <v>653</v>
      </c>
      <c r="C15" s="338">
        <f>VLOOKUP(A15, 'S13 Initial Parameters'!$A$2:$C$201, 3,0)</f>
        <v>25689</v>
      </c>
      <c r="D15" s="339">
        <f t="shared" si="2"/>
        <v>1103890</v>
      </c>
      <c r="E15" s="340">
        <f t="shared" si="0"/>
        <v>1.7530247507523491E-2</v>
      </c>
      <c r="F15" s="341">
        <f t="shared" si="1"/>
        <v>0.75329771190315353</v>
      </c>
    </row>
    <row r="16" spans="1:6">
      <c r="A16" s="337" t="s">
        <v>648</v>
      </c>
      <c r="B16" s="337" t="s">
        <v>649</v>
      </c>
      <c r="C16" s="338">
        <f>VLOOKUP(A16, 'S13 Initial Parameters'!$A$2:$C$201, 3,0)</f>
        <v>25649</v>
      </c>
      <c r="D16" s="339">
        <f t="shared" si="2"/>
        <v>1129539</v>
      </c>
      <c r="E16" s="340">
        <f t="shared" si="0"/>
        <v>1.750295139244307E-2</v>
      </c>
      <c r="F16" s="341">
        <f t="shared" si="1"/>
        <v>0.7708006632955966</v>
      </c>
    </row>
    <row r="17" spans="1:6">
      <c r="A17" s="337" t="s">
        <v>520</v>
      </c>
      <c r="B17" s="337" t="s">
        <v>521</v>
      </c>
      <c r="C17" s="338">
        <f>VLOOKUP(A17, 'S13 Initial Parameters'!$A$2:$C$201, 3,0)</f>
        <v>25639</v>
      </c>
      <c r="D17" s="339">
        <f t="shared" si="2"/>
        <v>1155178</v>
      </c>
      <c r="E17" s="340">
        <f t="shared" si="0"/>
        <v>1.7496127363672967E-2</v>
      </c>
      <c r="F17" s="341">
        <f t="shared" si="1"/>
        <v>0.78829679065926961</v>
      </c>
    </row>
    <row r="18" spans="1:6">
      <c r="A18" s="337" t="s">
        <v>654</v>
      </c>
      <c r="B18" s="337" t="s">
        <v>655</v>
      </c>
      <c r="C18" s="338">
        <f>VLOOKUP(A18, 'S13 Initial Parameters'!$A$2:$C$201, 3,0)</f>
        <v>25468</v>
      </c>
      <c r="D18" s="339">
        <f t="shared" si="2"/>
        <v>1180646</v>
      </c>
      <c r="E18" s="340">
        <f t="shared" si="0"/>
        <v>1.7379436471704163E-2</v>
      </c>
      <c r="F18" s="341">
        <f t="shared" si="1"/>
        <v>0.80567622713097375</v>
      </c>
    </row>
    <row r="19" spans="1:6">
      <c r="A19" s="312" t="s">
        <v>556</v>
      </c>
      <c r="B19" s="312" t="s">
        <v>557</v>
      </c>
      <c r="C19" s="313">
        <f>VLOOKUP(A19, 'S13 Initial Parameters'!$A$2:$C$201, 3,0)</f>
        <v>12224</v>
      </c>
      <c r="D19" s="314">
        <f t="shared" si="2"/>
        <v>1192870</v>
      </c>
      <c r="E19" s="315">
        <f t="shared" si="0"/>
        <v>8.3416927685767122E-3</v>
      </c>
      <c r="F19" s="316">
        <f t="shared" si="1"/>
        <v>0.81401791989955041</v>
      </c>
    </row>
    <row r="20" spans="1:6">
      <c r="A20" s="312" t="s">
        <v>568</v>
      </c>
      <c r="B20" s="312" t="s">
        <v>569</v>
      </c>
      <c r="C20" s="313">
        <f>VLOOKUP(A20, 'S13 Initial Parameters'!$A$2:$C$201, 3,0)</f>
        <v>12036</v>
      </c>
      <c r="D20" s="314">
        <f t="shared" si="2"/>
        <v>1204906</v>
      </c>
      <c r="E20" s="315">
        <f t="shared" si="0"/>
        <v>8.2134010276987326E-3</v>
      </c>
      <c r="F20" s="316">
        <f t="shared" si="1"/>
        <v>0.82223132092724915</v>
      </c>
    </row>
    <row r="21" spans="1:6">
      <c r="A21" s="312" t="s">
        <v>572</v>
      </c>
      <c r="B21" s="312" t="s">
        <v>573</v>
      </c>
      <c r="C21" s="313">
        <f>VLOOKUP(A21, 'S13 Initial Parameters'!$A$2:$C$201, 3,0)</f>
        <v>10356</v>
      </c>
      <c r="D21" s="314">
        <f t="shared" si="2"/>
        <v>1215262</v>
      </c>
      <c r="E21" s="315">
        <f t="shared" si="0"/>
        <v>7.066964194321043E-3</v>
      </c>
      <c r="F21" s="316">
        <f t="shared" si="1"/>
        <v>0.82929828512157022</v>
      </c>
    </row>
    <row r="22" spans="1:6">
      <c r="A22" s="312" t="s">
        <v>574</v>
      </c>
      <c r="B22" s="312" t="s">
        <v>575</v>
      </c>
      <c r="C22" s="313">
        <f>VLOOKUP(A22, 'S13 Initial Parameters'!$A$2:$C$201, 3,0)</f>
        <v>10254</v>
      </c>
      <c r="D22" s="314">
        <f t="shared" si="2"/>
        <v>1225516</v>
      </c>
      <c r="E22" s="315">
        <f t="shared" si="0"/>
        <v>6.9973591008659691E-3</v>
      </c>
      <c r="F22" s="316">
        <f t="shared" si="1"/>
        <v>0.83629564422243619</v>
      </c>
    </row>
    <row r="23" spans="1:6">
      <c r="A23" s="312" t="s">
        <v>626</v>
      </c>
      <c r="B23" s="312" t="s">
        <v>627</v>
      </c>
      <c r="C23" s="313">
        <f>VLOOKUP(A23, 'S13 Initial Parameters'!$A$2:$C$201, 3,0)</f>
        <v>10038</v>
      </c>
      <c r="D23" s="314">
        <f t="shared" si="2"/>
        <v>1235554</v>
      </c>
      <c r="E23" s="315">
        <f t="shared" si="0"/>
        <v>6.8499600794316952E-3</v>
      </c>
      <c r="F23" s="316">
        <f t="shared" si="1"/>
        <v>0.84314560430186791</v>
      </c>
    </row>
    <row r="24" spans="1:6">
      <c r="A24" s="312" t="s">
        <v>640</v>
      </c>
      <c r="B24" s="312" t="s">
        <v>641</v>
      </c>
      <c r="C24" s="313">
        <f>VLOOKUP(A24, 'S13 Initial Parameters'!$A$2:$C$201, 3,0)</f>
        <v>9748</v>
      </c>
      <c r="D24" s="314">
        <f t="shared" si="2"/>
        <v>1245302</v>
      </c>
      <c r="E24" s="315">
        <f t="shared" si="0"/>
        <v>6.6520632450986416E-3</v>
      </c>
      <c r="F24" s="316">
        <f t="shared" si="1"/>
        <v>0.84979766754696651</v>
      </c>
    </row>
    <row r="25" spans="1:6">
      <c r="A25" s="312" t="s">
        <v>608</v>
      </c>
      <c r="B25" s="312" t="s">
        <v>609</v>
      </c>
      <c r="C25" s="313">
        <f>VLOOKUP(A25, 'S13 Initial Parameters'!$A$2:$C$201, 3,0)</f>
        <v>9246</v>
      </c>
      <c r="D25" s="314">
        <f t="shared" si="2"/>
        <v>1254548</v>
      </c>
      <c r="E25" s="315">
        <f t="shared" si="0"/>
        <v>6.3094970008393553E-3</v>
      </c>
      <c r="F25" s="316">
        <f t="shared" si="1"/>
        <v>0.85610716454780589</v>
      </c>
    </row>
    <row r="26" spans="1:6">
      <c r="A26" s="312" t="s">
        <v>596</v>
      </c>
      <c r="B26" s="312" t="s">
        <v>597</v>
      </c>
      <c r="C26" s="313">
        <f>VLOOKUP(A26, 'S13 Initial Parameters'!$A$2:$C$201, 3,0)</f>
        <v>8750</v>
      </c>
      <c r="D26" s="314">
        <f t="shared" si="2"/>
        <v>1263298</v>
      </c>
      <c r="E26" s="315">
        <f t="shared" si="0"/>
        <v>5.971025173842133E-3</v>
      </c>
      <c r="F26" s="316">
        <f t="shared" si="1"/>
        <v>0.86207818972164807</v>
      </c>
    </row>
    <row r="27" spans="1:6">
      <c r="A27" s="312" t="s">
        <v>602</v>
      </c>
      <c r="B27" s="312" t="s">
        <v>603</v>
      </c>
      <c r="C27" s="313">
        <f>VLOOKUP(A27, 'S13 Initial Parameters'!$A$2:$C$201, 3,0)</f>
        <v>8230</v>
      </c>
      <c r="D27" s="314">
        <f t="shared" si="2"/>
        <v>1271528</v>
      </c>
      <c r="E27" s="315">
        <f t="shared" si="0"/>
        <v>5.6161756777966575E-3</v>
      </c>
      <c r="F27" s="316">
        <f t="shared" si="1"/>
        <v>0.86769436539944478</v>
      </c>
    </row>
    <row r="28" spans="1:6">
      <c r="A28" s="312" t="s">
        <v>584</v>
      </c>
      <c r="B28" s="312" t="s">
        <v>585</v>
      </c>
      <c r="C28" s="313">
        <f>VLOOKUP(A28, 'S13 Initial Parameters'!$A$2:$C$201, 3,0)</f>
        <v>8070</v>
      </c>
      <c r="D28" s="314">
        <f t="shared" si="2"/>
        <v>1279598</v>
      </c>
      <c r="E28" s="315">
        <f t="shared" si="0"/>
        <v>5.5069912174749731E-3</v>
      </c>
      <c r="F28" s="316">
        <f t="shared" si="1"/>
        <v>0.87320135661691978</v>
      </c>
    </row>
    <row r="29" spans="1:6">
      <c r="A29" s="312" t="s">
        <v>620</v>
      </c>
      <c r="B29" s="312" t="s">
        <v>621</v>
      </c>
      <c r="C29" s="313">
        <f>VLOOKUP(A29, 'S13 Initial Parameters'!$A$2:$C$201, 3,0)</f>
        <v>7654</v>
      </c>
      <c r="D29" s="314">
        <f t="shared" si="2"/>
        <v>1287252</v>
      </c>
      <c r="E29" s="315">
        <f t="shared" si="0"/>
        <v>5.2231116206385925E-3</v>
      </c>
      <c r="F29" s="316">
        <f t="shared" si="1"/>
        <v>0.87842446823755838</v>
      </c>
    </row>
    <row r="30" spans="1:6">
      <c r="A30" s="312" t="s">
        <v>604</v>
      </c>
      <c r="B30" s="312" t="s">
        <v>605</v>
      </c>
      <c r="C30" s="313">
        <f>VLOOKUP(A30, 'S13 Initial Parameters'!$A$2:$C$201, 3,0)</f>
        <v>7065</v>
      </c>
      <c r="D30" s="314">
        <f t="shared" si="2"/>
        <v>1294317</v>
      </c>
      <c r="E30" s="315">
        <f t="shared" si="0"/>
        <v>4.8211763260793909E-3</v>
      </c>
      <c r="F30" s="316">
        <f t="shared" si="1"/>
        <v>0.88324564456363774</v>
      </c>
    </row>
    <row r="31" spans="1:6">
      <c r="A31" s="312" t="s">
        <v>548</v>
      </c>
      <c r="B31" s="312" t="s">
        <v>549</v>
      </c>
      <c r="C31" s="313">
        <f>VLOOKUP(A31, 'S13 Initial Parameters'!$A$2:$C$201, 3,0)</f>
        <v>6903</v>
      </c>
      <c r="D31" s="314">
        <f t="shared" si="2"/>
        <v>1301220</v>
      </c>
      <c r="E31" s="315">
        <f t="shared" si="0"/>
        <v>4.7106270600036854E-3</v>
      </c>
      <c r="F31" s="316">
        <f t="shared" si="1"/>
        <v>0.88795627162364144</v>
      </c>
    </row>
    <row r="32" spans="1:6">
      <c r="A32" s="312" t="s">
        <v>528</v>
      </c>
      <c r="B32" s="312" t="s">
        <v>529</v>
      </c>
      <c r="C32" s="313">
        <f>VLOOKUP(A32, 'S13 Initial Parameters'!$A$2:$C$201, 3,0)</f>
        <v>6491</v>
      </c>
      <c r="D32" s="314">
        <f t="shared" si="2"/>
        <v>1307711</v>
      </c>
      <c r="E32" s="315">
        <f t="shared" si="0"/>
        <v>4.4294770746753469E-3</v>
      </c>
      <c r="F32" s="316">
        <f t="shared" si="1"/>
        <v>0.89238574869831677</v>
      </c>
    </row>
    <row r="33" spans="1:6">
      <c r="A33" s="312" t="s">
        <v>510</v>
      </c>
      <c r="B33" s="312" t="s">
        <v>511</v>
      </c>
      <c r="C33" s="313">
        <f>VLOOKUP(A33, 'S13 Initial Parameters'!$A$2:$C$201, 3,0)</f>
        <v>6134</v>
      </c>
      <c r="D33" s="314">
        <f t="shared" si="2"/>
        <v>1313845</v>
      </c>
      <c r="E33" s="315">
        <f t="shared" si="0"/>
        <v>4.1858592475825882E-3</v>
      </c>
      <c r="F33" s="316">
        <f t="shared" si="1"/>
        <v>0.89657160794589941</v>
      </c>
    </row>
    <row r="34" spans="1:6">
      <c r="A34" s="312" t="s">
        <v>630</v>
      </c>
      <c r="B34" s="312" t="s">
        <v>631</v>
      </c>
      <c r="C34" s="313">
        <f>VLOOKUP(A34, 'S13 Initial Parameters'!$A$2:$C$201, 3,0)</f>
        <v>6003</v>
      </c>
      <c r="D34" s="314">
        <f t="shared" si="2"/>
        <v>1319848</v>
      </c>
      <c r="E34" s="315">
        <f t="shared" si="0"/>
        <v>4.0964644706942086E-3</v>
      </c>
      <c r="F34" s="316">
        <f t="shared" si="1"/>
        <v>0.90066807241659363</v>
      </c>
    </row>
    <row r="35" spans="1:6">
      <c r="A35" s="312" t="s">
        <v>538</v>
      </c>
      <c r="B35" s="312" t="s">
        <v>539</v>
      </c>
      <c r="C35" s="313">
        <f>VLOOKUP(A35, 'S13 Initial Parameters'!$A$2:$C$201, 3,0)</f>
        <v>5692</v>
      </c>
      <c r="D35" s="314">
        <f t="shared" si="2"/>
        <v>1325540</v>
      </c>
      <c r="E35" s="315">
        <f t="shared" si="0"/>
        <v>3.8842371759439339E-3</v>
      </c>
      <c r="F35" s="316">
        <f t="shared" si="1"/>
        <v>0.90455230959253752</v>
      </c>
    </row>
    <row r="36" spans="1:6">
      <c r="A36" s="312" t="s">
        <v>524</v>
      </c>
      <c r="B36" s="312" t="s">
        <v>525</v>
      </c>
      <c r="C36" s="313">
        <f>VLOOKUP(A36, 'S13 Initial Parameters'!$A$2:$C$201, 3,0)</f>
        <v>4765</v>
      </c>
      <c r="D36" s="314">
        <f t="shared" si="2"/>
        <v>1330305</v>
      </c>
      <c r="E36" s="315">
        <f t="shared" si="0"/>
        <v>3.2516497089551729E-3</v>
      </c>
      <c r="F36" s="316">
        <f t="shared" si="1"/>
        <v>0.90780395930149271</v>
      </c>
    </row>
    <row r="37" spans="1:6">
      <c r="A37" s="312" t="s">
        <v>600</v>
      </c>
      <c r="B37" s="312" t="s">
        <v>601</v>
      </c>
      <c r="C37" s="313">
        <f>VLOOKUP(A37, 'S13 Initial Parameters'!$A$2:$C$201, 3,0)</f>
        <v>4730</v>
      </c>
      <c r="D37" s="314">
        <f t="shared" si="2"/>
        <v>1335035</v>
      </c>
      <c r="E37" s="315">
        <f t="shared" si="0"/>
        <v>3.2277656082598046E-3</v>
      </c>
      <c r="F37" s="316">
        <f t="shared" si="1"/>
        <v>0.91103172490975248</v>
      </c>
    </row>
    <row r="38" spans="1:6">
      <c r="A38" s="312" t="s">
        <v>552</v>
      </c>
      <c r="B38" s="312" t="s">
        <v>553</v>
      </c>
      <c r="C38" s="313">
        <f>VLOOKUP(A38, 'S13 Initial Parameters'!$A$2:$C$201, 3,0)</f>
        <v>4177</v>
      </c>
      <c r="D38" s="314">
        <f t="shared" si="2"/>
        <v>1339212</v>
      </c>
      <c r="E38" s="315">
        <f t="shared" si="0"/>
        <v>2.8503968172729818E-3</v>
      </c>
      <c r="F38" s="316">
        <f t="shared" si="1"/>
        <v>0.91388212172702543</v>
      </c>
    </row>
    <row r="39" spans="1:6">
      <c r="A39" s="312" t="s">
        <v>624</v>
      </c>
      <c r="B39" s="312" t="s">
        <v>625</v>
      </c>
      <c r="C39" s="313">
        <f>VLOOKUP(A39, 'S13 Initial Parameters'!$A$2:$C$201, 3,0)</f>
        <v>4084</v>
      </c>
      <c r="D39" s="314">
        <f t="shared" si="2"/>
        <v>1343296</v>
      </c>
      <c r="E39" s="315">
        <f t="shared" si="0"/>
        <v>2.7869333497110025E-3</v>
      </c>
      <c r="F39" s="316">
        <f t="shared" si="1"/>
        <v>0.91666905507673646</v>
      </c>
    </row>
    <row r="40" spans="1:6">
      <c r="A40" s="312" t="s">
        <v>570</v>
      </c>
      <c r="B40" s="312" t="s">
        <v>571</v>
      </c>
      <c r="C40" s="313">
        <f>VLOOKUP(A40, 'S13 Initial Parameters'!$A$2:$C$201, 3,0)</f>
        <v>3735</v>
      </c>
      <c r="D40" s="314">
        <f t="shared" si="2"/>
        <v>1347031</v>
      </c>
      <c r="E40" s="315">
        <f t="shared" si="0"/>
        <v>2.5487747456343275E-3</v>
      </c>
      <c r="F40" s="316">
        <f t="shared" si="1"/>
        <v>0.91921782982237077</v>
      </c>
    </row>
    <row r="41" spans="1:6">
      <c r="A41" s="312" t="s">
        <v>564</v>
      </c>
      <c r="B41" s="312" t="s">
        <v>565</v>
      </c>
      <c r="C41" s="313">
        <f>VLOOKUP(A41, 'S13 Initial Parameters'!$A$2:$C$201, 3,0)</f>
        <v>3562</v>
      </c>
      <c r="D41" s="314">
        <f t="shared" si="2"/>
        <v>1350593</v>
      </c>
      <c r="E41" s="315">
        <f t="shared" si="0"/>
        <v>2.4307190479115059E-3</v>
      </c>
      <c r="F41" s="316">
        <f t="shared" si="1"/>
        <v>0.92164854887028225</v>
      </c>
    </row>
    <row r="42" spans="1:6">
      <c r="A42" s="312" t="s">
        <v>598</v>
      </c>
      <c r="B42" s="312" t="s">
        <v>599</v>
      </c>
      <c r="C42" s="313">
        <f>VLOOKUP(A42, 'S13 Initial Parameters'!$A$2:$C$201, 3,0)</f>
        <v>3450</v>
      </c>
      <c r="D42" s="314">
        <f t="shared" si="2"/>
        <v>1354043</v>
      </c>
      <c r="E42" s="315">
        <f t="shared" si="0"/>
        <v>2.3542899256863265E-3</v>
      </c>
      <c r="F42" s="316">
        <f t="shared" si="1"/>
        <v>0.92400283879596856</v>
      </c>
    </row>
    <row r="43" spans="1:6">
      <c r="A43" s="312" t="s">
        <v>576</v>
      </c>
      <c r="B43" s="312" t="s">
        <v>577</v>
      </c>
      <c r="C43" s="313">
        <f>VLOOKUP(A43, 'S13 Initial Parameters'!$A$2:$C$201, 3,0)</f>
        <v>3076</v>
      </c>
      <c r="D43" s="314">
        <f t="shared" si="2"/>
        <v>1357119</v>
      </c>
      <c r="E43" s="315">
        <f t="shared" si="0"/>
        <v>2.0990712496843887E-3</v>
      </c>
      <c r="F43" s="316">
        <f t="shared" si="1"/>
        <v>0.9261019100456529</v>
      </c>
    </row>
    <row r="44" spans="1:6">
      <c r="A44" s="312" t="s">
        <v>554</v>
      </c>
      <c r="B44" s="312" t="s">
        <v>555</v>
      </c>
      <c r="C44" s="313">
        <f>VLOOKUP(A44, 'S13 Initial Parameters'!$A$2:$C$201, 3,0)</f>
        <v>2821</v>
      </c>
      <c r="D44" s="314">
        <f t="shared" si="2"/>
        <v>1359940</v>
      </c>
      <c r="E44" s="315">
        <f t="shared" si="0"/>
        <v>1.9250585160467037E-3</v>
      </c>
      <c r="F44" s="316">
        <f t="shared" si="1"/>
        <v>0.92802696856169964</v>
      </c>
    </row>
    <row r="45" spans="1:6">
      <c r="A45" s="312" t="s">
        <v>616</v>
      </c>
      <c r="B45" s="312" t="s">
        <v>617</v>
      </c>
      <c r="C45" s="313">
        <f>VLOOKUP(A45, 'S13 Initial Parameters'!$A$2:$C$201, 3,0)</f>
        <v>2559</v>
      </c>
      <c r="D45" s="314">
        <f t="shared" si="2"/>
        <v>1362499</v>
      </c>
      <c r="E45" s="315">
        <f t="shared" si="0"/>
        <v>1.746268962269945E-3</v>
      </c>
      <c r="F45" s="316">
        <f t="shared" si="1"/>
        <v>0.92977323752396956</v>
      </c>
    </row>
    <row r="46" spans="1:6">
      <c r="A46" s="312" t="s">
        <v>622</v>
      </c>
      <c r="B46" s="312" t="s">
        <v>623</v>
      </c>
      <c r="C46" s="313">
        <f>VLOOKUP(A46, 'S13 Initial Parameters'!$A$2:$C$201, 3,0)</f>
        <v>2549</v>
      </c>
      <c r="D46" s="314">
        <f t="shared" si="2"/>
        <v>1365048</v>
      </c>
      <c r="E46" s="315">
        <f t="shared" si="0"/>
        <v>1.7394449334998396E-3</v>
      </c>
      <c r="F46" s="316">
        <f t="shared" si="1"/>
        <v>0.93151268245746943</v>
      </c>
    </row>
    <row r="47" spans="1:6">
      <c r="A47" s="312" t="s">
        <v>618</v>
      </c>
      <c r="B47" s="312" t="s">
        <v>619</v>
      </c>
      <c r="C47" s="313">
        <f>VLOOKUP(A47, 'S13 Initial Parameters'!$A$2:$C$201, 3,0)</f>
        <v>2547</v>
      </c>
      <c r="D47" s="314">
        <f t="shared" si="2"/>
        <v>1367595</v>
      </c>
      <c r="E47" s="315">
        <f t="shared" si="0"/>
        <v>1.7380801277458186E-3</v>
      </c>
      <c r="F47" s="316">
        <f t="shared" si="1"/>
        <v>0.93325076258521522</v>
      </c>
    </row>
    <row r="48" spans="1:6">
      <c r="A48" s="312" t="s">
        <v>628</v>
      </c>
      <c r="B48" s="312" t="s">
        <v>629</v>
      </c>
      <c r="C48" s="313">
        <f>VLOOKUP(A48, 'S13 Initial Parameters'!$A$2:$C$201, 3,0)</f>
        <v>2525</v>
      </c>
      <c r="D48" s="314">
        <f t="shared" si="2"/>
        <v>1370120</v>
      </c>
      <c r="E48" s="315">
        <f t="shared" si="0"/>
        <v>1.7230672644515869E-3</v>
      </c>
      <c r="F48" s="316">
        <f t="shared" si="1"/>
        <v>0.93497382984966682</v>
      </c>
    </row>
    <row r="49" spans="1:6">
      <c r="A49" s="312" t="s">
        <v>594</v>
      </c>
      <c r="B49" s="312" t="s">
        <v>595</v>
      </c>
      <c r="C49" s="313">
        <f>VLOOKUP(A49, 'S13 Initial Parameters'!$A$2:$C$201, 3,0)</f>
        <v>2458</v>
      </c>
      <c r="D49" s="314">
        <f t="shared" si="2"/>
        <v>1372578</v>
      </c>
      <c r="E49" s="315">
        <f t="shared" si="0"/>
        <v>1.6773462716918814E-3</v>
      </c>
      <c r="F49" s="316">
        <f t="shared" si="1"/>
        <v>0.93665117612135873</v>
      </c>
    </row>
    <row r="50" spans="1:6">
      <c r="A50" s="312" t="s">
        <v>636</v>
      </c>
      <c r="B50" s="312" t="s">
        <v>637</v>
      </c>
      <c r="C50" s="313">
        <f>VLOOKUP(A50, 'S13 Initial Parameters'!$A$2:$C$201, 3,0)</f>
        <v>2458</v>
      </c>
      <c r="D50" s="314">
        <f t="shared" si="2"/>
        <v>1375036</v>
      </c>
      <c r="E50" s="315">
        <f t="shared" si="0"/>
        <v>1.6773462716918814E-3</v>
      </c>
      <c r="F50" s="316">
        <f t="shared" si="1"/>
        <v>0.93832852239305065</v>
      </c>
    </row>
    <row r="51" spans="1:6">
      <c r="A51" s="312" t="s">
        <v>606</v>
      </c>
      <c r="B51" s="312" t="s">
        <v>607</v>
      </c>
      <c r="C51" s="313">
        <f>VLOOKUP(A51, 'S13 Initial Parameters'!$A$2:$C$201, 3,0)</f>
        <v>2456</v>
      </c>
      <c r="D51" s="314">
        <f t="shared" si="2"/>
        <v>1377492</v>
      </c>
      <c r="E51" s="315">
        <f t="shared" si="0"/>
        <v>1.6759814659378603E-3</v>
      </c>
      <c r="F51" s="316">
        <f t="shared" si="1"/>
        <v>0.94000450385898848</v>
      </c>
    </row>
    <row r="52" spans="1:6">
      <c r="A52" s="312" t="s">
        <v>614</v>
      </c>
      <c r="B52" s="312" t="s">
        <v>615</v>
      </c>
      <c r="C52" s="313">
        <f>VLOOKUP(A52, 'S13 Initial Parameters'!$A$2:$C$201, 3,0)</f>
        <v>2456</v>
      </c>
      <c r="D52" s="314">
        <f t="shared" si="2"/>
        <v>1379948</v>
      </c>
      <c r="E52" s="315">
        <f t="shared" si="0"/>
        <v>1.6759814659378603E-3</v>
      </c>
      <c r="F52" s="316">
        <f t="shared" si="1"/>
        <v>0.94168048532492632</v>
      </c>
    </row>
    <row r="53" spans="1:6">
      <c r="A53" s="312" t="s">
        <v>592</v>
      </c>
      <c r="B53" s="312" t="s">
        <v>593</v>
      </c>
      <c r="C53" s="313">
        <f>VLOOKUP(A53, 'S13 Initial Parameters'!$A$2:$C$201, 3,0)</f>
        <v>2454</v>
      </c>
      <c r="D53" s="314">
        <f t="shared" si="2"/>
        <v>1382402</v>
      </c>
      <c r="E53" s="315">
        <f t="shared" si="0"/>
        <v>1.6746166601838393E-3</v>
      </c>
      <c r="F53" s="316">
        <f t="shared" si="1"/>
        <v>0.94335510198511019</v>
      </c>
    </row>
    <row r="54" spans="1:6">
      <c r="A54" s="312" t="s">
        <v>586</v>
      </c>
      <c r="B54" s="312" t="s">
        <v>587</v>
      </c>
      <c r="C54" s="313">
        <f>VLOOKUP(A54, 'S13 Initial Parameters'!$A$2:$C$201, 3,0)</f>
        <v>2342</v>
      </c>
      <c r="D54" s="314">
        <f t="shared" si="2"/>
        <v>1384744</v>
      </c>
      <c r="E54" s="315">
        <f t="shared" si="0"/>
        <v>1.5981875379586601E-3</v>
      </c>
      <c r="F54" s="316">
        <f t="shared" si="1"/>
        <v>0.9449532895230689</v>
      </c>
    </row>
    <row r="55" spans="1:6">
      <c r="A55" s="312" t="s">
        <v>590</v>
      </c>
      <c r="B55" s="312" t="s">
        <v>591</v>
      </c>
      <c r="C55" s="313">
        <f>VLOOKUP(A55, 'S13 Initial Parameters'!$A$2:$C$201, 3,0)</f>
        <v>2226</v>
      </c>
      <c r="D55" s="314">
        <f t="shared" si="2"/>
        <v>1386970</v>
      </c>
      <c r="E55" s="315">
        <f t="shared" si="0"/>
        <v>1.5190288042254386E-3</v>
      </c>
      <c r="F55" s="316">
        <f t="shared" si="1"/>
        <v>0.94647231832729428</v>
      </c>
    </row>
    <row r="56" spans="1:6">
      <c r="A56" s="312" t="s">
        <v>632</v>
      </c>
      <c r="B56" s="312" t="s">
        <v>633</v>
      </c>
      <c r="C56" s="313">
        <f>VLOOKUP(A56, 'S13 Initial Parameters'!$A$2:$C$201, 3,0)</f>
        <v>2189</v>
      </c>
      <c r="D56" s="314">
        <f t="shared" si="2"/>
        <v>1389159</v>
      </c>
      <c r="E56" s="315">
        <f t="shared" si="0"/>
        <v>1.493779897776049E-3</v>
      </c>
      <c r="F56" s="316">
        <f t="shared" si="1"/>
        <v>0.94796609822507039</v>
      </c>
    </row>
    <row r="57" spans="1:6">
      <c r="A57" s="312" t="s">
        <v>562</v>
      </c>
      <c r="B57" s="312" t="s">
        <v>563</v>
      </c>
      <c r="C57" s="313">
        <f>VLOOKUP(A57, 'S13 Initial Parameters'!$A$2:$C$201, 3,0)</f>
        <v>2156</v>
      </c>
      <c r="D57" s="314">
        <f t="shared" si="2"/>
        <v>1391315</v>
      </c>
      <c r="E57" s="315">
        <f t="shared" si="0"/>
        <v>1.4712606028347015E-3</v>
      </c>
      <c r="F57" s="316">
        <f t="shared" si="1"/>
        <v>0.94943735882790514</v>
      </c>
    </row>
    <row r="58" spans="1:6">
      <c r="A58" s="312" t="s">
        <v>588</v>
      </c>
      <c r="B58" s="312" t="s">
        <v>589</v>
      </c>
      <c r="C58" s="313">
        <f>VLOOKUP(A58, 'S13 Initial Parameters'!$A$2:$C$201, 3,0)</f>
        <v>2156</v>
      </c>
      <c r="D58" s="314">
        <f t="shared" si="2"/>
        <v>1393471</v>
      </c>
      <c r="E58" s="315">
        <f t="shared" si="0"/>
        <v>1.4712606028347015E-3</v>
      </c>
      <c r="F58" s="316">
        <f t="shared" si="1"/>
        <v>0.9509086194307399</v>
      </c>
    </row>
    <row r="59" spans="1:6">
      <c r="A59" s="312" t="s">
        <v>522</v>
      </c>
      <c r="B59" s="312" t="s">
        <v>523</v>
      </c>
      <c r="C59" s="313">
        <f>VLOOKUP(A59, 'S13 Initial Parameters'!$A$2:$C$201, 3,0)</f>
        <v>2154</v>
      </c>
      <c r="D59" s="314">
        <f t="shared" si="2"/>
        <v>1395625</v>
      </c>
      <c r="E59" s="315">
        <f t="shared" si="0"/>
        <v>1.4698957970806805E-3</v>
      </c>
      <c r="F59" s="316">
        <f t="shared" si="1"/>
        <v>0.95237851522782058</v>
      </c>
    </row>
    <row r="60" spans="1:6">
      <c r="A60" s="312" t="s">
        <v>582</v>
      </c>
      <c r="B60" s="312" t="s">
        <v>583</v>
      </c>
      <c r="C60" s="313">
        <f>VLOOKUP(A60, 'S13 Initial Parameters'!$A$2:$C$201, 3,0)</f>
        <v>2154</v>
      </c>
      <c r="D60" s="314">
        <f t="shared" si="2"/>
        <v>1397779</v>
      </c>
      <c r="E60" s="315">
        <f t="shared" si="0"/>
        <v>1.4698957970806805E-3</v>
      </c>
      <c r="F60" s="316">
        <f t="shared" si="1"/>
        <v>0.95384841102490125</v>
      </c>
    </row>
    <row r="61" spans="1:6">
      <c r="A61" s="312" t="s">
        <v>650</v>
      </c>
      <c r="B61" s="312" t="s">
        <v>651</v>
      </c>
      <c r="C61" s="313">
        <f>VLOOKUP(A61, 'S13 Initial Parameters'!$A$2:$C$201, 3,0)</f>
        <v>2154</v>
      </c>
      <c r="D61" s="314">
        <f t="shared" si="2"/>
        <v>1399933</v>
      </c>
      <c r="E61" s="315">
        <f t="shared" si="0"/>
        <v>1.4698957970806805E-3</v>
      </c>
      <c r="F61" s="316">
        <f t="shared" si="1"/>
        <v>0.95531830682198193</v>
      </c>
    </row>
    <row r="62" spans="1:6">
      <c r="A62" s="312" t="s">
        <v>536</v>
      </c>
      <c r="B62" s="312" t="s">
        <v>537</v>
      </c>
      <c r="C62" s="313">
        <f>VLOOKUP(A62, 'S13 Initial Parameters'!$A$2:$C$201, 3,0)</f>
        <v>2014</v>
      </c>
      <c r="D62" s="314">
        <f t="shared" si="2"/>
        <v>1401947</v>
      </c>
      <c r="E62" s="315">
        <f t="shared" si="0"/>
        <v>1.3743593942992063E-3</v>
      </c>
      <c r="F62" s="316">
        <f t="shared" si="1"/>
        <v>0.95669266621628113</v>
      </c>
    </row>
    <row r="63" spans="1:6">
      <c r="A63" s="312" t="s">
        <v>532</v>
      </c>
      <c r="B63" s="312" t="s">
        <v>533</v>
      </c>
      <c r="C63" s="313">
        <f>VLOOKUP(A63, 'S13 Initial Parameters'!$A$2:$C$201, 3,0)</f>
        <v>1987</v>
      </c>
      <c r="D63" s="314">
        <f t="shared" si="2"/>
        <v>1403934</v>
      </c>
      <c r="E63" s="315">
        <f t="shared" si="0"/>
        <v>1.355934516619922E-3</v>
      </c>
      <c r="F63" s="316">
        <f t="shared" si="1"/>
        <v>0.9580486007329011</v>
      </c>
    </row>
    <row r="64" spans="1:6">
      <c r="A64" s="312" t="s">
        <v>508</v>
      </c>
      <c r="B64" s="312" t="s">
        <v>509</v>
      </c>
      <c r="C64" s="313">
        <f>VLOOKUP(A64, 'S13 Initial Parameters'!$A$2:$C$201, 3,0)</f>
        <v>1945</v>
      </c>
      <c r="D64" s="314">
        <f t="shared" si="2"/>
        <v>1405879</v>
      </c>
      <c r="E64" s="315">
        <f t="shared" si="0"/>
        <v>1.3272735957854799E-3</v>
      </c>
      <c r="F64" s="316">
        <f t="shared" si="1"/>
        <v>0.95937587432868654</v>
      </c>
    </row>
    <row r="65" spans="1:6">
      <c r="A65" s="312" t="s">
        <v>544</v>
      </c>
      <c r="B65" s="312" t="s">
        <v>545</v>
      </c>
      <c r="C65" s="313">
        <f>VLOOKUP(A65, 'S13 Initial Parameters'!$A$2:$C$201, 3,0)</f>
        <v>1750</v>
      </c>
      <c r="D65" s="314">
        <f t="shared" si="2"/>
        <v>1407629</v>
      </c>
      <c r="E65" s="315">
        <f t="shared" si="0"/>
        <v>1.1942050347684267E-3</v>
      </c>
      <c r="F65" s="316">
        <f t="shared" si="1"/>
        <v>0.96057007936345495</v>
      </c>
    </row>
    <row r="66" spans="1:6">
      <c r="A66" s="312" t="s">
        <v>578</v>
      </c>
      <c r="B66" s="312" t="s">
        <v>579</v>
      </c>
      <c r="C66" s="313">
        <f>VLOOKUP(A66, 'S13 Initial Parameters'!$A$2:$C$201, 3,0)</f>
        <v>1637</v>
      </c>
      <c r="D66" s="314">
        <f t="shared" si="2"/>
        <v>1409266</v>
      </c>
      <c r="E66" s="315">
        <f t="shared" si="0"/>
        <v>1.1170935096662367E-3</v>
      </c>
      <c r="F66" s="316">
        <f t="shared" si="1"/>
        <v>0.96168717287312122</v>
      </c>
    </row>
    <row r="67" spans="1:6">
      <c r="A67" s="312" t="s">
        <v>550</v>
      </c>
      <c r="B67" s="312" t="s">
        <v>551</v>
      </c>
      <c r="C67" s="313">
        <f>VLOOKUP(A67, 'S13 Initial Parameters'!$A$2:$C$201, 3,0)</f>
        <v>1631</v>
      </c>
      <c r="D67" s="314">
        <f t="shared" si="2"/>
        <v>1410897</v>
      </c>
      <c r="E67" s="315">
        <f t="shared" si="0"/>
        <v>1.1129990924041737E-3</v>
      </c>
      <c r="F67" s="316">
        <f t="shared" si="1"/>
        <v>0.96280017196552536</v>
      </c>
    </row>
    <row r="68" spans="1:6">
      <c r="A68" s="312" t="s">
        <v>516</v>
      </c>
      <c r="B68" s="312" t="s">
        <v>517</v>
      </c>
      <c r="C68" s="313">
        <f>VLOOKUP(A68, 'S13 Initial Parameters'!$A$2:$C$201, 3,0)</f>
        <v>1612</v>
      </c>
      <c r="D68" s="314">
        <f t="shared" si="2"/>
        <v>1412509</v>
      </c>
      <c r="E68" s="315">
        <f t="shared" ref="E68:E131" si="3">C68/SUM($C$3:$C$202)</f>
        <v>1.1000334377409735E-3</v>
      </c>
      <c r="F68" s="316">
        <f t="shared" ref="F68:F131" si="4">E68+F67</f>
        <v>0.96390020540326637</v>
      </c>
    </row>
    <row r="69" spans="1:6">
      <c r="A69" s="312" t="s">
        <v>566</v>
      </c>
      <c r="B69" s="312" t="s">
        <v>567</v>
      </c>
      <c r="C69" s="313">
        <f>VLOOKUP(A69, 'S13 Initial Parameters'!$A$2:$C$201, 3,0)</f>
        <v>1554</v>
      </c>
      <c r="D69" s="314">
        <f t="shared" ref="D69:D132" si="5">C69+D68</f>
        <v>1414063</v>
      </c>
      <c r="E69" s="315">
        <f t="shared" si="3"/>
        <v>1.0604540708743628E-3</v>
      </c>
      <c r="F69" s="316">
        <f t="shared" si="4"/>
        <v>0.96496065947414078</v>
      </c>
    </row>
    <row r="70" spans="1:6">
      <c r="A70" s="312" t="s">
        <v>558</v>
      </c>
      <c r="B70" s="312" t="s">
        <v>559</v>
      </c>
      <c r="C70" s="313">
        <f>VLOOKUP(A70, 'S13 Initial Parameters'!$A$2:$C$201, 3,0)</f>
        <v>1533</v>
      </c>
      <c r="D70" s="314">
        <f t="shared" si="5"/>
        <v>1415596</v>
      </c>
      <c r="E70" s="315">
        <f t="shared" si="3"/>
        <v>1.0461236104571416E-3</v>
      </c>
      <c r="F70" s="316">
        <f t="shared" si="4"/>
        <v>0.96600678308459798</v>
      </c>
    </row>
    <row r="71" spans="1:6">
      <c r="A71" s="312" t="s">
        <v>542</v>
      </c>
      <c r="B71" s="312" t="s">
        <v>543</v>
      </c>
      <c r="C71" s="313">
        <f>VLOOKUP(A71, 'S13 Initial Parameters'!$A$2:$C$201, 3,0)</f>
        <v>1524</v>
      </c>
      <c r="D71" s="314">
        <f t="shared" si="5"/>
        <v>1417120</v>
      </c>
      <c r="E71" s="315">
        <f t="shared" si="3"/>
        <v>1.039981984564047E-3</v>
      </c>
      <c r="F71" s="316">
        <f t="shared" si="4"/>
        <v>0.96704676506916198</v>
      </c>
    </row>
    <row r="72" spans="1:6">
      <c r="A72" s="312" t="s">
        <v>540</v>
      </c>
      <c r="B72" s="312" t="s">
        <v>541</v>
      </c>
      <c r="C72" s="313">
        <f>VLOOKUP(A72, 'S13 Initial Parameters'!$A$2:$C$201, 3,0)</f>
        <v>1498</v>
      </c>
      <c r="D72" s="314">
        <f t="shared" si="5"/>
        <v>1418618</v>
      </c>
      <c r="E72" s="315">
        <f t="shared" si="3"/>
        <v>1.0222395097617732E-3</v>
      </c>
      <c r="F72" s="316">
        <f t="shared" si="4"/>
        <v>0.96806900457892375</v>
      </c>
    </row>
    <row r="73" spans="1:6">
      <c r="A73" s="312" t="s">
        <v>512</v>
      </c>
      <c r="B73" s="312" t="s">
        <v>513</v>
      </c>
      <c r="C73" s="313">
        <f>VLOOKUP(A73, 'S13 Initial Parameters'!$A$2:$C$201, 3,0)</f>
        <v>1425</v>
      </c>
      <c r="D73" s="314">
        <f t="shared" si="5"/>
        <v>1420043</v>
      </c>
      <c r="E73" s="315">
        <f t="shared" si="3"/>
        <v>9.724240997400045E-4</v>
      </c>
      <c r="F73" s="316">
        <f t="shared" si="4"/>
        <v>0.96904142867866372</v>
      </c>
    </row>
    <row r="74" spans="1:6">
      <c r="A74" s="312" t="s">
        <v>534</v>
      </c>
      <c r="B74" s="312" t="s">
        <v>535</v>
      </c>
      <c r="C74" s="313">
        <f>VLOOKUP(A74, 'S13 Initial Parameters'!$A$2:$C$201, 3,0)</f>
        <v>1413</v>
      </c>
      <c r="D74" s="314">
        <f t="shared" si="5"/>
        <v>1421456</v>
      </c>
      <c r="E74" s="315">
        <f t="shared" si="3"/>
        <v>9.6423526521587815E-4</v>
      </c>
      <c r="F74" s="316">
        <f t="shared" si="4"/>
        <v>0.97000566394387955</v>
      </c>
    </row>
    <row r="75" spans="1:6">
      <c r="A75" s="312" t="s">
        <v>546</v>
      </c>
      <c r="B75" s="312" t="s">
        <v>547</v>
      </c>
      <c r="C75" s="313">
        <f>VLOOKUP(A75, 'S13 Initial Parameters'!$A$2:$C$201, 3,0)</f>
        <v>1348</v>
      </c>
      <c r="D75" s="314">
        <f t="shared" si="5"/>
        <v>1422804</v>
      </c>
      <c r="E75" s="315">
        <f t="shared" si="3"/>
        <v>9.1987907821019371E-4</v>
      </c>
      <c r="F75" s="316">
        <f t="shared" si="4"/>
        <v>0.97092554302208978</v>
      </c>
    </row>
    <row r="76" spans="1:6">
      <c r="A76" s="312" t="s">
        <v>714</v>
      </c>
      <c r="B76" s="312" t="s">
        <v>715</v>
      </c>
      <c r="C76" s="313">
        <f>VLOOKUP(A76, 'S13 Initial Parameters'!$A$2:$C$201, 3,0)</f>
        <v>997</v>
      </c>
      <c r="D76" s="314">
        <f t="shared" si="5"/>
        <v>1423801</v>
      </c>
      <c r="E76" s="315">
        <f t="shared" si="3"/>
        <v>6.8035566837949791E-4</v>
      </c>
      <c r="F76" s="316">
        <f t="shared" si="4"/>
        <v>0.97160589869046932</v>
      </c>
    </row>
    <row r="77" spans="1:6">
      <c r="A77" s="312" t="s">
        <v>716</v>
      </c>
      <c r="B77" s="312" t="s">
        <v>717</v>
      </c>
      <c r="C77" s="313">
        <f>VLOOKUP(A77, 'S13 Initial Parameters'!$A$2:$C$201, 3,0)</f>
        <v>989</v>
      </c>
      <c r="D77" s="314">
        <f t="shared" si="5"/>
        <v>1424790</v>
      </c>
      <c r="E77" s="315">
        <f t="shared" si="3"/>
        <v>6.748964453634136E-4</v>
      </c>
      <c r="F77" s="316">
        <f t="shared" si="4"/>
        <v>0.97228079513583276</v>
      </c>
    </row>
    <row r="78" spans="1:6">
      <c r="A78" s="312" t="s">
        <v>718</v>
      </c>
      <c r="B78" s="312" t="s">
        <v>719</v>
      </c>
      <c r="C78" s="313">
        <f>VLOOKUP(A78, 'S13 Initial Parameters'!$A$2:$C$201, 3,0)</f>
        <v>981</v>
      </c>
      <c r="D78" s="314">
        <f t="shared" si="5"/>
        <v>1425771</v>
      </c>
      <c r="E78" s="315">
        <f t="shared" si="3"/>
        <v>6.694372223473294E-4</v>
      </c>
      <c r="F78" s="316">
        <f t="shared" si="4"/>
        <v>0.97295023235818012</v>
      </c>
    </row>
    <row r="79" spans="1:6">
      <c r="A79" s="312" t="s">
        <v>720</v>
      </c>
      <c r="B79" s="312" t="s">
        <v>721</v>
      </c>
      <c r="C79" s="313">
        <f>VLOOKUP(A79, 'S13 Initial Parameters'!$A$2:$C$201, 3,0)</f>
        <v>973</v>
      </c>
      <c r="D79" s="314">
        <f t="shared" si="5"/>
        <v>1426744</v>
      </c>
      <c r="E79" s="315">
        <f t="shared" si="3"/>
        <v>6.639779993312452E-4</v>
      </c>
      <c r="F79" s="316">
        <f t="shared" si="4"/>
        <v>0.97361421035751139</v>
      </c>
    </row>
    <row r="80" spans="1:6">
      <c r="A80" s="312" t="s">
        <v>722</v>
      </c>
      <c r="B80" s="312" t="s">
        <v>723</v>
      </c>
      <c r="C80" s="313">
        <f>VLOOKUP(A80, 'S13 Initial Parameters'!$A$2:$C$201, 3,0)</f>
        <v>965</v>
      </c>
      <c r="D80" s="314">
        <f t="shared" si="5"/>
        <v>1427709</v>
      </c>
      <c r="E80" s="315">
        <f t="shared" si="3"/>
        <v>6.5851877631516089E-4</v>
      </c>
      <c r="F80" s="316">
        <f t="shared" si="4"/>
        <v>0.97427272913382656</v>
      </c>
    </row>
    <row r="81" spans="1:6">
      <c r="A81" s="312" t="s">
        <v>724</v>
      </c>
      <c r="B81" s="312" t="s">
        <v>725</v>
      </c>
      <c r="C81" s="313">
        <f>VLOOKUP(A81, 'S13 Initial Parameters'!$A$2:$C$201, 3,0)</f>
        <v>957</v>
      </c>
      <c r="D81" s="314">
        <f t="shared" si="5"/>
        <v>1428666</v>
      </c>
      <c r="E81" s="315">
        <f t="shared" si="3"/>
        <v>6.5305955329907669E-4</v>
      </c>
      <c r="F81" s="316">
        <f t="shared" si="4"/>
        <v>0.97492578868712565</v>
      </c>
    </row>
    <row r="82" spans="1:6">
      <c r="A82" s="312" t="s">
        <v>726</v>
      </c>
      <c r="B82" s="312" t="s">
        <v>727</v>
      </c>
      <c r="C82" s="313">
        <f>VLOOKUP(A82, 'S13 Initial Parameters'!$A$2:$C$201, 3,0)</f>
        <v>949</v>
      </c>
      <c r="D82" s="314">
        <f t="shared" si="5"/>
        <v>1429615</v>
      </c>
      <c r="E82" s="315">
        <f t="shared" si="3"/>
        <v>6.4760033028299249E-4</v>
      </c>
      <c r="F82" s="316">
        <f t="shared" si="4"/>
        <v>0.97557338901740864</v>
      </c>
    </row>
    <row r="83" spans="1:6">
      <c r="A83" s="312" t="s">
        <v>658</v>
      </c>
      <c r="B83" s="312" t="s">
        <v>659</v>
      </c>
      <c r="C83" s="313">
        <f>VLOOKUP(A83, 'S13 Initial Parameters'!$A$2:$C$201, 3,0)</f>
        <v>941</v>
      </c>
      <c r="D83" s="314">
        <f t="shared" si="5"/>
        <v>1430556</v>
      </c>
      <c r="E83" s="315">
        <f t="shared" si="3"/>
        <v>6.4214110726690829E-4</v>
      </c>
      <c r="F83" s="316">
        <f t="shared" si="4"/>
        <v>0.97621553012467555</v>
      </c>
    </row>
    <row r="84" spans="1:6">
      <c r="A84" s="312" t="s">
        <v>728</v>
      </c>
      <c r="B84" s="312" t="s">
        <v>729</v>
      </c>
      <c r="C84" s="313">
        <f>VLOOKUP(A84, 'S13 Initial Parameters'!$A$2:$C$201, 3,0)</f>
        <v>941</v>
      </c>
      <c r="D84" s="314">
        <f t="shared" si="5"/>
        <v>1431497</v>
      </c>
      <c r="E84" s="315">
        <f t="shared" si="3"/>
        <v>6.4214110726690829E-4</v>
      </c>
      <c r="F84" s="316">
        <f t="shared" si="4"/>
        <v>0.97685767123194245</v>
      </c>
    </row>
    <row r="85" spans="1:6">
      <c r="A85" s="312" t="s">
        <v>730</v>
      </c>
      <c r="B85" s="312" t="s">
        <v>731</v>
      </c>
      <c r="C85" s="313">
        <f>VLOOKUP(A85, 'S13 Initial Parameters'!$A$2:$C$201, 3,0)</f>
        <v>933</v>
      </c>
      <c r="D85" s="314">
        <f t="shared" si="5"/>
        <v>1432430</v>
      </c>
      <c r="E85" s="315">
        <f t="shared" si="3"/>
        <v>6.3668188425082398E-4</v>
      </c>
      <c r="F85" s="316">
        <f t="shared" si="4"/>
        <v>0.97749435311619326</v>
      </c>
    </row>
    <row r="86" spans="1:6">
      <c r="A86" s="312" t="s">
        <v>732</v>
      </c>
      <c r="B86" s="312" t="s">
        <v>733</v>
      </c>
      <c r="C86" s="313">
        <f>VLOOKUP(A86, 'S13 Initial Parameters'!$A$2:$C$201, 3,0)</f>
        <v>925</v>
      </c>
      <c r="D86" s="314">
        <f t="shared" si="5"/>
        <v>1433355</v>
      </c>
      <c r="E86" s="315">
        <f t="shared" si="3"/>
        <v>6.3122266123473978E-4</v>
      </c>
      <c r="F86" s="316">
        <f t="shared" si="4"/>
        <v>0.97812557577742798</v>
      </c>
    </row>
    <row r="87" spans="1:6">
      <c r="A87" s="312" t="s">
        <v>734</v>
      </c>
      <c r="B87" s="312" t="s">
        <v>735</v>
      </c>
      <c r="C87" s="313">
        <f>VLOOKUP(A87, 'S13 Initial Parameters'!$A$2:$C$201, 3,0)</f>
        <v>917</v>
      </c>
      <c r="D87" s="314">
        <f t="shared" si="5"/>
        <v>1434272</v>
      </c>
      <c r="E87" s="315">
        <f t="shared" si="3"/>
        <v>6.2576343821865558E-4</v>
      </c>
      <c r="F87" s="316">
        <f t="shared" si="4"/>
        <v>0.97875133921564661</v>
      </c>
    </row>
    <row r="88" spans="1:6">
      <c r="A88" s="312" t="s">
        <v>736</v>
      </c>
      <c r="B88" s="312" t="s">
        <v>737</v>
      </c>
      <c r="C88" s="313">
        <f>VLOOKUP(A88, 'S13 Initial Parameters'!$A$2:$C$201, 3,0)</f>
        <v>909</v>
      </c>
      <c r="D88" s="314">
        <f t="shared" si="5"/>
        <v>1435181</v>
      </c>
      <c r="E88" s="315">
        <f t="shared" si="3"/>
        <v>6.2030421520257127E-4</v>
      </c>
      <c r="F88" s="316">
        <f t="shared" si="4"/>
        <v>0.97937164343084915</v>
      </c>
    </row>
    <row r="89" spans="1:6">
      <c r="A89" s="312" t="s">
        <v>738</v>
      </c>
      <c r="B89" s="312" t="s">
        <v>739</v>
      </c>
      <c r="C89" s="313">
        <f>VLOOKUP(A89, 'S13 Initial Parameters'!$A$2:$C$201, 3,0)</f>
        <v>901</v>
      </c>
      <c r="D89" s="314">
        <f t="shared" si="5"/>
        <v>1436082</v>
      </c>
      <c r="E89" s="315">
        <f t="shared" si="3"/>
        <v>6.1484499218648707E-4</v>
      </c>
      <c r="F89" s="316">
        <f t="shared" si="4"/>
        <v>0.9799864884230356</v>
      </c>
    </row>
    <row r="90" spans="1:6">
      <c r="A90" s="312" t="s">
        <v>740</v>
      </c>
      <c r="B90" s="312" t="s">
        <v>741</v>
      </c>
      <c r="C90" s="313">
        <f>VLOOKUP(A90, 'S13 Initial Parameters'!$A$2:$C$201, 3,0)</f>
        <v>893</v>
      </c>
      <c r="D90" s="314">
        <f t="shared" si="5"/>
        <v>1436975</v>
      </c>
      <c r="E90" s="315">
        <f t="shared" si="3"/>
        <v>6.0938576917040287E-4</v>
      </c>
      <c r="F90" s="316">
        <f t="shared" si="4"/>
        <v>0.98059587419220595</v>
      </c>
    </row>
    <row r="91" spans="1:6">
      <c r="A91" s="312" t="s">
        <v>742</v>
      </c>
      <c r="B91" s="312" t="s">
        <v>743</v>
      </c>
      <c r="C91" s="313">
        <f>VLOOKUP(A91, 'S13 Initial Parameters'!$A$2:$C$201, 3,0)</f>
        <v>885</v>
      </c>
      <c r="D91" s="314">
        <f t="shared" si="5"/>
        <v>1437860</v>
      </c>
      <c r="E91" s="315">
        <f t="shared" si="3"/>
        <v>6.0392654615431857E-4</v>
      </c>
      <c r="F91" s="316">
        <f t="shared" si="4"/>
        <v>0.98119980073836022</v>
      </c>
    </row>
    <row r="92" spans="1:6">
      <c r="A92" s="312" t="s">
        <v>744</v>
      </c>
      <c r="B92" s="312" t="s">
        <v>745</v>
      </c>
      <c r="C92" s="313">
        <f>VLOOKUP(A92, 'S13 Initial Parameters'!$A$2:$C$201, 3,0)</f>
        <v>877</v>
      </c>
      <c r="D92" s="314">
        <f t="shared" si="5"/>
        <v>1438737</v>
      </c>
      <c r="E92" s="315">
        <f t="shared" si="3"/>
        <v>5.9846732313823437E-4</v>
      </c>
      <c r="F92" s="316">
        <f t="shared" si="4"/>
        <v>0.9817982680614985</v>
      </c>
    </row>
    <row r="93" spans="1:6">
      <c r="A93" s="312" t="s">
        <v>746</v>
      </c>
      <c r="B93" s="312" t="s">
        <v>747</v>
      </c>
      <c r="C93" s="313">
        <f>VLOOKUP(A93, 'S13 Initial Parameters'!$A$2:$C$201, 3,0)</f>
        <v>869</v>
      </c>
      <c r="D93" s="314">
        <f t="shared" si="5"/>
        <v>1439606</v>
      </c>
      <c r="E93" s="315">
        <f t="shared" si="3"/>
        <v>5.9300810012215017E-4</v>
      </c>
      <c r="F93" s="316">
        <f t="shared" si="4"/>
        <v>0.9823912761616207</v>
      </c>
    </row>
    <row r="94" spans="1:6">
      <c r="A94" s="312" t="s">
        <v>748</v>
      </c>
      <c r="B94" s="312" t="s">
        <v>749</v>
      </c>
      <c r="C94" s="313">
        <f>VLOOKUP(A94, 'S13 Initial Parameters'!$A$2:$C$201, 3,0)</f>
        <v>861</v>
      </c>
      <c r="D94" s="314">
        <f t="shared" si="5"/>
        <v>1440467</v>
      </c>
      <c r="E94" s="315">
        <f t="shared" si="3"/>
        <v>5.8754887710606586E-4</v>
      </c>
      <c r="F94" s="316">
        <f t="shared" si="4"/>
        <v>0.9829788250387268</v>
      </c>
    </row>
    <row r="95" spans="1:6">
      <c r="A95" s="312" t="s">
        <v>750</v>
      </c>
      <c r="B95" s="312" t="s">
        <v>751</v>
      </c>
      <c r="C95" s="313">
        <f>VLOOKUP(A95, 'S13 Initial Parameters'!$A$2:$C$201, 3,0)</f>
        <v>853</v>
      </c>
      <c r="D95" s="314">
        <f t="shared" si="5"/>
        <v>1441320</v>
      </c>
      <c r="E95" s="315">
        <f t="shared" si="3"/>
        <v>5.8208965408998166E-4</v>
      </c>
      <c r="F95" s="316">
        <f t="shared" si="4"/>
        <v>0.98356091469281681</v>
      </c>
    </row>
    <row r="96" spans="1:6">
      <c r="A96" s="312" t="s">
        <v>752</v>
      </c>
      <c r="B96" s="312" t="s">
        <v>753</v>
      </c>
      <c r="C96" s="313">
        <f>VLOOKUP(A96, 'S13 Initial Parameters'!$A$2:$C$201, 3,0)</f>
        <v>845</v>
      </c>
      <c r="D96" s="314">
        <f t="shared" si="5"/>
        <v>1442165</v>
      </c>
      <c r="E96" s="315">
        <f t="shared" si="3"/>
        <v>5.7663043107389746E-4</v>
      </c>
      <c r="F96" s="316">
        <f t="shared" si="4"/>
        <v>0.98413754512389073</v>
      </c>
    </row>
    <row r="97" spans="1:6">
      <c r="A97" s="312" t="s">
        <v>754</v>
      </c>
      <c r="B97" s="312" t="s">
        <v>755</v>
      </c>
      <c r="C97" s="313">
        <f>VLOOKUP(A97, 'S13 Initial Parameters'!$A$2:$C$201, 3,0)</f>
        <v>837</v>
      </c>
      <c r="D97" s="314">
        <f t="shared" si="5"/>
        <v>1443002</v>
      </c>
      <c r="E97" s="315">
        <f t="shared" si="3"/>
        <v>5.7117120805781315E-4</v>
      </c>
      <c r="F97" s="316">
        <f t="shared" si="4"/>
        <v>0.98470871633194856</v>
      </c>
    </row>
    <row r="98" spans="1:6">
      <c r="A98" s="312" t="s">
        <v>756</v>
      </c>
      <c r="B98" s="312" t="s">
        <v>757</v>
      </c>
      <c r="C98" s="313">
        <f>VLOOKUP(A98, 'S13 Initial Parameters'!$A$2:$C$201, 3,0)</f>
        <v>829</v>
      </c>
      <c r="D98" s="314">
        <f t="shared" si="5"/>
        <v>1443831</v>
      </c>
      <c r="E98" s="315">
        <f t="shared" si="3"/>
        <v>5.6571198504172895E-4</v>
      </c>
      <c r="F98" s="316">
        <f t="shared" si="4"/>
        <v>0.9852744283169903</v>
      </c>
    </row>
    <row r="99" spans="1:6">
      <c r="A99" s="312" t="s">
        <v>664</v>
      </c>
      <c r="B99" s="312" t="s">
        <v>665</v>
      </c>
      <c r="C99" s="313">
        <f>VLOOKUP(A99, 'S13 Initial Parameters'!$A$2:$C$201, 3,0)</f>
        <v>771</v>
      </c>
      <c r="D99" s="314">
        <f t="shared" si="5"/>
        <v>1444602</v>
      </c>
      <c r="E99" s="315">
        <f t="shared" si="3"/>
        <v>5.261326181751182E-4</v>
      </c>
      <c r="F99" s="316">
        <f t="shared" si="4"/>
        <v>0.98580056093516544</v>
      </c>
    </row>
    <row r="100" spans="1:6">
      <c r="A100" s="312" t="s">
        <v>758</v>
      </c>
      <c r="B100" s="312" t="s">
        <v>759</v>
      </c>
      <c r="C100" s="313">
        <f>VLOOKUP(A100, 'S13 Initial Parameters'!$A$2:$C$201, 3,0)</f>
        <v>732</v>
      </c>
      <c r="D100" s="314">
        <f t="shared" si="5"/>
        <v>1445334</v>
      </c>
      <c r="E100" s="315">
        <f t="shared" si="3"/>
        <v>4.995189059717076E-4</v>
      </c>
      <c r="F100" s="316">
        <f t="shared" si="4"/>
        <v>0.9863000798411371</v>
      </c>
    </row>
    <row r="101" spans="1:6">
      <c r="A101" s="312" t="s">
        <v>676</v>
      </c>
      <c r="B101" s="312" t="s">
        <v>677</v>
      </c>
      <c r="C101" s="313">
        <f>VLOOKUP(A101, 'S13 Initial Parameters'!$A$2:$C$201, 3,0)</f>
        <v>668</v>
      </c>
      <c r="D101" s="314">
        <f t="shared" si="5"/>
        <v>1446002</v>
      </c>
      <c r="E101" s="315">
        <f t="shared" si="3"/>
        <v>4.5584512184303368E-4</v>
      </c>
      <c r="F101" s="316">
        <f t="shared" si="4"/>
        <v>0.98675592496298015</v>
      </c>
    </row>
    <row r="102" spans="1:6">
      <c r="A102" s="312" t="s">
        <v>760</v>
      </c>
      <c r="B102" s="312" t="s">
        <v>761</v>
      </c>
      <c r="C102" s="313">
        <f>VLOOKUP(A102, 'S13 Initial Parameters'!$A$2:$C$201, 3,0)</f>
        <v>666</v>
      </c>
      <c r="D102" s="314">
        <f t="shared" si="5"/>
        <v>1446668</v>
      </c>
      <c r="E102" s="315">
        <f t="shared" si="3"/>
        <v>4.5448031608901266E-4</v>
      </c>
      <c r="F102" s="316">
        <f t="shared" si="4"/>
        <v>0.98721040527906911</v>
      </c>
    </row>
    <row r="103" spans="1:6">
      <c r="A103" s="312" t="s">
        <v>762</v>
      </c>
      <c r="B103" s="312" t="s">
        <v>763</v>
      </c>
      <c r="C103" s="313">
        <f>VLOOKUP(A103, 'S13 Initial Parameters'!$A$2:$C$201, 3,0)</f>
        <v>600</v>
      </c>
      <c r="D103" s="314">
        <f t="shared" si="5"/>
        <v>1447268</v>
      </c>
      <c r="E103" s="315">
        <f t="shared" si="3"/>
        <v>4.0944172620631771E-4</v>
      </c>
      <c r="F103" s="316">
        <f t="shared" si="4"/>
        <v>0.98761984700527539</v>
      </c>
    </row>
    <row r="104" spans="1:6">
      <c r="A104" s="312" t="s">
        <v>764</v>
      </c>
      <c r="B104" s="312" t="s">
        <v>765</v>
      </c>
      <c r="C104" s="313">
        <f>VLOOKUP(A104, 'S13 Initial Parameters'!$A$2:$C$201, 3,0)</f>
        <v>534</v>
      </c>
      <c r="D104" s="314">
        <f t="shared" si="5"/>
        <v>1447802</v>
      </c>
      <c r="E104" s="315">
        <f t="shared" si="3"/>
        <v>3.6440313632362276E-4</v>
      </c>
      <c r="F104" s="316">
        <f t="shared" si="4"/>
        <v>0.98798425014159896</v>
      </c>
    </row>
    <row r="105" spans="1:6">
      <c r="A105" s="312" t="s">
        <v>766</v>
      </c>
      <c r="B105" s="312" t="s">
        <v>767</v>
      </c>
      <c r="C105" s="313">
        <f>VLOOKUP(A105, 'S13 Initial Parameters'!$A$2:$C$201, 3,0)</f>
        <v>468</v>
      </c>
      <c r="D105" s="314">
        <f t="shared" si="5"/>
        <v>1448270</v>
      </c>
      <c r="E105" s="315">
        <f t="shared" si="3"/>
        <v>3.1936454644092781E-4</v>
      </c>
      <c r="F105" s="316">
        <f t="shared" si="4"/>
        <v>0.98830361468803984</v>
      </c>
    </row>
    <row r="106" spans="1:6">
      <c r="A106" s="312" t="s">
        <v>662</v>
      </c>
      <c r="B106" s="312" t="s">
        <v>663</v>
      </c>
      <c r="C106" s="313">
        <f>VLOOKUP(A106, 'S13 Initial Parameters'!$A$2:$C$201, 3,0)</f>
        <v>407</v>
      </c>
      <c r="D106" s="314">
        <f t="shared" si="5"/>
        <v>1448677</v>
      </c>
      <c r="E106" s="315">
        <f t="shared" si="3"/>
        <v>2.7773797094328548E-4</v>
      </c>
      <c r="F106" s="316">
        <f t="shared" si="4"/>
        <v>0.98858135265898317</v>
      </c>
    </row>
    <row r="107" spans="1:6">
      <c r="A107" s="312" t="s">
        <v>768</v>
      </c>
      <c r="B107" s="312" t="s">
        <v>769</v>
      </c>
      <c r="C107" s="313">
        <f>VLOOKUP(A107, 'S13 Initial Parameters'!$A$2:$C$201, 3,0)</f>
        <v>402</v>
      </c>
      <c r="D107" s="314">
        <f t="shared" si="5"/>
        <v>1449079</v>
      </c>
      <c r="E107" s="315">
        <f t="shared" si="3"/>
        <v>2.7432595655823286E-4</v>
      </c>
      <c r="F107" s="316">
        <f t="shared" si="4"/>
        <v>0.98885567861554136</v>
      </c>
    </row>
    <row r="108" spans="1:6">
      <c r="A108" s="312" t="s">
        <v>770</v>
      </c>
      <c r="B108" s="312" t="s">
        <v>771</v>
      </c>
      <c r="C108" s="313">
        <f>VLOOKUP(A108, 'S13 Initial Parameters'!$A$2:$C$201, 3,0)</f>
        <v>336</v>
      </c>
      <c r="D108" s="314">
        <f t="shared" si="5"/>
        <v>1449415</v>
      </c>
      <c r="E108" s="315">
        <f t="shared" si="3"/>
        <v>2.2928736667553792E-4</v>
      </c>
      <c r="F108" s="316">
        <f t="shared" si="4"/>
        <v>0.98908496598221685</v>
      </c>
    </row>
    <row r="109" spans="1:6">
      <c r="A109" s="312" t="s">
        <v>772</v>
      </c>
      <c r="B109" s="312" t="s">
        <v>773</v>
      </c>
      <c r="C109" s="313">
        <f>VLOOKUP(A109, 'S13 Initial Parameters'!$A$2:$C$201, 3,0)</f>
        <v>270</v>
      </c>
      <c r="D109" s="314">
        <f t="shared" si="5"/>
        <v>1449685</v>
      </c>
      <c r="E109" s="315">
        <f t="shared" si="3"/>
        <v>1.8424877679284297E-4</v>
      </c>
      <c r="F109" s="316">
        <f t="shared" si="4"/>
        <v>0.98926921475900964</v>
      </c>
    </row>
    <row r="110" spans="1:6">
      <c r="A110" s="312" t="s">
        <v>666</v>
      </c>
      <c r="B110" s="312" t="s">
        <v>667</v>
      </c>
      <c r="C110" s="313">
        <f>VLOOKUP(A110, 'S13 Initial Parameters'!$A$2:$C$201, 3,0)</f>
        <v>258</v>
      </c>
      <c r="D110" s="314">
        <f t="shared" si="5"/>
        <v>1449943</v>
      </c>
      <c r="E110" s="315">
        <f t="shared" si="3"/>
        <v>1.7605994226871661E-4</v>
      </c>
      <c r="F110" s="316">
        <f t="shared" si="4"/>
        <v>0.98944527470127841</v>
      </c>
    </row>
    <row r="111" spans="1:6">
      <c r="A111" s="312" t="s">
        <v>560</v>
      </c>
      <c r="B111" s="312" t="s">
        <v>561</v>
      </c>
      <c r="C111" s="313">
        <f>VLOOKUP(A111, 'S13 Initial Parameters'!$A$2:$C$201, 3,0)</f>
        <v>245</v>
      </c>
      <c r="D111" s="314">
        <f t="shared" si="5"/>
        <v>1450188</v>
      </c>
      <c r="E111" s="315">
        <f t="shared" si="3"/>
        <v>1.6718870486757972E-4</v>
      </c>
      <c r="F111" s="316">
        <f t="shared" si="4"/>
        <v>0.98961246340614595</v>
      </c>
    </row>
    <row r="112" spans="1:6">
      <c r="A112" s="312" t="s">
        <v>656</v>
      </c>
      <c r="B112" s="312" t="s">
        <v>657</v>
      </c>
      <c r="C112" s="313">
        <f>VLOOKUP(A112, 'S13 Initial Parameters'!$A$2:$C$201, 3,0)</f>
        <v>235</v>
      </c>
      <c r="D112" s="314">
        <f t="shared" si="5"/>
        <v>1450423</v>
      </c>
      <c r="E112" s="315">
        <f t="shared" si="3"/>
        <v>1.6036467609747442E-4</v>
      </c>
      <c r="F112" s="316">
        <f t="shared" si="4"/>
        <v>0.98977282808224343</v>
      </c>
    </row>
    <row r="113" spans="1:6">
      <c r="A113" s="312" t="s">
        <v>678</v>
      </c>
      <c r="B113" s="312" t="s">
        <v>679</v>
      </c>
      <c r="C113" s="313">
        <f>VLOOKUP(A113, 'S13 Initial Parameters'!$A$2:$C$201, 3,0)</f>
        <v>233</v>
      </c>
      <c r="D113" s="314">
        <f t="shared" si="5"/>
        <v>1450656</v>
      </c>
      <c r="E113" s="315">
        <f t="shared" si="3"/>
        <v>1.5899987034345337E-4</v>
      </c>
      <c r="F113" s="316">
        <f t="shared" si="4"/>
        <v>0.98993182795258683</v>
      </c>
    </row>
    <row r="114" spans="1:6">
      <c r="A114" s="312" t="s">
        <v>680</v>
      </c>
      <c r="B114" s="312" t="s">
        <v>681</v>
      </c>
      <c r="C114" s="313">
        <f>VLOOKUP(A114, 'S13 Initial Parameters'!$A$2:$C$201, 3,0)</f>
        <v>224</v>
      </c>
      <c r="D114" s="314">
        <f t="shared" si="5"/>
        <v>1450880</v>
      </c>
      <c r="E114" s="315">
        <f t="shared" si="3"/>
        <v>1.528582444503586E-4</v>
      </c>
      <c r="F114" s="316">
        <f t="shared" si="4"/>
        <v>0.99008468619703716</v>
      </c>
    </row>
    <row r="115" spans="1:6">
      <c r="A115" s="312" t="s">
        <v>660</v>
      </c>
      <c r="B115" s="312" t="s">
        <v>661</v>
      </c>
      <c r="C115" s="313">
        <f>VLOOKUP(A115, 'S13 Initial Parameters'!$A$2:$C$201, 3,0)</f>
        <v>220</v>
      </c>
      <c r="D115" s="314">
        <f t="shared" si="5"/>
        <v>1451100</v>
      </c>
      <c r="E115" s="315">
        <f t="shared" si="3"/>
        <v>1.5012863294231647E-4</v>
      </c>
      <c r="F115" s="316">
        <f t="shared" si="4"/>
        <v>0.99023481482997944</v>
      </c>
    </row>
    <row r="116" spans="1:6">
      <c r="A116" s="312" t="s">
        <v>668</v>
      </c>
      <c r="B116" s="312" t="s">
        <v>669</v>
      </c>
      <c r="C116" s="313">
        <f>VLOOKUP(A116, 'S13 Initial Parameters'!$A$2:$C$201, 3,0)</f>
        <v>215</v>
      </c>
      <c r="D116" s="314">
        <f t="shared" si="5"/>
        <v>1451315</v>
      </c>
      <c r="E116" s="315">
        <f t="shared" si="3"/>
        <v>1.4671661855726384E-4</v>
      </c>
      <c r="F116" s="316">
        <f t="shared" si="4"/>
        <v>0.99038153144853669</v>
      </c>
    </row>
    <row r="117" spans="1:6">
      <c r="A117" s="312" t="s">
        <v>672</v>
      </c>
      <c r="B117" s="312" t="s">
        <v>673</v>
      </c>
      <c r="C117" s="313">
        <f>VLOOKUP(A117, 'S13 Initial Parameters'!$A$2:$C$201, 3,0)</f>
        <v>213</v>
      </c>
      <c r="D117" s="314">
        <f t="shared" si="5"/>
        <v>1451528</v>
      </c>
      <c r="E117" s="315">
        <f t="shared" si="3"/>
        <v>1.4535181280324279E-4</v>
      </c>
      <c r="F117" s="316">
        <f t="shared" si="4"/>
        <v>0.99052688326133997</v>
      </c>
    </row>
    <row r="118" spans="1:6">
      <c r="A118" s="312" t="s">
        <v>682</v>
      </c>
      <c r="B118" s="312" t="s">
        <v>683</v>
      </c>
      <c r="C118" s="313">
        <f>VLOOKUP(A118, 'S13 Initial Parameters'!$A$2:$C$201, 3,0)</f>
        <v>213</v>
      </c>
      <c r="D118" s="314">
        <f t="shared" si="5"/>
        <v>1451741</v>
      </c>
      <c r="E118" s="315">
        <f t="shared" si="3"/>
        <v>1.4535181280324279E-4</v>
      </c>
      <c r="F118" s="316">
        <f t="shared" si="4"/>
        <v>0.99067223507414326</v>
      </c>
    </row>
    <row r="119" spans="1:6">
      <c r="A119" s="312" t="s">
        <v>774</v>
      </c>
      <c r="B119" s="312" t="s">
        <v>775</v>
      </c>
      <c r="C119" s="313">
        <f>VLOOKUP(A119, 'S13 Initial Parameters'!$A$2:$C$201, 3,0)</f>
        <v>204</v>
      </c>
      <c r="D119" s="314">
        <f t="shared" si="5"/>
        <v>1451945</v>
      </c>
      <c r="E119" s="315">
        <f t="shared" si="3"/>
        <v>1.3921018691014802E-4</v>
      </c>
      <c r="F119" s="316">
        <f t="shared" si="4"/>
        <v>0.99081144526105336</v>
      </c>
    </row>
    <row r="120" spans="1:6">
      <c r="A120" s="312" t="s">
        <v>776</v>
      </c>
      <c r="B120" s="312" t="s">
        <v>777</v>
      </c>
      <c r="C120" s="313">
        <f>VLOOKUP(A120, 'S13 Initial Parameters'!$A$2:$C$201, 3,0)</f>
        <v>203</v>
      </c>
      <c r="D120" s="314">
        <f t="shared" si="5"/>
        <v>1452148</v>
      </c>
      <c r="E120" s="315">
        <f t="shared" si="3"/>
        <v>1.3852778403313748E-4</v>
      </c>
      <c r="F120" s="316">
        <f t="shared" si="4"/>
        <v>0.99094997304508647</v>
      </c>
    </row>
    <row r="121" spans="1:6">
      <c r="A121" s="312" t="s">
        <v>684</v>
      </c>
      <c r="B121" s="312" t="s">
        <v>685</v>
      </c>
      <c r="C121" s="313">
        <f>VLOOKUP(A121, 'S13 Initial Parameters'!$A$2:$C$201, 3,0)</f>
        <v>202</v>
      </c>
      <c r="D121" s="314">
        <f t="shared" si="5"/>
        <v>1452350</v>
      </c>
      <c r="E121" s="315">
        <f t="shared" si="3"/>
        <v>1.3784538115612694E-4</v>
      </c>
      <c r="F121" s="316">
        <f t="shared" si="4"/>
        <v>0.99108781842624261</v>
      </c>
    </row>
    <row r="122" spans="1:6">
      <c r="A122" s="312" t="s">
        <v>778</v>
      </c>
      <c r="B122" s="312" t="s">
        <v>779</v>
      </c>
      <c r="C122" s="313">
        <f>VLOOKUP(A122, 'S13 Initial Parameters'!$A$2:$C$201, 3,0)</f>
        <v>202</v>
      </c>
      <c r="D122" s="314">
        <f t="shared" si="5"/>
        <v>1452552</v>
      </c>
      <c r="E122" s="315">
        <f t="shared" si="3"/>
        <v>1.3784538115612694E-4</v>
      </c>
      <c r="F122" s="316">
        <f t="shared" si="4"/>
        <v>0.99122566380739874</v>
      </c>
    </row>
    <row r="123" spans="1:6">
      <c r="A123" s="312" t="s">
        <v>780</v>
      </c>
      <c r="B123" s="312" t="s">
        <v>781</v>
      </c>
      <c r="C123" s="313">
        <f>VLOOKUP(A123, 'S13 Initial Parameters'!$A$2:$C$201, 3,0)</f>
        <v>201</v>
      </c>
      <c r="D123" s="314">
        <f t="shared" si="5"/>
        <v>1452753</v>
      </c>
      <c r="E123" s="315">
        <f t="shared" si="3"/>
        <v>1.3716297827911643E-4</v>
      </c>
      <c r="F123" s="316">
        <f t="shared" si="4"/>
        <v>0.99136282678567789</v>
      </c>
    </row>
    <row r="124" spans="1:6">
      <c r="A124" s="312" t="s">
        <v>782</v>
      </c>
      <c r="B124" s="312" t="s">
        <v>783</v>
      </c>
      <c r="C124" s="313">
        <f>VLOOKUP(A124, 'S13 Initial Parameters'!$A$2:$C$201, 3,0)</f>
        <v>200</v>
      </c>
      <c r="D124" s="314">
        <f t="shared" si="5"/>
        <v>1452953</v>
      </c>
      <c r="E124" s="315">
        <f t="shared" si="3"/>
        <v>1.3648057540210589E-4</v>
      </c>
      <c r="F124" s="316">
        <f t="shared" si="4"/>
        <v>0.99149930736107994</v>
      </c>
    </row>
    <row r="125" spans="1:6">
      <c r="A125" s="312" t="s">
        <v>784</v>
      </c>
      <c r="B125" s="312" t="s">
        <v>785</v>
      </c>
      <c r="C125" s="313">
        <f>VLOOKUP(A125, 'S13 Initial Parameters'!$A$2:$C$201, 3,0)</f>
        <v>199</v>
      </c>
      <c r="D125" s="314">
        <f t="shared" si="5"/>
        <v>1453152</v>
      </c>
      <c r="E125" s="315">
        <f t="shared" si="3"/>
        <v>1.3579817252509536E-4</v>
      </c>
      <c r="F125" s="316">
        <f t="shared" si="4"/>
        <v>0.99163510553360501</v>
      </c>
    </row>
    <row r="126" spans="1:6">
      <c r="A126" s="312" t="s">
        <v>786</v>
      </c>
      <c r="B126" s="312" t="s">
        <v>787</v>
      </c>
      <c r="C126" s="313">
        <f>VLOOKUP(A126, 'S13 Initial Parameters'!$A$2:$C$201, 3,0)</f>
        <v>198</v>
      </c>
      <c r="D126" s="314">
        <f t="shared" si="5"/>
        <v>1453350</v>
      </c>
      <c r="E126" s="315">
        <f t="shared" si="3"/>
        <v>1.3511576964808484E-4</v>
      </c>
      <c r="F126" s="316">
        <f t="shared" si="4"/>
        <v>0.9917702213032531</v>
      </c>
    </row>
    <row r="127" spans="1:6">
      <c r="A127" s="312" t="s">
        <v>788</v>
      </c>
      <c r="B127" s="312" t="s">
        <v>789</v>
      </c>
      <c r="C127" s="313">
        <f>VLOOKUP(A127, 'S13 Initial Parameters'!$A$2:$C$201, 3,0)</f>
        <v>197</v>
      </c>
      <c r="D127" s="314">
        <f t="shared" si="5"/>
        <v>1453547</v>
      </c>
      <c r="E127" s="315">
        <f t="shared" si="3"/>
        <v>1.3443336677107431E-4</v>
      </c>
      <c r="F127" s="316">
        <f t="shared" si="4"/>
        <v>0.9919046546700242</v>
      </c>
    </row>
    <row r="128" spans="1:6">
      <c r="A128" s="312" t="s">
        <v>790</v>
      </c>
      <c r="B128" s="312" t="s">
        <v>791</v>
      </c>
      <c r="C128" s="313">
        <f>VLOOKUP(A128, 'S13 Initial Parameters'!$A$2:$C$201, 3,0)</f>
        <v>196</v>
      </c>
      <c r="D128" s="314">
        <f t="shared" si="5"/>
        <v>1453743</v>
      </c>
      <c r="E128" s="315">
        <f t="shared" si="3"/>
        <v>1.3375096389406377E-4</v>
      </c>
      <c r="F128" s="316">
        <f t="shared" si="4"/>
        <v>0.99203840563391832</v>
      </c>
    </row>
    <row r="129" spans="1:6">
      <c r="A129" s="312" t="s">
        <v>792</v>
      </c>
      <c r="B129" s="312" t="s">
        <v>793</v>
      </c>
      <c r="C129" s="313">
        <f>VLOOKUP(A129, 'S13 Initial Parameters'!$A$2:$C$201, 3,0)</f>
        <v>195</v>
      </c>
      <c r="D129" s="314">
        <f t="shared" si="5"/>
        <v>1453938</v>
      </c>
      <c r="E129" s="315">
        <f t="shared" si="3"/>
        <v>1.3306856101705326E-4</v>
      </c>
      <c r="F129" s="316">
        <f t="shared" si="4"/>
        <v>0.99217147419493534</v>
      </c>
    </row>
    <row r="130" spans="1:6">
      <c r="A130" s="312" t="s">
        <v>794</v>
      </c>
      <c r="B130" s="312" t="s">
        <v>795</v>
      </c>
      <c r="C130" s="313">
        <f>VLOOKUP(A130, 'S13 Initial Parameters'!$A$2:$C$201, 3,0)</f>
        <v>194</v>
      </c>
      <c r="D130" s="314">
        <f t="shared" si="5"/>
        <v>1454132</v>
      </c>
      <c r="E130" s="315">
        <f t="shared" si="3"/>
        <v>1.3238615814004272E-4</v>
      </c>
      <c r="F130" s="316">
        <f t="shared" si="4"/>
        <v>0.99230386035307538</v>
      </c>
    </row>
    <row r="131" spans="1:6">
      <c r="A131" s="312" t="s">
        <v>796</v>
      </c>
      <c r="B131" s="312" t="s">
        <v>797</v>
      </c>
      <c r="C131" s="313">
        <f>VLOOKUP(A131, 'S13 Initial Parameters'!$A$2:$C$201, 3,0)</f>
        <v>193</v>
      </c>
      <c r="D131" s="314">
        <f t="shared" si="5"/>
        <v>1454325</v>
      </c>
      <c r="E131" s="315">
        <f t="shared" si="3"/>
        <v>1.3170375526303218E-4</v>
      </c>
      <c r="F131" s="316">
        <f t="shared" si="4"/>
        <v>0.99243556410833844</v>
      </c>
    </row>
    <row r="132" spans="1:6">
      <c r="A132" s="312" t="s">
        <v>798</v>
      </c>
      <c r="B132" s="312" t="s">
        <v>799</v>
      </c>
      <c r="C132" s="313">
        <f>VLOOKUP(A132, 'S13 Initial Parameters'!$A$2:$C$201, 3,0)</f>
        <v>192</v>
      </c>
      <c r="D132" s="314">
        <f t="shared" si="5"/>
        <v>1454517</v>
      </c>
      <c r="E132" s="315">
        <f t="shared" ref="E132:E195" si="6">C132/SUM($C$3:$C$202)</f>
        <v>1.3102135238602167E-4</v>
      </c>
      <c r="F132" s="316">
        <f t="shared" ref="F132:F195" si="7">E132+F131</f>
        <v>0.99256658546072452</v>
      </c>
    </row>
    <row r="133" spans="1:6">
      <c r="A133" s="312" t="s">
        <v>686</v>
      </c>
      <c r="B133" s="312" t="s">
        <v>687</v>
      </c>
      <c r="C133" s="313">
        <f>VLOOKUP(A133, 'S13 Initial Parameters'!$A$2:$C$201, 3,0)</f>
        <v>191</v>
      </c>
      <c r="D133" s="314">
        <f t="shared" ref="D133:D196" si="8">C133+D132</f>
        <v>1454708</v>
      </c>
      <c r="E133" s="315">
        <f t="shared" si="6"/>
        <v>1.3033894950901113E-4</v>
      </c>
      <c r="F133" s="316">
        <f t="shared" si="7"/>
        <v>0.99269692441023349</v>
      </c>
    </row>
    <row r="134" spans="1:6">
      <c r="A134" s="312" t="s">
        <v>800</v>
      </c>
      <c r="B134" s="312" t="s">
        <v>801</v>
      </c>
      <c r="C134" s="313">
        <f>VLOOKUP(A134, 'S13 Initial Parameters'!$A$2:$C$201, 3,0)</f>
        <v>191</v>
      </c>
      <c r="D134" s="314">
        <f t="shared" si="8"/>
        <v>1454899</v>
      </c>
      <c r="E134" s="315">
        <f t="shared" si="6"/>
        <v>1.3033894950901113E-4</v>
      </c>
      <c r="F134" s="316">
        <f t="shared" si="7"/>
        <v>0.99282726335974247</v>
      </c>
    </row>
    <row r="135" spans="1:6">
      <c r="A135" s="312" t="s">
        <v>802</v>
      </c>
      <c r="B135" s="312" t="s">
        <v>803</v>
      </c>
      <c r="C135" s="313">
        <f>VLOOKUP(A135, 'S13 Initial Parameters'!$A$2:$C$201, 3,0)</f>
        <v>190</v>
      </c>
      <c r="D135" s="314">
        <f t="shared" si="8"/>
        <v>1455089</v>
      </c>
      <c r="E135" s="315">
        <f t="shared" si="6"/>
        <v>1.2965654663200059E-4</v>
      </c>
      <c r="F135" s="316">
        <f t="shared" si="7"/>
        <v>0.99295691990637447</v>
      </c>
    </row>
    <row r="136" spans="1:6">
      <c r="A136" s="312" t="s">
        <v>804</v>
      </c>
      <c r="B136" s="312" t="s">
        <v>805</v>
      </c>
      <c r="C136" s="313">
        <f>VLOOKUP(A136, 'S13 Initial Parameters'!$A$2:$C$201, 3,0)</f>
        <v>189</v>
      </c>
      <c r="D136" s="314">
        <f t="shared" si="8"/>
        <v>1455278</v>
      </c>
      <c r="E136" s="315">
        <f t="shared" si="6"/>
        <v>1.2897414375499008E-4</v>
      </c>
      <c r="F136" s="316">
        <f t="shared" si="7"/>
        <v>0.99308589405012948</v>
      </c>
    </row>
    <row r="137" spans="1:6">
      <c r="A137" s="312" t="s">
        <v>806</v>
      </c>
      <c r="B137" s="312" t="s">
        <v>807</v>
      </c>
      <c r="C137" s="313">
        <f>VLOOKUP(A137, 'S13 Initial Parameters'!$A$2:$C$201, 3,0)</f>
        <v>188</v>
      </c>
      <c r="D137" s="314">
        <f t="shared" si="8"/>
        <v>1455466</v>
      </c>
      <c r="E137" s="315">
        <f t="shared" si="6"/>
        <v>1.2829174087797954E-4</v>
      </c>
      <c r="F137" s="316">
        <f t="shared" si="7"/>
        <v>0.99321418579100751</v>
      </c>
    </row>
    <row r="138" spans="1:6">
      <c r="A138" s="312" t="s">
        <v>808</v>
      </c>
      <c r="B138" s="312" t="s">
        <v>809</v>
      </c>
      <c r="C138" s="313">
        <f>VLOOKUP(A138, 'S13 Initial Parameters'!$A$2:$C$201, 3,0)</f>
        <v>187</v>
      </c>
      <c r="D138" s="314">
        <f t="shared" si="8"/>
        <v>1455653</v>
      </c>
      <c r="E138" s="315">
        <f t="shared" si="6"/>
        <v>1.27609338000969E-4</v>
      </c>
      <c r="F138" s="316">
        <f t="shared" si="7"/>
        <v>0.99334179512900844</v>
      </c>
    </row>
    <row r="139" spans="1:6">
      <c r="A139" s="312" t="s">
        <v>810</v>
      </c>
      <c r="B139" s="312" t="s">
        <v>811</v>
      </c>
      <c r="C139" s="313">
        <f>VLOOKUP(A139, 'S13 Initial Parameters'!$A$2:$C$201, 3,0)</f>
        <v>186</v>
      </c>
      <c r="D139" s="314">
        <f t="shared" si="8"/>
        <v>1455839</v>
      </c>
      <c r="E139" s="315">
        <f t="shared" si="6"/>
        <v>1.2692693512395849E-4</v>
      </c>
      <c r="F139" s="316">
        <f t="shared" si="7"/>
        <v>0.99346872206413239</v>
      </c>
    </row>
    <row r="140" spans="1:6">
      <c r="A140" s="312" t="s">
        <v>812</v>
      </c>
      <c r="B140" s="312" t="s">
        <v>813</v>
      </c>
      <c r="C140" s="313">
        <f>VLOOKUP(A140, 'S13 Initial Parameters'!$A$2:$C$201, 3,0)</f>
        <v>185</v>
      </c>
      <c r="D140" s="314">
        <f t="shared" si="8"/>
        <v>1456024</v>
      </c>
      <c r="E140" s="315">
        <f t="shared" si="6"/>
        <v>1.2624453224694795E-4</v>
      </c>
      <c r="F140" s="316">
        <f t="shared" si="7"/>
        <v>0.99359496659637936</v>
      </c>
    </row>
    <row r="141" spans="1:6">
      <c r="A141" s="312" t="s">
        <v>814</v>
      </c>
      <c r="B141" s="312" t="s">
        <v>815</v>
      </c>
      <c r="C141" s="313">
        <f>VLOOKUP(A141, 'S13 Initial Parameters'!$A$2:$C$201, 3,0)</f>
        <v>184</v>
      </c>
      <c r="D141" s="314">
        <f t="shared" si="8"/>
        <v>1456208</v>
      </c>
      <c r="E141" s="315">
        <f t="shared" si="6"/>
        <v>1.2556212936993741E-4</v>
      </c>
      <c r="F141" s="316">
        <f t="shared" si="7"/>
        <v>0.99372052872574934</v>
      </c>
    </row>
    <row r="142" spans="1:6">
      <c r="A142" s="312" t="s">
        <v>816</v>
      </c>
      <c r="B142" s="312" t="s">
        <v>817</v>
      </c>
      <c r="C142" s="313">
        <f>VLOOKUP(A142, 'S13 Initial Parameters'!$A$2:$C$201, 3,0)</f>
        <v>183</v>
      </c>
      <c r="D142" s="314">
        <f t="shared" si="8"/>
        <v>1456391</v>
      </c>
      <c r="E142" s="315">
        <f t="shared" si="6"/>
        <v>1.248797264929269E-4</v>
      </c>
      <c r="F142" s="316">
        <f t="shared" si="7"/>
        <v>0.99384540845224223</v>
      </c>
    </row>
    <row r="143" spans="1:6">
      <c r="A143" s="312" t="s">
        <v>818</v>
      </c>
      <c r="B143" s="312" t="s">
        <v>819</v>
      </c>
      <c r="C143" s="313">
        <f>VLOOKUP(A143, 'S13 Initial Parameters'!$A$2:$C$201, 3,0)</f>
        <v>182</v>
      </c>
      <c r="D143" s="314">
        <f t="shared" si="8"/>
        <v>1456573</v>
      </c>
      <c r="E143" s="315">
        <f t="shared" si="6"/>
        <v>1.2419732361591636E-4</v>
      </c>
      <c r="F143" s="316">
        <f t="shared" si="7"/>
        <v>0.99396960577585813</v>
      </c>
    </row>
    <row r="144" spans="1:6">
      <c r="A144" s="312" t="s">
        <v>820</v>
      </c>
      <c r="B144" s="312" t="s">
        <v>821</v>
      </c>
      <c r="C144" s="313">
        <f>VLOOKUP(A144, 'S13 Initial Parameters'!$A$2:$C$201, 3,0)</f>
        <v>181</v>
      </c>
      <c r="D144" s="314">
        <f t="shared" si="8"/>
        <v>1456754</v>
      </c>
      <c r="E144" s="315">
        <f t="shared" si="6"/>
        <v>1.2351492073890582E-4</v>
      </c>
      <c r="F144" s="316">
        <f t="shared" si="7"/>
        <v>0.99409312069659705</v>
      </c>
    </row>
    <row r="145" spans="1:6">
      <c r="A145" s="312" t="s">
        <v>688</v>
      </c>
      <c r="B145" s="312" t="s">
        <v>689</v>
      </c>
      <c r="C145" s="313">
        <f>VLOOKUP(A145, 'S13 Initial Parameters'!$A$2:$C$201, 3,0)</f>
        <v>180</v>
      </c>
      <c r="D145" s="314">
        <f t="shared" si="8"/>
        <v>1456934</v>
      </c>
      <c r="E145" s="315">
        <f t="shared" si="6"/>
        <v>1.2283251786189531E-4</v>
      </c>
      <c r="F145" s="316">
        <f t="shared" si="7"/>
        <v>0.99421595321445899</v>
      </c>
    </row>
    <row r="146" spans="1:6">
      <c r="A146" s="312" t="s">
        <v>822</v>
      </c>
      <c r="B146" s="312" t="s">
        <v>823</v>
      </c>
      <c r="C146" s="313">
        <f>VLOOKUP(A146, 'S13 Initial Parameters'!$A$2:$C$201, 3,0)</f>
        <v>180</v>
      </c>
      <c r="D146" s="314">
        <f t="shared" si="8"/>
        <v>1457114</v>
      </c>
      <c r="E146" s="315">
        <f t="shared" si="6"/>
        <v>1.2283251786189531E-4</v>
      </c>
      <c r="F146" s="316">
        <f t="shared" si="7"/>
        <v>0.99433878573232093</v>
      </c>
    </row>
    <row r="147" spans="1:6">
      <c r="A147" s="312" t="s">
        <v>824</v>
      </c>
      <c r="B147" s="312" t="s">
        <v>825</v>
      </c>
      <c r="C147" s="313">
        <f>VLOOKUP(A147, 'S13 Initial Parameters'!$A$2:$C$201, 3,0)</f>
        <v>179</v>
      </c>
      <c r="D147" s="314">
        <f t="shared" si="8"/>
        <v>1457293</v>
      </c>
      <c r="E147" s="315">
        <f t="shared" si="6"/>
        <v>1.2215011498488477E-4</v>
      </c>
      <c r="F147" s="316">
        <f t="shared" si="7"/>
        <v>0.99446093584730577</v>
      </c>
    </row>
    <row r="148" spans="1:6">
      <c r="A148" s="312" t="s">
        <v>826</v>
      </c>
      <c r="B148" s="312" t="s">
        <v>827</v>
      </c>
      <c r="C148" s="313">
        <f>VLOOKUP(A148, 'S13 Initial Parameters'!$A$2:$C$201, 3,0)</f>
        <v>178</v>
      </c>
      <c r="D148" s="314">
        <f t="shared" si="8"/>
        <v>1457471</v>
      </c>
      <c r="E148" s="315">
        <f t="shared" si="6"/>
        <v>1.2146771210787425E-4</v>
      </c>
      <c r="F148" s="316">
        <f t="shared" si="7"/>
        <v>0.99458240355941363</v>
      </c>
    </row>
    <row r="149" spans="1:6">
      <c r="A149" s="312" t="s">
        <v>828</v>
      </c>
      <c r="B149" s="312" t="s">
        <v>829</v>
      </c>
      <c r="C149" s="313">
        <f>VLOOKUP(A149, 'S13 Initial Parameters'!$A$2:$C$201, 3,0)</f>
        <v>177</v>
      </c>
      <c r="D149" s="314">
        <f t="shared" si="8"/>
        <v>1457648</v>
      </c>
      <c r="E149" s="315">
        <f t="shared" si="6"/>
        <v>1.2078530923086372E-4</v>
      </c>
      <c r="F149" s="316">
        <f t="shared" si="7"/>
        <v>0.99470318886864451</v>
      </c>
    </row>
    <row r="150" spans="1:6">
      <c r="A150" s="312" t="s">
        <v>830</v>
      </c>
      <c r="B150" s="312" t="s">
        <v>831</v>
      </c>
      <c r="C150" s="313">
        <f>VLOOKUP(A150, 'S13 Initial Parameters'!$A$2:$C$201, 3,0)</f>
        <v>176</v>
      </c>
      <c r="D150" s="314">
        <f t="shared" si="8"/>
        <v>1457824</v>
      </c>
      <c r="E150" s="315">
        <f t="shared" si="6"/>
        <v>1.2010290635385319E-4</v>
      </c>
      <c r="F150" s="316">
        <f t="shared" si="7"/>
        <v>0.9948232917749984</v>
      </c>
    </row>
    <row r="151" spans="1:6">
      <c r="A151" s="312" t="s">
        <v>832</v>
      </c>
      <c r="B151" s="312" t="s">
        <v>833</v>
      </c>
      <c r="C151" s="313">
        <f>VLOOKUP(A151, 'S13 Initial Parameters'!$A$2:$C$201, 3,0)</f>
        <v>175</v>
      </c>
      <c r="D151" s="314">
        <f t="shared" si="8"/>
        <v>1457999</v>
      </c>
      <c r="E151" s="315">
        <f t="shared" si="6"/>
        <v>1.1942050347684266E-4</v>
      </c>
      <c r="F151" s="316">
        <f t="shared" si="7"/>
        <v>0.99494271227847519</v>
      </c>
    </row>
    <row r="152" spans="1:6">
      <c r="A152" s="312" t="s">
        <v>834</v>
      </c>
      <c r="B152" s="312" t="s">
        <v>835</v>
      </c>
      <c r="C152" s="313">
        <f>VLOOKUP(A152, 'S13 Initial Parameters'!$A$2:$C$201, 3,0)</f>
        <v>174</v>
      </c>
      <c r="D152" s="314">
        <f t="shared" si="8"/>
        <v>1458173</v>
      </c>
      <c r="E152" s="315">
        <f t="shared" si="6"/>
        <v>1.1873810059983214E-4</v>
      </c>
      <c r="F152" s="316">
        <f t="shared" si="7"/>
        <v>0.99506145037907501</v>
      </c>
    </row>
    <row r="153" spans="1:6">
      <c r="A153" s="312" t="s">
        <v>836</v>
      </c>
      <c r="B153" s="312" t="s">
        <v>837</v>
      </c>
      <c r="C153" s="313">
        <f>VLOOKUP(A153, 'S13 Initial Parameters'!$A$2:$C$201, 3,0)</f>
        <v>173</v>
      </c>
      <c r="D153" s="314">
        <f t="shared" si="8"/>
        <v>1458346</v>
      </c>
      <c r="E153" s="315">
        <f t="shared" si="6"/>
        <v>1.180556977228216E-4</v>
      </c>
      <c r="F153" s="316">
        <f t="shared" si="7"/>
        <v>0.99517950607679784</v>
      </c>
    </row>
    <row r="154" spans="1:6">
      <c r="A154" s="312" t="s">
        <v>838</v>
      </c>
      <c r="B154" s="312" t="s">
        <v>839</v>
      </c>
      <c r="C154" s="313">
        <f>VLOOKUP(A154, 'S13 Initial Parameters'!$A$2:$C$201, 3,0)</f>
        <v>172</v>
      </c>
      <c r="D154" s="314">
        <f t="shared" si="8"/>
        <v>1458518</v>
      </c>
      <c r="E154" s="315">
        <f t="shared" si="6"/>
        <v>1.1737329484581107E-4</v>
      </c>
      <c r="F154" s="316">
        <f t="shared" si="7"/>
        <v>0.99529687937164368</v>
      </c>
    </row>
    <row r="155" spans="1:6">
      <c r="A155" s="312" t="s">
        <v>840</v>
      </c>
      <c r="B155" s="312" t="s">
        <v>841</v>
      </c>
      <c r="C155" s="313">
        <f>VLOOKUP(A155, 'S13 Initial Parameters'!$A$2:$C$201, 3,0)</f>
        <v>171</v>
      </c>
      <c r="D155" s="314">
        <f t="shared" si="8"/>
        <v>1458689</v>
      </c>
      <c r="E155" s="315">
        <f t="shared" si="6"/>
        <v>1.1669089196880055E-4</v>
      </c>
      <c r="F155" s="316">
        <f t="shared" si="7"/>
        <v>0.99541357026361243</v>
      </c>
    </row>
    <row r="156" spans="1:6">
      <c r="A156" s="312" t="s">
        <v>842</v>
      </c>
      <c r="B156" s="312" t="s">
        <v>843</v>
      </c>
      <c r="C156" s="313">
        <f>VLOOKUP(A156, 'S13 Initial Parameters'!$A$2:$C$201, 3,0)</f>
        <v>170</v>
      </c>
      <c r="D156" s="314">
        <f t="shared" si="8"/>
        <v>1458859</v>
      </c>
      <c r="E156" s="315">
        <f t="shared" si="6"/>
        <v>1.1600848909179001E-4</v>
      </c>
      <c r="F156" s="316">
        <f t="shared" si="7"/>
        <v>0.9955295787527042</v>
      </c>
    </row>
    <row r="157" spans="1:6">
      <c r="A157" s="312" t="s">
        <v>690</v>
      </c>
      <c r="B157" s="312" t="s">
        <v>691</v>
      </c>
      <c r="C157" s="313">
        <f>VLOOKUP(A157, 'S13 Initial Parameters'!$A$2:$C$201, 3,0)</f>
        <v>169</v>
      </c>
      <c r="D157" s="314">
        <f t="shared" si="8"/>
        <v>1459028</v>
      </c>
      <c r="E157" s="315">
        <f t="shared" si="6"/>
        <v>1.1532608621477948E-4</v>
      </c>
      <c r="F157" s="316">
        <f t="shared" si="7"/>
        <v>0.99564490483891899</v>
      </c>
    </row>
    <row r="158" spans="1:6">
      <c r="A158" s="312" t="s">
        <v>844</v>
      </c>
      <c r="B158" s="312" t="s">
        <v>845</v>
      </c>
      <c r="C158" s="313">
        <f>VLOOKUP(A158, 'S13 Initial Parameters'!$A$2:$C$201, 3,0)</f>
        <v>169</v>
      </c>
      <c r="D158" s="314">
        <f t="shared" si="8"/>
        <v>1459197</v>
      </c>
      <c r="E158" s="315">
        <f t="shared" si="6"/>
        <v>1.1532608621477948E-4</v>
      </c>
      <c r="F158" s="316">
        <f t="shared" si="7"/>
        <v>0.99576023092513377</v>
      </c>
    </row>
    <row r="159" spans="1:6">
      <c r="A159" s="312" t="s">
        <v>846</v>
      </c>
      <c r="B159" s="312" t="s">
        <v>847</v>
      </c>
      <c r="C159" s="313">
        <f>VLOOKUP(A159, 'S13 Initial Parameters'!$A$2:$C$201, 3,0)</f>
        <v>168</v>
      </c>
      <c r="D159" s="314">
        <f t="shared" si="8"/>
        <v>1459365</v>
      </c>
      <c r="E159" s="315">
        <f t="shared" si="6"/>
        <v>1.1464368333776896E-4</v>
      </c>
      <c r="F159" s="316">
        <f t="shared" si="7"/>
        <v>0.99587487460847157</v>
      </c>
    </row>
    <row r="160" spans="1:6">
      <c r="A160" s="312" t="s">
        <v>848</v>
      </c>
      <c r="B160" s="312" t="s">
        <v>849</v>
      </c>
      <c r="C160" s="313">
        <f>VLOOKUP(A160, 'S13 Initial Parameters'!$A$2:$C$201, 3,0)</f>
        <v>167</v>
      </c>
      <c r="D160" s="314">
        <f t="shared" si="8"/>
        <v>1459532</v>
      </c>
      <c r="E160" s="315">
        <f t="shared" si="6"/>
        <v>1.1396128046075842E-4</v>
      </c>
      <c r="F160" s="316">
        <f t="shared" si="7"/>
        <v>0.99598883588893228</v>
      </c>
    </row>
    <row r="161" spans="1:6">
      <c r="A161" s="312" t="s">
        <v>850</v>
      </c>
      <c r="B161" s="312" t="s">
        <v>851</v>
      </c>
      <c r="C161" s="313">
        <f>VLOOKUP(A161, 'S13 Initial Parameters'!$A$2:$C$201, 3,0)</f>
        <v>166</v>
      </c>
      <c r="D161" s="314">
        <f t="shared" si="8"/>
        <v>1459698</v>
      </c>
      <c r="E161" s="315">
        <f t="shared" si="6"/>
        <v>1.1327887758374789E-4</v>
      </c>
      <c r="F161" s="316">
        <f t="shared" si="7"/>
        <v>0.996102114766516</v>
      </c>
    </row>
    <row r="162" spans="1:6">
      <c r="A162" s="312" t="s">
        <v>852</v>
      </c>
      <c r="B162" s="312" t="s">
        <v>853</v>
      </c>
      <c r="C162" s="313">
        <f>VLOOKUP(A162, 'S13 Initial Parameters'!$A$2:$C$201, 3,0)</f>
        <v>165</v>
      </c>
      <c r="D162" s="314">
        <f t="shared" si="8"/>
        <v>1459863</v>
      </c>
      <c r="E162" s="315">
        <f t="shared" si="6"/>
        <v>1.1259647470673737E-4</v>
      </c>
      <c r="F162" s="316">
        <f t="shared" si="7"/>
        <v>0.99621471124122274</v>
      </c>
    </row>
    <row r="163" spans="1:6">
      <c r="A163" s="312" t="s">
        <v>854</v>
      </c>
      <c r="B163" s="312" t="s">
        <v>855</v>
      </c>
      <c r="C163" s="313">
        <f>VLOOKUP(A163, 'S13 Initial Parameters'!$A$2:$C$201, 3,0)</f>
        <v>164</v>
      </c>
      <c r="D163" s="314">
        <f t="shared" si="8"/>
        <v>1460027</v>
      </c>
      <c r="E163" s="315">
        <f t="shared" si="6"/>
        <v>1.1191407182972683E-4</v>
      </c>
      <c r="F163" s="316">
        <f t="shared" si="7"/>
        <v>0.99632662531305249</v>
      </c>
    </row>
    <row r="164" spans="1:6">
      <c r="A164" s="312" t="s">
        <v>856</v>
      </c>
      <c r="B164" s="312" t="s">
        <v>857</v>
      </c>
      <c r="C164" s="313">
        <f>VLOOKUP(A164, 'S13 Initial Parameters'!$A$2:$C$201, 3,0)</f>
        <v>163</v>
      </c>
      <c r="D164" s="314">
        <f t="shared" si="8"/>
        <v>1460190</v>
      </c>
      <c r="E164" s="315">
        <f t="shared" si="6"/>
        <v>1.1123166895271631E-4</v>
      </c>
      <c r="F164" s="316">
        <f t="shared" si="7"/>
        <v>0.99643785698200527</v>
      </c>
    </row>
    <row r="165" spans="1:6">
      <c r="A165" s="312" t="s">
        <v>858</v>
      </c>
      <c r="B165" s="312" t="s">
        <v>859</v>
      </c>
      <c r="C165" s="313">
        <f>VLOOKUP(A165, 'S13 Initial Parameters'!$A$2:$C$201, 3,0)</f>
        <v>162</v>
      </c>
      <c r="D165" s="314">
        <f t="shared" si="8"/>
        <v>1460352</v>
      </c>
      <c r="E165" s="315">
        <f t="shared" si="6"/>
        <v>1.1054926607570578E-4</v>
      </c>
      <c r="F165" s="316">
        <f t="shared" si="7"/>
        <v>0.99654840624808094</v>
      </c>
    </row>
    <row r="166" spans="1:6">
      <c r="A166" s="312" t="s">
        <v>860</v>
      </c>
      <c r="B166" s="312" t="s">
        <v>861</v>
      </c>
      <c r="C166" s="313">
        <f>VLOOKUP(A166, 'S13 Initial Parameters'!$A$2:$C$201, 3,0)</f>
        <v>161</v>
      </c>
      <c r="D166" s="314">
        <f t="shared" si="8"/>
        <v>1460513</v>
      </c>
      <c r="E166" s="315">
        <f t="shared" si="6"/>
        <v>1.0986686319869524E-4</v>
      </c>
      <c r="F166" s="316">
        <f t="shared" si="7"/>
        <v>0.99665827311127964</v>
      </c>
    </row>
    <row r="167" spans="1:6">
      <c r="A167" s="312" t="s">
        <v>862</v>
      </c>
      <c r="B167" s="312" t="s">
        <v>863</v>
      </c>
      <c r="C167" s="313">
        <f>VLOOKUP(A167, 'S13 Initial Parameters'!$A$2:$C$201, 3,0)</f>
        <v>160</v>
      </c>
      <c r="D167" s="314">
        <f t="shared" si="8"/>
        <v>1460673</v>
      </c>
      <c r="E167" s="315">
        <f t="shared" si="6"/>
        <v>1.0918446032168472E-4</v>
      </c>
      <c r="F167" s="316">
        <f t="shared" si="7"/>
        <v>0.99676745757160135</v>
      </c>
    </row>
    <row r="168" spans="1:6">
      <c r="A168" s="312" t="s">
        <v>692</v>
      </c>
      <c r="B168" s="312" t="s">
        <v>693</v>
      </c>
      <c r="C168" s="313">
        <f>VLOOKUP(A168, 'S13 Initial Parameters'!$A$2:$C$201, 3,0)</f>
        <v>159</v>
      </c>
      <c r="D168" s="314">
        <f t="shared" si="8"/>
        <v>1460832</v>
      </c>
      <c r="E168" s="315">
        <f t="shared" si="6"/>
        <v>1.0850205744467419E-4</v>
      </c>
      <c r="F168" s="316">
        <f t="shared" si="7"/>
        <v>0.99687595962904607</v>
      </c>
    </row>
    <row r="169" spans="1:6">
      <c r="A169" s="312" t="s">
        <v>864</v>
      </c>
      <c r="B169" s="312" t="s">
        <v>865</v>
      </c>
      <c r="C169" s="313">
        <f>VLOOKUP(A169, 'S13 Initial Parameters'!$A$2:$C$201, 3,0)</f>
        <v>159</v>
      </c>
      <c r="D169" s="314">
        <f t="shared" si="8"/>
        <v>1460991</v>
      </c>
      <c r="E169" s="315">
        <f t="shared" si="6"/>
        <v>1.0850205744467419E-4</v>
      </c>
      <c r="F169" s="316">
        <f t="shared" si="7"/>
        <v>0.9969844616864908</v>
      </c>
    </row>
    <row r="170" spans="1:6">
      <c r="A170" s="312" t="s">
        <v>866</v>
      </c>
      <c r="B170" s="312" t="s">
        <v>867</v>
      </c>
      <c r="C170" s="313">
        <f>VLOOKUP(A170, 'S13 Initial Parameters'!$A$2:$C$201, 3,0)</f>
        <v>158</v>
      </c>
      <c r="D170" s="314">
        <f t="shared" si="8"/>
        <v>1461149</v>
      </c>
      <c r="E170" s="315">
        <f t="shared" si="6"/>
        <v>1.0781965456766365E-4</v>
      </c>
      <c r="F170" s="316">
        <f t="shared" si="7"/>
        <v>0.99709228134105843</v>
      </c>
    </row>
    <row r="171" spans="1:6">
      <c r="A171" s="312" t="s">
        <v>868</v>
      </c>
      <c r="B171" s="312" t="s">
        <v>869</v>
      </c>
      <c r="C171" s="313">
        <f>VLOOKUP(A171, 'S13 Initial Parameters'!$A$2:$C$201, 3,0)</f>
        <v>157</v>
      </c>
      <c r="D171" s="314">
        <f t="shared" si="8"/>
        <v>1461306</v>
      </c>
      <c r="E171" s="315">
        <f t="shared" si="6"/>
        <v>1.0713725169065313E-4</v>
      </c>
      <c r="F171" s="316">
        <f t="shared" si="7"/>
        <v>0.99719941859274908</v>
      </c>
    </row>
    <row r="172" spans="1:6">
      <c r="A172" s="312" t="s">
        <v>870</v>
      </c>
      <c r="B172" s="312" t="s">
        <v>871</v>
      </c>
      <c r="C172" s="313">
        <f>VLOOKUP(A172, 'S13 Initial Parameters'!$A$2:$C$201, 3,0)</f>
        <v>156</v>
      </c>
      <c r="D172" s="314">
        <f t="shared" si="8"/>
        <v>1461462</v>
      </c>
      <c r="E172" s="315">
        <f t="shared" si="6"/>
        <v>1.064548488136426E-4</v>
      </c>
      <c r="F172" s="316">
        <f t="shared" si="7"/>
        <v>0.99730587344156274</v>
      </c>
    </row>
    <row r="173" spans="1:6">
      <c r="A173" s="312" t="s">
        <v>872</v>
      </c>
      <c r="B173" s="312" t="s">
        <v>873</v>
      </c>
      <c r="C173" s="313">
        <f>VLOOKUP(A173, 'S13 Initial Parameters'!$A$2:$C$201, 3,0)</f>
        <v>155</v>
      </c>
      <c r="D173" s="314">
        <f t="shared" si="8"/>
        <v>1461617</v>
      </c>
      <c r="E173" s="315">
        <f t="shared" si="6"/>
        <v>1.0577244593663207E-4</v>
      </c>
      <c r="F173" s="316">
        <f t="shared" si="7"/>
        <v>0.99741164588749942</v>
      </c>
    </row>
    <row r="174" spans="1:6">
      <c r="A174" s="312" t="s">
        <v>874</v>
      </c>
      <c r="B174" s="312" t="s">
        <v>875</v>
      </c>
      <c r="C174" s="313">
        <f>VLOOKUP(A174, 'S13 Initial Parameters'!$A$2:$C$201, 3,0)</f>
        <v>154</v>
      </c>
      <c r="D174" s="314">
        <f t="shared" si="8"/>
        <v>1461771</v>
      </c>
      <c r="E174" s="315">
        <f t="shared" si="6"/>
        <v>1.0509004305962154E-4</v>
      </c>
      <c r="F174" s="316">
        <f t="shared" si="7"/>
        <v>0.99751673593055901</v>
      </c>
    </row>
    <row r="175" spans="1:6">
      <c r="A175" s="312" t="s">
        <v>876</v>
      </c>
      <c r="B175" s="312" t="s">
        <v>877</v>
      </c>
      <c r="C175" s="313">
        <f>VLOOKUP(A175, 'S13 Initial Parameters'!$A$2:$C$201, 3,0)</f>
        <v>153</v>
      </c>
      <c r="D175" s="314">
        <f t="shared" si="8"/>
        <v>1461924</v>
      </c>
      <c r="E175" s="315">
        <f t="shared" si="6"/>
        <v>1.0440764018261102E-4</v>
      </c>
      <c r="F175" s="316">
        <f t="shared" si="7"/>
        <v>0.99762114357074161</v>
      </c>
    </row>
    <row r="176" spans="1:6">
      <c r="A176" s="312" t="s">
        <v>878</v>
      </c>
      <c r="B176" s="312" t="s">
        <v>879</v>
      </c>
      <c r="C176" s="313">
        <f>VLOOKUP(A176, 'S13 Initial Parameters'!$A$2:$C$201, 3,0)</f>
        <v>152</v>
      </c>
      <c r="D176" s="314">
        <f t="shared" si="8"/>
        <v>1462076</v>
      </c>
      <c r="E176" s="315">
        <f t="shared" si="6"/>
        <v>1.0372523730560048E-4</v>
      </c>
      <c r="F176" s="316">
        <f t="shared" si="7"/>
        <v>0.99772486880804723</v>
      </c>
    </row>
    <row r="177" spans="1:6">
      <c r="A177" s="312" t="s">
        <v>880</v>
      </c>
      <c r="B177" s="312" t="s">
        <v>881</v>
      </c>
      <c r="C177" s="313">
        <f>VLOOKUP(A177, 'S13 Initial Parameters'!$A$2:$C$201, 3,0)</f>
        <v>151</v>
      </c>
      <c r="D177" s="314">
        <f t="shared" si="8"/>
        <v>1462227</v>
      </c>
      <c r="E177" s="315">
        <f t="shared" si="6"/>
        <v>1.0304283442858995E-4</v>
      </c>
      <c r="F177" s="316">
        <f t="shared" si="7"/>
        <v>0.99782791164247586</v>
      </c>
    </row>
    <row r="178" spans="1:6">
      <c r="A178" s="312" t="s">
        <v>882</v>
      </c>
      <c r="B178" s="312" t="s">
        <v>883</v>
      </c>
      <c r="C178" s="313">
        <f>VLOOKUP(A178, 'S13 Initial Parameters'!$A$2:$C$201, 3,0)</f>
        <v>150</v>
      </c>
      <c r="D178" s="314">
        <f t="shared" si="8"/>
        <v>1462377</v>
      </c>
      <c r="E178" s="315">
        <f t="shared" si="6"/>
        <v>1.0236043155157943E-4</v>
      </c>
      <c r="F178" s="316">
        <f t="shared" si="7"/>
        <v>0.9979302720740274</v>
      </c>
    </row>
    <row r="179" spans="1:6">
      <c r="A179" s="312" t="s">
        <v>884</v>
      </c>
      <c r="B179" s="312" t="s">
        <v>885</v>
      </c>
      <c r="C179" s="313">
        <f>VLOOKUP(A179, 'S13 Initial Parameters'!$A$2:$C$201, 3,0)</f>
        <v>149</v>
      </c>
      <c r="D179" s="314">
        <f t="shared" si="8"/>
        <v>1462526</v>
      </c>
      <c r="E179" s="315">
        <f t="shared" si="6"/>
        <v>1.0167802867456889E-4</v>
      </c>
      <c r="F179" s="316">
        <f t="shared" si="7"/>
        <v>0.99803195010270196</v>
      </c>
    </row>
    <row r="180" spans="1:6">
      <c r="A180" s="312" t="s">
        <v>694</v>
      </c>
      <c r="B180" s="312" t="s">
        <v>695</v>
      </c>
      <c r="C180" s="313">
        <f>VLOOKUP(A180, 'S13 Initial Parameters'!$A$2:$C$201, 3,0)</f>
        <v>148</v>
      </c>
      <c r="D180" s="314">
        <f t="shared" si="8"/>
        <v>1462674</v>
      </c>
      <c r="E180" s="315">
        <f t="shared" si="6"/>
        <v>1.0099562579755836E-4</v>
      </c>
      <c r="F180" s="316">
        <f t="shared" si="7"/>
        <v>0.99813294572849953</v>
      </c>
    </row>
    <row r="181" spans="1:6">
      <c r="A181" s="312" t="s">
        <v>886</v>
      </c>
      <c r="B181" s="312" t="s">
        <v>887</v>
      </c>
      <c r="C181" s="313">
        <f>VLOOKUP(A181, 'S13 Initial Parameters'!$A$2:$C$201, 3,0)</f>
        <v>148</v>
      </c>
      <c r="D181" s="314">
        <f t="shared" si="8"/>
        <v>1462822</v>
      </c>
      <c r="E181" s="315">
        <f t="shared" si="6"/>
        <v>1.0099562579755836E-4</v>
      </c>
      <c r="F181" s="316">
        <f t="shared" si="7"/>
        <v>0.99823394135429711</v>
      </c>
    </row>
    <row r="182" spans="1:6">
      <c r="A182" s="312" t="s">
        <v>888</v>
      </c>
      <c r="B182" s="312" t="s">
        <v>889</v>
      </c>
      <c r="C182" s="313">
        <f>VLOOKUP(A182, 'S13 Initial Parameters'!$A$2:$C$201, 3,0)</f>
        <v>147</v>
      </c>
      <c r="D182" s="314">
        <f t="shared" si="8"/>
        <v>1462969</v>
      </c>
      <c r="E182" s="315">
        <f t="shared" si="6"/>
        <v>1.0031322292054784E-4</v>
      </c>
      <c r="F182" s="316">
        <f t="shared" si="7"/>
        <v>0.99833425457721769</v>
      </c>
    </row>
    <row r="183" spans="1:6">
      <c r="A183" s="312" t="s">
        <v>890</v>
      </c>
      <c r="B183" s="312" t="s">
        <v>891</v>
      </c>
      <c r="C183" s="313">
        <f>VLOOKUP(A183, 'S13 Initial Parameters'!$A$2:$C$201, 3,0)</f>
        <v>146</v>
      </c>
      <c r="D183" s="314">
        <f t="shared" si="8"/>
        <v>1463115</v>
      </c>
      <c r="E183" s="315">
        <f t="shared" si="6"/>
        <v>9.96308200435373E-5</v>
      </c>
      <c r="F183" s="316">
        <f t="shared" si="7"/>
        <v>0.99843388539726119</v>
      </c>
    </row>
    <row r="184" spans="1:6">
      <c r="A184" s="312" t="s">
        <v>892</v>
      </c>
      <c r="B184" s="312" t="s">
        <v>893</v>
      </c>
      <c r="C184" s="313">
        <f>VLOOKUP(A184, 'S13 Initial Parameters'!$A$2:$C$201, 3,0)</f>
        <v>145</v>
      </c>
      <c r="D184" s="314">
        <f t="shared" si="8"/>
        <v>1463260</v>
      </c>
      <c r="E184" s="315">
        <f t="shared" si="6"/>
        <v>9.8948417166526775E-5</v>
      </c>
      <c r="F184" s="316">
        <f t="shared" si="7"/>
        <v>0.9985328338144277</v>
      </c>
    </row>
    <row r="185" spans="1:6">
      <c r="A185" s="312" t="s">
        <v>894</v>
      </c>
      <c r="B185" s="312" t="s">
        <v>895</v>
      </c>
      <c r="C185" s="313">
        <f>VLOOKUP(A185, 'S13 Initial Parameters'!$A$2:$C$201, 3,0)</f>
        <v>144</v>
      </c>
      <c r="D185" s="314">
        <f t="shared" si="8"/>
        <v>1463404</v>
      </c>
      <c r="E185" s="315">
        <f t="shared" si="6"/>
        <v>9.826601428951625E-5</v>
      </c>
      <c r="F185" s="316">
        <f t="shared" si="7"/>
        <v>0.99863109982871723</v>
      </c>
    </row>
    <row r="186" spans="1:6">
      <c r="A186" s="312" t="s">
        <v>896</v>
      </c>
      <c r="B186" s="312" t="s">
        <v>897</v>
      </c>
      <c r="C186" s="313">
        <f>VLOOKUP(A186, 'S13 Initial Parameters'!$A$2:$C$201, 3,0)</f>
        <v>143</v>
      </c>
      <c r="D186" s="314">
        <f t="shared" si="8"/>
        <v>1463547</v>
      </c>
      <c r="E186" s="315">
        <f t="shared" si="6"/>
        <v>9.7583611412505711E-5</v>
      </c>
      <c r="F186" s="316">
        <f t="shared" si="7"/>
        <v>0.99872868344012977</v>
      </c>
    </row>
    <row r="187" spans="1:6">
      <c r="A187" s="312" t="s">
        <v>898</v>
      </c>
      <c r="B187" s="312" t="s">
        <v>899</v>
      </c>
      <c r="C187" s="313">
        <f>VLOOKUP(A187, 'S13 Initial Parameters'!$A$2:$C$201, 3,0)</f>
        <v>142</v>
      </c>
      <c r="D187" s="314">
        <f t="shared" si="8"/>
        <v>1463689</v>
      </c>
      <c r="E187" s="315">
        <f t="shared" si="6"/>
        <v>9.6901208535495186E-5</v>
      </c>
      <c r="F187" s="316">
        <f t="shared" si="7"/>
        <v>0.99882558464866522</v>
      </c>
    </row>
    <row r="188" spans="1:6">
      <c r="A188" s="312" t="s">
        <v>900</v>
      </c>
      <c r="B188" s="312" t="s">
        <v>901</v>
      </c>
      <c r="C188" s="313">
        <f>VLOOKUP(A188, 'S13 Initial Parameters'!$A$2:$C$201, 3,0)</f>
        <v>141</v>
      </c>
      <c r="D188" s="314">
        <f t="shared" si="8"/>
        <v>1463830</v>
      </c>
      <c r="E188" s="315">
        <f t="shared" si="6"/>
        <v>9.6218805658484661E-5</v>
      </c>
      <c r="F188" s="316">
        <f t="shared" si="7"/>
        <v>0.99892180345432369</v>
      </c>
    </row>
    <row r="189" spans="1:6">
      <c r="A189" s="312" t="s">
        <v>902</v>
      </c>
      <c r="B189" s="312" t="s">
        <v>903</v>
      </c>
      <c r="C189" s="313">
        <f>VLOOKUP(A189, 'S13 Initial Parameters'!$A$2:$C$201, 3,0)</f>
        <v>140</v>
      </c>
      <c r="D189" s="314">
        <f t="shared" si="8"/>
        <v>1463970</v>
      </c>
      <c r="E189" s="315">
        <f t="shared" si="6"/>
        <v>9.5536402781474123E-5</v>
      </c>
      <c r="F189" s="316">
        <f t="shared" si="7"/>
        <v>0.99901733985710517</v>
      </c>
    </row>
    <row r="190" spans="1:6">
      <c r="A190" s="312" t="s">
        <v>904</v>
      </c>
      <c r="B190" s="312" t="s">
        <v>905</v>
      </c>
      <c r="C190" s="313">
        <f>VLOOKUP(A190, 'S13 Initial Parameters'!$A$2:$C$201, 3,0)</f>
        <v>139</v>
      </c>
      <c r="D190" s="314">
        <f t="shared" si="8"/>
        <v>1464109</v>
      </c>
      <c r="E190" s="315">
        <f t="shared" si="6"/>
        <v>9.4853999904463598E-5</v>
      </c>
      <c r="F190" s="316">
        <f t="shared" si="7"/>
        <v>0.99911219385700967</v>
      </c>
    </row>
    <row r="191" spans="1:6">
      <c r="A191" s="312" t="s">
        <v>906</v>
      </c>
      <c r="B191" s="312" t="s">
        <v>907</v>
      </c>
      <c r="C191" s="313">
        <f>VLOOKUP(A191, 'S13 Initial Parameters'!$A$2:$C$201, 3,0)</f>
        <v>138</v>
      </c>
      <c r="D191" s="314">
        <f t="shared" si="8"/>
        <v>1464247</v>
      </c>
      <c r="E191" s="315">
        <f t="shared" si="6"/>
        <v>9.4171597027453073E-5</v>
      </c>
      <c r="F191" s="316">
        <f t="shared" si="7"/>
        <v>0.99920636545403707</v>
      </c>
    </row>
    <row r="192" spans="1:6">
      <c r="A192" s="312" t="s">
        <v>696</v>
      </c>
      <c r="B192" s="312" t="s">
        <v>697</v>
      </c>
      <c r="C192" s="313">
        <f>VLOOKUP(A192, 'S13 Initial Parameters'!$A$2:$C$201, 3,0)</f>
        <v>137</v>
      </c>
      <c r="D192" s="314">
        <f t="shared" si="8"/>
        <v>1464384</v>
      </c>
      <c r="E192" s="315">
        <f t="shared" si="6"/>
        <v>9.3489194150442534E-5</v>
      </c>
      <c r="F192" s="316">
        <f t="shared" si="7"/>
        <v>0.99929985464818749</v>
      </c>
    </row>
    <row r="193" spans="1:6">
      <c r="A193" s="312" t="s">
        <v>698</v>
      </c>
      <c r="B193" s="312" t="s">
        <v>699</v>
      </c>
      <c r="C193" s="313">
        <f>VLOOKUP(A193, 'S13 Initial Parameters'!$A$2:$C$201, 3,0)</f>
        <v>126</v>
      </c>
      <c r="D193" s="314">
        <f t="shared" si="8"/>
        <v>1464510</v>
      </c>
      <c r="E193" s="315">
        <f t="shared" si="6"/>
        <v>8.5982762503326719E-5</v>
      </c>
      <c r="F193" s="316">
        <f t="shared" si="7"/>
        <v>0.99938583741069087</v>
      </c>
    </row>
    <row r="194" spans="1:6">
      <c r="A194" s="312" t="s">
        <v>700</v>
      </c>
      <c r="B194" s="312" t="s">
        <v>701</v>
      </c>
      <c r="C194" s="313">
        <f>VLOOKUP(A194, 'S13 Initial Parameters'!$A$2:$C$201, 3,0)</f>
        <v>115</v>
      </c>
      <c r="D194" s="314">
        <f t="shared" si="8"/>
        <v>1464625</v>
      </c>
      <c r="E194" s="315">
        <f t="shared" si="6"/>
        <v>7.847633085621089E-5</v>
      </c>
      <c r="F194" s="316">
        <f t="shared" si="7"/>
        <v>0.99946431374154709</v>
      </c>
    </row>
    <row r="195" spans="1:6">
      <c r="A195" s="312" t="s">
        <v>674</v>
      </c>
      <c r="B195" s="312" t="s">
        <v>675</v>
      </c>
      <c r="C195" s="313">
        <f>VLOOKUP(A195, 'S13 Initial Parameters'!$A$2:$C$201, 3,0)</f>
        <v>104</v>
      </c>
      <c r="D195" s="314">
        <f t="shared" si="8"/>
        <v>1464729</v>
      </c>
      <c r="E195" s="315">
        <f t="shared" si="6"/>
        <v>7.096989920909506E-5</v>
      </c>
      <c r="F195" s="316">
        <f t="shared" si="7"/>
        <v>0.99953528364075617</v>
      </c>
    </row>
    <row r="196" spans="1:6">
      <c r="A196" s="312" t="s">
        <v>702</v>
      </c>
      <c r="B196" s="312" t="s">
        <v>703</v>
      </c>
      <c r="C196" s="313">
        <f>VLOOKUP(A196, 'S13 Initial Parameters'!$A$2:$C$201, 3,0)</f>
        <v>104</v>
      </c>
      <c r="D196" s="314">
        <f t="shared" si="8"/>
        <v>1464833</v>
      </c>
      <c r="E196" s="315">
        <f t="shared" ref="E196:E202" si="9">C196/SUM($C$3:$C$202)</f>
        <v>7.096989920909506E-5</v>
      </c>
      <c r="F196" s="316">
        <f t="shared" ref="F196:F202" si="10">E196+F195</f>
        <v>0.99960625353996524</v>
      </c>
    </row>
    <row r="197" spans="1:6">
      <c r="A197" s="312" t="s">
        <v>704</v>
      </c>
      <c r="B197" s="312" t="s">
        <v>705</v>
      </c>
      <c r="C197" s="313">
        <f>VLOOKUP(A197, 'S13 Initial Parameters'!$A$2:$C$201, 3,0)</f>
        <v>103</v>
      </c>
      <c r="D197" s="314">
        <f t="shared" ref="D197:D202" si="11">C197+D196</f>
        <v>1464936</v>
      </c>
      <c r="E197" s="315">
        <f t="shared" si="9"/>
        <v>7.0287496332084535E-5</v>
      </c>
      <c r="F197" s="316">
        <f t="shared" si="10"/>
        <v>0.99967654103629733</v>
      </c>
    </row>
    <row r="198" spans="1:6">
      <c r="A198" s="312" t="s">
        <v>706</v>
      </c>
      <c r="B198" s="312" t="s">
        <v>707</v>
      </c>
      <c r="C198" s="313">
        <f>VLOOKUP(A198, 'S13 Initial Parameters'!$A$2:$C$201, 3,0)</f>
        <v>102</v>
      </c>
      <c r="D198" s="314">
        <f t="shared" si="11"/>
        <v>1465038</v>
      </c>
      <c r="E198" s="315">
        <f t="shared" si="9"/>
        <v>6.960509345507401E-5</v>
      </c>
      <c r="F198" s="316">
        <f t="shared" si="10"/>
        <v>0.99974614612975243</v>
      </c>
    </row>
    <row r="199" spans="1:6">
      <c r="A199" s="312" t="s">
        <v>708</v>
      </c>
      <c r="B199" s="312" t="s">
        <v>709</v>
      </c>
      <c r="C199" s="313">
        <f>VLOOKUP(A199, 'S13 Initial Parameters'!$A$2:$C$201, 3,0)</f>
        <v>102</v>
      </c>
      <c r="D199" s="314">
        <f t="shared" si="11"/>
        <v>1465140</v>
      </c>
      <c r="E199" s="315">
        <f t="shared" si="9"/>
        <v>6.960509345507401E-5</v>
      </c>
      <c r="F199" s="316">
        <f t="shared" si="10"/>
        <v>0.99981575122320754</v>
      </c>
    </row>
    <row r="200" spans="1:6">
      <c r="A200" s="312" t="s">
        <v>710</v>
      </c>
      <c r="B200" s="312" t="s">
        <v>711</v>
      </c>
      <c r="C200" s="313">
        <f>VLOOKUP(A200, 'S13 Initial Parameters'!$A$2:$C$201, 3,0)</f>
        <v>101</v>
      </c>
      <c r="D200" s="314">
        <f t="shared" si="11"/>
        <v>1465241</v>
      </c>
      <c r="E200" s="315">
        <f t="shared" si="9"/>
        <v>6.8922690578063472E-5</v>
      </c>
      <c r="F200" s="316">
        <f t="shared" si="10"/>
        <v>0.99988467391378555</v>
      </c>
    </row>
    <row r="201" spans="1:6">
      <c r="A201" s="312" t="s">
        <v>712</v>
      </c>
      <c r="B201" s="312" t="s">
        <v>713</v>
      </c>
      <c r="C201" s="313">
        <f>VLOOKUP(A201, 'S13 Initial Parameters'!$A$2:$C$201, 3,0)</f>
        <v>100</v>
      </c>
      <c r="D201" s="314">
        <f t="shared" si="11"/>
        <v>1465341</v>
      </c>
      <c r="E201" s="315">
        <f t="shared" si="9"/>
        <v>6.8240287701052947E-5</v>
      </c>
      <c r="F201" s="316">
        <f t="shared" si="10"/>
        <v>0.99995291420148658</v>
      </c>
    </row>
    <row r="202" spans="1:6">
      <c r="A202" s="312" t="s">
        <v>670</v>
      </c>
      <c r="B202" s="312" t="s">
        <v>671</v>
      </c>
      <c r="C202" s="313">
        <f>VLOOKUP(A202, 'S13 Initial Parameters'!$A$2:$C$201, 3,0)</f>
        <v>69</v>
      </c>
      <c r="D202" s="314">
        <f t="shared" si="11"/>
        <v>1465410</v>
      </c>
      <c r="E202" s="315">
        <f t="shared" si="9"/>
        <v>4.7085798513726536E-5</v>
      </c>
      <c r="F202" s="316">
        <f t="shared" si="10"/>
        <v>1.0000000000000002</v>
      </c>
    </row>
  </sheetData>
  <autoFilter ref="A2:F202" xr:uid="{3BB14687-D928-9641-8775-4D0CF07C5EAF}">
    <sortState xmlns:xlrd2="http://schemas.microsoft.com/office/spreadsheetml/2017/richdata2" ref="A3:F202">
      <sortCondition descending="1" ref="C2:C202"/>
    </sortState>
  </autoFilter>
  <pageMargins left="0.7" right="0.7" top="0.75" bottom="0.75" header="0.3" footer="0.3"/>
  <pageSetup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9C0B1-4049-0546-B1AE-1CE1E020D2DF}">
  <sheetPr codeName="Sheet9"/>
  <dimension ref="A1:AF62"/>
  <sheetViews>
    <sheetView topLeftCell="S8" zoomScale="150" workbookViewId="0">
      <selection activeCell="M12" sqref="M12"/>
    </sheetView>
  </sheetViews>
  <sheetFormatPr defaultColWidth="10.6640625" defaultRowHeight="15.5"/>
  <cols>
    <col min="1" max="1" width="7.33203125" customWidth="1"/>
    <col min="2" max="10" width="9.5" customWidth="1"/>
    <col min="11" max="11" width="12.1640625" customWidth="1"/>
    <col min="12" max="12" width="15.6640625" customWidth="1"/>
    <col min="13" max="13" width="22.6640625" bestFit="1" customWidth="1"/>
    <col min="14" max="14" width="9.1640625" bestFit="1" customWidth="1"/>
    <col min="15" max="15" width="9.33203125" bestFit="1" customWidth="1"/>
    <col min="16" max="16" width="12.5" bestFit="1" customWidth="1"/>
    <col min="17" max="17" width="12.33203125" bestFit="1" customWidth="1"/>
    <col min="18" max="18" width="9.6640625" bestFit="1" customWidth="1"/>
    <col min="19" max="19" width="13.33203125" bestFit="1" customWidth="1"/>
    <col min="20" max="20" width="16.6640625" bestFit="1" customWidth="1"/>
    <col min="21" max="21" width="18.6640625" customWidth="1"/>
    <col min="22" max="22" width="23.33203125" customWidth="1"/>
    <col min="23" max="23" width="11.1640625" bestFit="1" customWidth="1"/>
    <col min="24" max="24" width="13.1640625" customWidth="1"/>
    <col min="25" max="27" width="7.33203125" customWidth="1"/>
    <col min="28" max="28" width="11.33203125" bestFit="1" customWidth="1"/>
    <col min="29" max="29" width="14.1640625" bestFit="1" customWidth="1"/>
    <col min="30" max="30" width="10.1640625" bestFit="1" customWidth="1"/>
    <col min="31" max="31" width="7.6640625" bestFit="1" customWidth="1"/>
    <col min="32" max="32" width="9.1640625" bestFit="1" customWidth="1"/>
  </cols>
  <sheetData>
    <row r="1" spans="1:32">
      <c r="L1" s="3" t="s">
        <v>912</v>
      </c>
      <c r="M1" s="3">
        <v>1001</v>
      </c>
      <c r="P1" s="3" t="s">
        <v>913</v>
      </c>
      <c r="Q1" s="3" t="s">
        <v>914</v>
      </c>
      <c r="AB1" s="8" t="s">
        <v>915</v>
      </c>
      <c r="AC1" s="3" t="s">
        <v>916</v>
      </c>
      <c r="AD1" s="8" t="s">
        <v>917</v>
      </c>
      <c r="AE1" s="3" t="s">
        <v>918</v>
      </c>
      <c r="AF1" s="3" t="s">
        <v>919</v>
      </c>
    </row>
    <row r="2" spans="1:32">
      <c r="L2" s="3" t="s">
        <v>920</v>
      </c>
      <c r="M2" s="3" t="s">
        <v>1127</v>
      </c>
      <c r="P2" s="3" t="s">
        <v>921</v>
      </c>
      <c r="Q2" s="3">
        <v>44951</v>
      </c>
      <c r="AB2" s="311" t="s">
        <v>922</v>
      </c>
      <c r="AC2" s="111" t="s">
        <v>923</v>
      </c>
      <c r="AD2" s="311">
        <v>0</v>
      </c>
      <c r="AE2" s="111" t="s">
        <v>924</v>
      </c>
      <c r="AF2" s="111" t="s">
        <v>925</v>
      </c>
    </row>
    <row r="3" spans="1:32">
      <c r="L3" s="3" t="s">
        <v>926</v>
      </c>
      <c r="M3" s="3" t="s">
        <v>924</v>
      </c>
      <c r="P3" s="3" t="s">
        <v>927</v>
      </c>
      <c r="Q3" s="3" t="s">
        <v>928</v>
      </c>
      <c r="AB3" s="117" t="s">
        <v>929</v>
      </c>
      <c r="AC3" s="111" t="s">
        <v>930</v>
      </c>
      <c r="AD3" s="311">
        <v>1</v>
      </c>
      <c r="AE3" s="111" t="s">
        <v>931</v>
      </c>
      <c r="AF3" s="111" t="s">
        <v>932</v>
      </c>
    </row>
    <row r="4" spans="1:32">
      <c r="AB4" s="117"/>
      <c r="AC4" s="111" t="s">
        <v>933</v>
      </c>
      <c r="AD4" s="311">
        <v>2</v>
      </c>
      <c r="AE4" s="111" t="s">
        <v>934</v>
      </c>
      <c r="AF4" s="117"/>
    </row>
    <row r="5" spans="1:32">
      <c r="A5" s="544" t="s">
        <v>935</v>
      </c>
      <c r="B5" s="545"/>
      <c r="C5" s="545"/>
      <c r="D5" s="545"/>
      <c r="E5" s="545"/>
      <c r="F5" s="545"/>
      <c r="G5" s="545"/>
      <c r="H5" s="545"/>
      <c r="I5" s="545"/>
      <c r="J5" s="546"/>
      <c r="K5" s="128"/>
      <c r="L5" s="544" t="s">
        <v>1171</v>
      </c>
      <c r="M5" s="545"/>
      <c r="N5" s="545"/>
      <c r="O5" s="545"/>
      <c r="P5" s="545"/>
      <c r="Q5" s="545"/>
      <c r="R5" s="545"/>
      <c r="S5" s="545"/>
      <c r="T5" s="545"/>
      <c r="U5" s="545"/>
      <c r="V5" s="545"/>
      <c r="W5" s="545"/>
      <c r="X5" s="546"/>
      <c r="AB5" s="117"/>
      <c r="AC5" s="111" t="s">
        <v>936</v>
      </c>
      <c r="AD5" s="311">
        <v>3</v>
      </c>
      <c r="AE5" s="111" t="s">
        <v>937</v>
      </c>
      <c r="AF5" s="117"/>
    </row>
    <row r="6" spans="1:32">
      <c r="A6" s="128" t="s">
        <v>938</v>
      </c>
      <c r="B6" s="128">
        <v>0</v>
      </c>
      <c r="C6" s="128">
        <v>1</v>
      </c>
      <c r="D6" s="128">
        <v>2</v>
      </c>
      <c r="E6" s="128">
        <v>3</v>
      </c>
      <c r="F6" s="128">
        <v>4</v>
      </c>
      <c r="G6" s="128">
        <v>5</v>
      </c>
      <c r="H6" s="128">
        <v>6</v>
      </c>
      <c r="I6" s="128">
        <v>7</v>
      </c>
      <c r="J6" s="128">
        <v>8</v>
      </c>
      <c r="K6" s="128" t="s">
        <v>939</v>
      </c>
      <c r="L6" s="128" t="s">
        <v>940</v>
      </c>
      <c r="M6" s="128" t="s">
        <v>941</v>
      </c>
      <c r="N6" s="128" t="s">
        <v>942</v>
      </c>
      <c r="O6" s="128" t="s">
        <v>943</v>
      </c>
      <c r="P6" s="128" t="s">
        <v>944</v>
      </c>
      <c r="Q6" s="128" t="s">
        <v>945</v>
      </c>
      <c r="R6" s="128" t="s">
        <v>946</v>
      </c>
      <c r="S6" s="128" t="s">
        <v>947</v>
      </c>
      <c r="T6" s="128" t="s">
        <v>948</v>
      </c>
      <c r="U6" s="128" t="s">
        <v>1168</v>
      </c>
      <c r="V6" s="128" t="s">
        <v>949</v>
      </c>
      <c r="W6" s="128" t="s">
        <v>950</v>
      </c>
      <c r="X6" s="128" t="s">
        <v>951</v>
      </c>
      <c r="AB6" s="117"/>
      <c r="AC6" s="111" t="s">
        <v>952</v>
      </c>
      <c r="AD6" s="311">
        <v>4</v>
      </c>
      <c r="AE6" s="111" t="s">
        <v>953</v>
      </c>
      <c r="AF6" s="117"/>
    </row>
    <row r="7" spans="1:32">
      <c r="A7" s="111">
        <v>0</v>
      </c>
      <c r="B7" s="111" t="str">
        <f t="shared" ref="B7:J16" si="0">IF($A7=B$6, $AB$2, "")</f>
        <v>•</v>
      </c>
      <c r="C7" s="111" t="str">
        <f t="shared" si="0"/>
        <v/>
      </c>
      <c r="D7" s="111" t="str">
        <f t="shared" si="0"/>
        <v/>
      </c>
      <c r="E7" s="111" t="str">
        <f t="shared" si="0"/>
        <v/>
      </c>
      <c r="F7" s="111" t="str">
        <f t="shared" si="0"/>
        <v/>
      </c>
      <c r="G7" s="111" t="str">
        <f t="shared" si="0"/>
        <v/>
      </c>
      <c r="H7" s="111" t="str">
        <f t="shared" si="0"/>
        <v/>
      </c>
      <c r="I7" s="111" t="str">
        <f t="shared" si="0"/>
        <v/>
      </c>
      <c r="J7" s="111" t="str">
        <f t="shared" si="0"/>
        <v/>
      </c>
      <c r="K7" s="111">
        <f>IF(L7&lt;&gt;"", ROW()-ROW($K$6), "")</f>
        <v>1</v>
      </c>
      <c r="L7" s="111">
        <v>1001</v>
      </c>
      <c r="M7" s="111" t="s">
        <v>1127</v>
      </c>
      <c r="N7" s="111" t="s">
        <v>924</v>
      </c>
      <c r="O7" s="111">
        <v>1</v>
      </c>
      <c r="P7" s="111"/>
      <c r="Q7" s="111"/>
      <c r="R7" s="111" t="s">
        <v>954</v>
      </c>
      <c r="S7" s="111"/>
      <c r="T7" s="111"/>
      <c r="U7" s="111">
        <v>411</v>
      </c>
      <c r="V7" s="111"/>
      <c r="W7" s="111"/>
      <c r="X7" s="111"/>
      <c r="AB7" s="117"/>
      <c r="AC7" s="111" t="s">
        <v>955</v>
      </c>
      <c r="AD7" s="311">
        <v>5</v>
      </c>
      <c r="AE7" s="111" t="s">
        <v>956</v>
      </c>
      <c r="AF7" s="117"/>
    </row>
    <row r="8" spans="1:32">
      <c r="A8" s="111">
        <v>1</v>
      </c>
      <c r="B8" s="111" t="str">
        <f t="shared" si="0"/>
        <v/>
      </c>
      <c r="C8" s="111" t="str">
        <f t="shared" si="0"/>
        <v>•</v>
      </c>
      <c r="D8" s="111" t="str">
        <f t="shared" si="0"/>
        <v/>
      </c>
      <c r="E8" s="111" t="str">
        <f t="shared" si="0"/>
        <v/>
      </c>
      <c r="F8" s="111" t="str">
        <f t="shared" si="0"/>
        <v/>
      </c>
      <c r="G8" s="111" t="str">
        <f t="shared" si="0"/>
        <v/>
      </c>
      <c r="H8" s="111" t="str">
        <f t="shared" si="0"/>
        <v/>
      </c>
      <c r="I8" s="111" t="str">
        <f t="shared" si="0"/>
        <v/>
      </c>
      <c r="J8" s="111" t="str">
        <f t="shared" si="0"/>
        <v/>
      </c>
      <c r="K8" s="111">
        <f t="shared" ref="K8:K62" si="1">IF(L8&lt;&gt;"", ROW()-ROW($K$6), "")</f>
        <v>2</v>
      </c>
      <c r="L8" s="111" t="s">
        <v>1145</v>
      </c>
      <c r="M8" s="111" t="s">
        <v>1128</v>
      </c>
      <c r="N8" s="111"/>
      <c r="O8" s="111">
        <v>1</v>
      </c>
      <c r="P8" s="111"/>
      <c r="Q8" s="111"/>
      <c r="R8" s="111" t="s">
        <v>954</v>
      </c>
      <c r="S8" s="111"/>
      <c r="T8" s="111"/>
      <c r="U8" s="111">
        <v>25</v>
      </c>
      <c r="V8" s="111"/>
      <c r="W8" s="111"/>
      <c r="X8" s="111"/>
      <c r="AB8" s="117"/>
      <c r="AC8" s="111" t="s">
        <v>957</v>
      </c>
      <c r="AD8" s="311">
        <v>6</v>
      </c>
      <c r="AE8" s="111" t="s">
        <v>958</v>
      </c>
      <c r="AF8" s="117"/>
    </row>
    <row r="9" spans="1:32">
      <c r="A9" s="111">
        <v>1</v>
      </c>
      <c r="B9" s="111" t="str">
        <f t="shared" si="0"/>
        <v/>
      </c>
      <c r="C9" s="111" t="str">
        <f t="shared" si="0"/>
        <v>•</v>
      </c>
      <c r="D9" s="111" t="str">
        <f t="shared" si="0"/>
        <v/>
      </c>
      <c r="E9" s="111" t="str">
        <f t="shared" si="0"/>
        <v/>
      </c>
      <c r="F9" s="111" t="str">
        <f t="shared" si="0"/>
        <v/>
      </c>
      <c r="G9" s="111" t="str">
        <f t="shared" si="0"/>
        <v/>
      </c>
      <c r="H9" s="111" t="str">
        <f t="shared" si="0"/>
        <v/>
      </c>
      <c r="I9" s="111" t="str">
        <f t="shared" si="0"/>
        <v/>
      </c>
      <c r="J9" s="111" t="str">
        <f t="shared" si="0"/>
        <v/>
      </c>
      <c r="K9" s="111">
        <f t="shared" si="1"/>
        <v>3</v>
      </c>
      <c r="L9" s="111" t="s">
        <v>1146</v>
      </c>
      <c r="M9" s="111" t="s">
        <v>1129</v>
      </c>
      <c r="N9" s="111"/>
      <c r="O9" s="111">
        <v>1</v>
      </c>
      <c r="P9" s="111"/>
      <c r="Q9" s="111"/>
      <c r="R9" s="111" t="s">
        <v>954</v>
      </c>
      <c r="S9" s="111"/>
      <c r="T9" s="111"/>
      <c r="U9" s="111">
        <v>20</v>
      </c>
      <c r="V9" s="111" t="s">
        <v>959</v>
      </c>
      <c r="W9" s="111"/>
      <c r="X9" s="111"/>
      <c r="AB9" s="117"/>
      <c r="AC9" s="111" t="s">
        <v>960</v>
      </c>
      <c r="AD9" s="311">
        <v>7</v>
      </c>
      <c r="AE9" s="111" t="s">
        <v>961</v>
      </c>
      <c r="AF9" s="117"/>
    </row>
    <row r="10" spans="1:32">
      <c r="A10" s="111">
        <v>1</v>
      </c>
      <c r="B10" s="111" t="str">
        <f t="shared" si="0"/>
        <v/>
      </c>
      <c r="C10" s="111" t="str">
        <f t="shared" si="0"/>
        <v>•</v>
      </c>
      <c r="D10" s="111" t="str">
        <f t="shared" si="0"/>
        <v/>
      </c>
      <c r="E10" s="111" t="str">
        <f t="shared" si="0"/>
        <v/>
      </c>
      <c r="F10" s="111" t="str">
        <f t="shared" si="0"/>
        <v/>
      </c>
      <c r="G10" s="111" t="str">
        <f t="shared" si="0"/>
        <v/>
      </c>
      <c r="H10" s="111" t="str">
        <f t="shared" si="0"/>
        <v/>
      </c>
      <c r="I10" s="111" t="str">
        <f t="shared" si="0"/>
        <v/>
      </c>
      <c r="J10" s="111" t="str">
        <f t="shared" si="0"/>
        <v/>
      </c>
      <c r="K10" s="111">
        <f t="shared" si="1"/>
        <v>4</v>
      </c>
      <c r="L10" s="111" t="s">
        <v>1147</v>
      </c>
      <c r="M10" s="111" t="s">
        <v>1130</v>
      </c>
      <c r="N10" s="111"/>
      <c r="O10" s="111">
        <v>2</v>
      </c>
      <c r="P10" s="111"/>
      <c r="Q10" s="111"/>
      <c r="R10" s="111" t="s">
        <v>975</v>
      </c>
      <c r="S10" s="111"/>
      <c r="T10" s="111"/>
      <c r="U10" s="111">
        <v>45</v>
      </c>
      <c r="V10" s="111" t="s">
        <v>1166</v>
      </c>
      <c r="W10" s="111"/>
      <c r="X10" s="111"/>
      <c r="AB10" s="117"/>
      <c r="AC10" s="111" t="s">
        <v>963</v>
      </c>
      <c r="AD10" s="311">
        <v>8</v>
      </c>
      <c r="AE10" s="111" t="s">
        <v>370</v>
      </c>
      <c r="AF10" s="117"/>
    </row>
    <row r="11" spans="1:32">
      <c r="A11" s="111">
        <v>1</v>
      </c>
      <c r="B11" s="111" t="str">
        <f t="shared" si="0"/>
        <v/>
      </c>
      <c r="C11" s="111" t="str">
        <f t="shared" si="0"/>
        <v>•</v>
      </c>
      <c r="D11" s="111" t="str">
        <f t="shared" si="0"/>
        <v/>
      </c>
      <c r="E11" s="111" t="str">
        <f t="shared" si="0"/>
        <v/>
      </c>
      <c r="F11" s="111" t="str">
        <f t="shared" si="0"/>
        <v/>
      </c>
      <c r="G11" s="111" t="str">
        <f t="shared" si="0"/>
        <v/>
      </c>
      <c r="H11" s="111" t="str">
        <f t="shared" si="0"/>
        <v/>
      </c>
      <c r="I11" s="111" t="str">
        <f t="shared" si="0"/>
        <v/>
      </c>
      <c r="J11" s="111" t="str">
        <f t="shared" si="0"/>
        <v/>
      </c>
      <c r="K11" s="111">
        <f t="shared" si="1"/>
        <v>5</v>
      </c>
      <c r="L11" s="111" t="s">
        <v>1148</v>
      </c>
      <c r="M11" s="111" t="s">
        <v>1173</v>
      </c>
      <c r="N11" s="111"/>
      <c r="O11" s="111">
        <v>2</v>
      </c>
      <c r="P11" s="111"/>
      <c r="Q11" s="111"/>
      <c r="R11" s="111" t="s">
        <v>975</v>
      </c>
      <c r="S11" s="111"/>
      <c r="T11" s="111"/>
      <c r="U11" s="111"/>
      <c r="V11" s="111"/>
      <c r="W11" s="111"/>
      <c r="X11" s="111"/>
      <c r="AB11" s="117"/>
      <c r="AC11" s="111" t="s">
        <v>964</v>
      </c>
      <c r="AD11" s="117" t="s">
        <v>929</v>
      </c>
      <c r="AE11" s="111" t="s">
        <v>965</v>
      </c>
      <c r="AF11" s="117"/>
    </row>
    <row r="12" spans="1:32">
      <c r="A12" s="111">
        <v>2</v>
      </c>
      <c r="B12" s="111" t="str">
        <f t="shared" si="0"/>
        <v/>
      </c>
      <c r="C12" s="111" t="str">
        <f t="shared" si="0"/>
        <v/>
      </c>
      <c r="D12" s="111" t="str">
        <f t="shared" si="0"/>
        <v>•</v>
      </c>
      <c r="E12" s="111" t="str">
        <f t="shared" si="0"/>
        <v/>
      </c>
      <c r="F12" s="111" t="str">
        <f t="shared" si="0"/>
        <v/>
      </c>
      <c r="G12" s="111" t="str">
        <f t="shared" si="0"/>
        <v/>
      </c>
      <c r="H12" s="111" t="str">
        <f t="shared" si="0"/>
        <v/>
      </c>
      <c r="I12" s="111" t="str">
        <f t="shared" si="0"/>
        <v/>
      </c>
      <c r="J12" s="111" t="str">
        <f t="shared" si="0"/>
        <v/>
      </c>
      <c r="K12" s="111">
        <f t="shared" si="1"/>
        <v>6</v>
      </c>
      <c r="L12" s="111" t="s">
        <v>1158</v>
      </c>
      <c r="M12" s="111" t="s">
        <v>1131</v>
      </c>
      <c r="N12" s="111"/>
      <c r="O12" s="111">
        <v>1</v>
      </c>
      <c r="P12" s="111"/>
      <c r="Q12" s="111"/>
      <c r="R12" s="111" t="s">
        <v>975</v>
      </c>
      <c r="S12" s="111"/>
      <c r="T12" s="111"/>
      <c r="U12" s="111">
        <v>8</v>
      </c>
      <c r="V12" s="111"/>
      <c r="W12" s="111"/>
      <c r="X12" s="111"/>
      <c r="AB12" s="117"/>
      <c r="AC12" s="111" t="s">
        <v>966</v>
      </c>
      <c r="AD12" s="117"/>
      <c r="AE12" s="111" t="s">
        <v>963</v>
      </c>
      <c r="AF12" s="117"/>
    </row>
    <row r="13" spans="1:32">
      <c r="A13" s="111">
        <v>2</v>
      </c>
      <c r="B13" s="111" t="str">
        <f t="shared" si="0"/>
        <v/>
      </c>
      <c r="C13" s="111" t="str">
        <f t="shared" si="0"/>
        <v/>
      </c>
      <c r="D13" s="111" t="str">
        <f t="shared" si="0"/>
        <v>•</v>
      </c>
      <c r="E13" s="111" t="str">
        <f t="shared" si="0"/>
        <v/>
      </c>
      <c r="F13" s="111" t="str">
        <f t="shared" si="0"/>
        <v/>
      </c>
      <c r="G13" s="111" t="str">
        <f t="shared" si="0"/>
        <v/>
      </c>
      <c r="H13" s="111" t="str">
        <f t="shared" si="0"/>
        <v/>
      </c>
      <c r="I13" s="111" t="str">
        <f t="shared" si="0"/>
        <v/>
      </c>
      <c r="J13" s="111" t="str">
        <f t="shared" si="0"/>
        <v/>
      </c>
      <c r="K13" s="111">
        <f t="shared" si="1"/>
        <v>7</v>
      </c>
      <c r="L13" s="111" t="s">
        <v>1159</v>
      </c>
      <c r="M13" s="111" t="s">
        <v>1132</v>
      </c>
      <c r="N13" s="111"/>
      <c r="O13" s="111">
        <v>1</v>
      </c>
      <c r="P13" s="111"/>
      <c r="Q13" s="111"/>
      <c r="R13" s="111" t="s">
        <v>975</v>
      </c>
      <c r="S13" s="111"/>
      <c r="T13" s="111"/>
      <c r="U13" s="111">
        <v>14</v>
      </c>
      <c r="V13" s="111"/>
      <c r="W13" s="111"/>
      <c r="X13" s="111"/>
      <c r="AB13" s="117"/>
      <c r="AC13" s="111" t="s">
        <v>967</v>
      </c>
      <c r="AD13" s="117"/>
      <c r="AE13" s="111" t="s">
        <v>964</v>
      </c>
      <c r="AF13" s="117"/>
    </row>
    <row r="14" spans="1:32">
      <c r="A14" s="111">
        <v>2</v>
      </c>
      <c r="B14" s="111" t="str">
        <f t="shared" si="0"/>
        <v/>
      </c>
      <c r="C14" s="111" t="str">
        <f t="shared" si="0"/>
        <v/>
      </c>
      <c r="D14" s="111" t="str">
        <f t="shared" si="0"/>
        <v>•</v>
      </c>
      <c r="E14" s="111" t="str">
        <f t="shared" si="0"/>
        <v/>
      </c>
      <c r="F14" s="111" t="str">
        <f t="shared" si="0"/>
        <v/>
      </c>
      <c r="G14" s="111" t="str">
        <f t="shared" si="0"/>
        <v/>
      </c>
      <c r="H14" s="111" t="str">
        <f t="shared" si="0"/>
        <v/>
      </c>
      <c r="I14" s="111" t="str">
        <f t="shared" si="0"/>
        <v/>
      </c>
      <c r="J14" s="111" t="str">
        <f t="shared" si="0"/>
        <v/>
      </c>
      <c r="K14" s="111">
        <f t="shared" si="1"/>
        <v>8</v>
      </c>
      <c r="L14" s="111" t="s">
        <v>1160</v>
      </c>
      <c r="M14" s="111" t="s">
        <v>1133</v>
      </c>
      <c r="N14" s="111"/>
      <c r="O14" s="111">
        <v>1</v>
      </c>
      <c r="P14" s="111"/>
      <c r="Q14" s="111"/>
      <c r="R14" s="111" t="s">
        <v>975</v>
      </c>
      <c r="S14" s="111"/>
      <c r="T14" s="111"/>
      <c r="U14" s="111">
        <v>3</v>
      </c>
      <c r="V14" s="111"/>
      <c r="W14" s="111"/>
      <c r="X14" s="111"/>
      <c r="AB14" s="117"/>
      <c r="AC14" s="111" t="s">
        <v>968</v>
      </c>
      <c r="AD14" s="117"/>
      <c r="AE14" s="111" t="s">
        <v>969</v>
      </c>
      <c r="AF14" s="117"/>
    </row>
    <row r="15" spans="1:32">
      <c r="A15" s="111">
        <v>2</v>
      </c>
      <c r="B15" s="111" t="str">
        <f t="shared" si="0"/>
        <v/>
      </c>
      <c r="C15" s="111" t="str">
        <f t="shared" si="0"/>
        <v/>
      </c>
      <c r="D15" s="111" t="str">
        <f t="shared" si="0"/>
        <v>•</v>
      </c>
      <c r="E15" s="111" t="str">
        <f t="shared" si="0"/>
        <v/>
      </c>
      <c r="F15" s="111" t="str">
        <f t="shared" si="0"/>
        <v/>
      </c>
      <c r="G15" s="111" t="str">
        <f t="shared" si="0"/>
        <v/>
      </c>
      <c r="H15" s="111" t="str">
        <f t="shared" si="0"/>
        <v/>
      </c>
      <c r="I15" s="111" t="str">
        <f t="shared" si="0"/>
        <v/>
      </c>
      <c r="J15" s="111" t="str">
        <f t="shared" si="0"/>
        <v/>
      </c>
      <c r="K15" s="111">
        <f t="shared" si="1"/>
        <v>9</v>
      </c>
      <c r="L15" s="111" t="s">
        <v>1161</v>
      </c>
      <c r="M15" s="111" t="s">
        <v>1134</v>
      </c>
      <c r="N15" s="111"/>
      <c r="O15" s="111">
        <v>1</v>
      </c>
      <c r="P15" s="111"/>
      <c r="Q15" s="111"/>
      <c r="R15" s="111" t="s">
        <v>975</v>
      </c>
      <c r="S15" s="111"/>
      <c r="T15" s="111"/>
      <c r="U15" s="111">
        <v>1</v>
      </c>
      <c r="V15" s="111"/>
      <c r="W15" s="111"/>
      <c r="X15" s="111"/>
      <c r="AB15" s="117"/>
      <c r="AC15" s="111" t="s">
        <v>970</v>
      </c>
      <c r="AD15" s="117"/>
      <c r="AE15" s="111" t="s">
        <v>971</v>
      </c>
      <c r="AF15" s="117"/>
    </row>
    <row r="16" spans="1:32">
      <c r="A16" s="111">
        <v>1</v>
      </c>
      <c r="B16" s="111" t="str">
        <f t="shared" si="0"/>
        <v/>
      </c>
      <c r="C16" s="111" t="str">
        <f t="shared" si="0"/>
        <v>•</v>
      </c>
      <c r="D16" s="111" t="str">
        <f t="shared" si="0"/>
        <v/>
      </c>
      <c r="E16" s="111" t="str">
        <f t="shared" si="0"/>
        <v/>
      </c>
      <c r="F16" s="111" t="str">
        <f t="shared" si="0"/>
        <v/>
      </c>
      <c r="G16" s="111" t="str">
        <f t="shared" si="0"/>
        <v/>
      </c>
      <c r="H16" s="111" t="str">
        <f t="shared" si="0"/>
        <v/>
      </c>
      <c r="I16" s="111" t="str">
        <f t="shared" si="0"/>
        <v/>
      </c>
      <c r="J16" s="111" t="str">
        <f t="shared" si="0"/>
        <v/>
      </c>
      <c r="K16" s="111">
        <f t="shared" si="1"/>
        <v>10</v>
      </c>
      <c r="L16" s="111" t="s">
        <v>1149</v>
      </c>
      <c r="M16" s="111" t="s">
        <v>1135</v>
      </c>
      <c r="N16" s="111"/>
      <c r="O16" s="111">
        <v>1</v>
      </c>
      <c r="P16" s="111"/>
      <c r="Q16" s="111"/>
      <c r="R16" s="111" t="s">
        <v>975</v>
      </c>
      <c r="S16" s="111"/>
      <c r="T16" s="111"/>
      <c r="U16" s="111">
        <v>15</v>
      </c>
      <c r="V16" s="111"/>
      <c r="W16" s="111"/>
      <c r="X16" s="111"/>
      <c r="AB16" s="117"/>
      <c r="AC16" s="117"/>
      <c r="AD16" s="117"/>
      <c r="AE16" s="111" t="s">
        <v>972</v>
      </c>
      <c r="AF16" s="117"/>
    </row>
    <row r="17" spans="1:32">
      <c r="A17" s="111">
        <v>1</v>
      </c>
      <c r="B17" s="111" t="str">
        <f t="shared" ref="B17:J26" si="2">IF($A17=B$6, $AB$2, "")</f>
        <v/>
      </c>
      <c r="C17" s="111" t="str">
        <f t="shared" si="2"/>
        <v>•</v>
      </c>
      <c r="D17" s="111" t="str">
        <f t="shared" si="2"/>
        <v/>
      </c>
      <c r="E17" s="111" t="str">
        <f t="shared" si="2"/>
        <v/>
      </c>
      <c r="F17" s="111" t="str">
        <f t="shared" si="2"/>
        <v/>
      </c>
      <c r="G17" s="111" t="str">
        <f t="shared" si="2"/>
        <v/>
      </c>
      <c r="H17" s="111" t="str">
        <f t="shared" si="2"/>
        <v/>
      </c>
      <c r="I17" s="111" t="str">
        <f t="shared" si="2"/>
        <v/>
      </c>
      <c r="J17" s="111" t="str">
        <f t="shared" si="2"/>
        <v/>
      </c>
      <c r="K17" s="111">
        <f t="shared" si="1"/>
        <v>11</v>
      </c>
      <c r="L17" s="111" t="s">
        <v>1150</v>
      </c>
      <c r="M17" s="111" t="s">
        <v>1136</v>
      </c>
      <c r="N17" s="111"/>
      <c r="O17" s="111">
        <v>1</v>
      </c>
      <c r="P17" s="111"/>
      <c r="Q17" s="111"/>
      <c r="R17" s="111" t="s">
        <v>975</v>
      </c>
      <c r="S17" s="111"/>
      <c r="T17" s="111"/>
      <c r="U17" s="111">
        <v>23</v>
      </c>
      <c r="V17" s="111"/>
      <c r="W17" s="111"/>
      <c r="X17" s="111"/>
      <c r="AB17" s="117"/>
      <c r="AC17" s="117"/>
      <c r="AD17" s="117"/>
      <c r="AE17" s="111" t="s">
        <v>973</v>
      </c>
      <c r="AF17" s="117"/>
    </row>
    <row r="18" spans="1:32">
      <c r="A18" s="111">
        <v>1</v>
      </c>
      <c r="B18" s="111" t="str">
        <f t="shared" si="2"/>
        <v/>
      </c>
      <c r="C18" s="111" t="str">
        <f t="shared" si="2"/>
        <v>•</v>
      </c>
      <c r="D18" s="111" t="str">
        <f t="shared" si="2"/>
        <v/>
      </c>
      <c r="E18" s="111" t="str">
        <f t="shared" si="2"/>
        <v/>
      </c>
      <c r="F18" s="111" t="str">
        <f t="shared" si="2"/>
        <v/>
      </c>
      <c r="G18" s="111" t="str">
        <f t="shared" si="2"/>
        <v/>
      </c>
      <c r="H18" s="111" t="str">
        <f t="shared" si="2"/>
        <v/>
      </c>
      <c r="I18" s="111" t="str">
        <f t="shared" si="2"/>
        <v/>
      </c>
      <c r="J18" s="111" t="str">
        <f t="shared" si="2"/>
        <v/>
      </c>
      <c r="K18" s="111">
        <f t="shared" si="1"/>
        <v>12</v>
      </c>
      <c r="L18" s="111" t="s">
        <v>1151</v>
      </c>
      <c r="M18" s="111" t="s">
        <v>1137</v>
      </c>
      <c r="N18" s="111"/>
      <c r="O18" s="111">
        <v>1</v>
      </c>
      <c r="P18" s="111"/>
      <c r="Q18" s="111"/>
      <c r="R18" s="111" t="s">
        <v>975</v>
      </c>
      <c r="S18" s="111"/>
      <c r="T18" s="111"/>
      <c r="U18" s="111">
        <v>6</v>
      </c>
      <c r="V18" s="111" t="s">
        <v>1167</v>
      </c>
      <c r="W18" s="111"/>
      <c r="X18" s="111"/>
      <c r="AB18" s="117"/>
      <c r="AC18" s="117"/>
      <c r="AD18" s="117"/>
      <c r="AE18" s="111" t="s">
        <v>974</v>
      </c>
      <c r="AF18" s="117"/>
    </row>
    <row r="19" spans="1:32">
      <c r="A19" s="111">
        <v>1</v>
      </c>
      <c r="B19" s="111" t="str">
        <f t="shared" si="2"/>
        <v/>
      </c>
      <c r="C19" s="111" t="str">
        <f t="shared" si="2"/>
        <v>•</v>
      </c>
      <c r="D19" s="111" t="str">
        <f t="shared" si="2"/>
        <v/>
      </c>
      <c r="E19" s="111" t="str">
        <f t="shared" si="2"/>
        <v/>
      </c>
      <c r="F19" s="111" t="str">
        <f t="shared" si="2"/>
        <v/>
      </c>
      <c r="G19" s="111" t="str">
        <f t="shared" si="2"/>
        <v/>
      </c>
      <c r="H19" s="111" t="str">
        <f t="shared" si="2"/>
        <v/>
      </c>
      <c r="I19" s="111" t="str">
        <f t="shared" si="2"/>
        <v/>
      </c>
      <c r="J19" s="111" t="str">
        <f t="shared" si="2"/>
        <v/>
      </c>
      <c r="K19" s="111">
        <f t="shared" si="1"/>
        <v>13</v>
      </c>
      <c r="L19" s="111" t="s">
        <v>1152</v>
      </c>
      <c r="M19" s="111" t="s">
        <v>1138</v>
      </c>
      <c r="N19" s="111"/>
      <c r="O19" s="111">
        <v>1</v>
      </c>
      <c r="P19" s="111"/>
      <c r="Q19" s="111"/>
      <c r="R19" s="111" t="s">
        <v>975</v>
      </c>
      <c r="S19" s="111"/>
      <c r="T19" s="111"/>
      <c r="U19" s="111">
        <v>6</v>
      </c>
      <c r="V19" s="111" t="s">
        <v>1167</v>
      </c>
      <c r="W19" s="111"/>
      <c r="X19" s="111"/>
      <c r="AB19" s="117"/>
      <c r="AC19" s="117"/>
      <c r="AD19" s="117"/>
      <c r="AE19" s="111" t="s">
        <v>976</v>
      </c>
      <c r="AF19" s="117"/>
    </row>
    <row r="20" spans="1:32">
      <c r="A20" s="111">
        <v>1</v>
      </c>
      <c r="B20" s="111" t="str">
        <f t="shared" si="2"/>
        <v/>
      </c>
      <c r="C20" s="111" t="str">
        <f t="shared" si="2"/>
        <v>•</v>
      </c>
      <c r="D20" s="111" t="str">
        <f t="shared" si="2"/>
        <v/>
      </c>
      <c r="E20" s="111" t="str">
        <f t="shared" si="2"/>
        <v/>
      </c>
      <c r="F20" s="111" t="str">
        <f t="shared" si="2"/>
        <v/>
      </c>
      <c r="G20" s="111" t="str">
        <f t="shared" si="2"/>
        <v/>
      </c>
      <c r="H20" s="111" t="str">
        <f t="shared" si="2"/>
        <v/>
      </c>
      <c r="I20" s="111" t="str">
        <f t="shared" si="2"/>
        <v/>
      </c>
      <c r="J20" s="111" t="str">
        <f t="shared" si="2"/>
        <v/>
      </c>
      <c r="K20" s="111">
        <f t="shared" si="1"/>
        <v>14</v>
      </c>
      <c r="L20" s="111" t="s">
        <v>1153</v>
      </c>
      <c r="M20" s="111" t="s">
        <v>1139</v>
      </c>
      <c r="N20" s="111"/>
      <c r="O20" s="111">
        <v>1</v>
      </c>
      <c r="P20" s="111"/>
      <c r="Q20" s="111"/>
      <c r="R20" s="111" t="s">
        <v>975</v>
      </c>
      <c r="S20" s="111"/>
      <c r="T20" s="111"/>
      <c r="U20" s="111"/>
      <c r="V20" s="111"/>
      <c r="W20" s="111"/>
      <c r="X20" s="111"/>
      <c r="AB20" s="117"/>
      <c r="AC20" s="117"/>
      <c r="AD20" s="117"/>
      <c r="AE20" s="111" t="s">
        <v>978</v>
      </c>
      <c r="AF20" s="117"/>
    </row>
    <row r="21" spans="1:32">
      <c r="A21" s="111">
        <v>2</v>
      </c>
      <c r="B21" s="111" t="str">
        <f t="shared" si="2"/>
        <v/>
      </c>
      <c r="C21" s="111" t="str">
        <f t="shared" si="2"/>
        <v/>
      </c>
      <c r="D21" s="111" t="str">
        <f t="shared" si="2"/>
        <v>•</v>
      </c>
      <c r="E21" s="111" t="str">
        <f t="shared" si="2"/>
        <v/>
      </c>
      <c r="F21" s="111" t="str">
        <f t="shared" si="2"/>
        <v/>
      </c>
      <c r="G21" s="111" t="str">
        <f t="shared" si="2"/>
        <v/>
      </c>
      <c r="H21" s="111" t="str">
        <f t="shared" si="2"/>
        <v/>
      </c>
      <c r="I21" s="111" t="str">
        <f t="shared" si="2"/>
        <v/>
      </c>
      <c r="J21" s="111" t="str">
        <f t="shared" si="2"/>
        <v/>
      </c>
      <c r="K21" s="111">
        <f t="shared" si="1"/>
        <v>15</v>
      </c>
      <c r="L21" s="111" t="s">
        <v>1162</v>
      </c>
      <c r="M21" s="111" t="s">
        <v>1140</v>
      </c>
      <c r="N21" s="111"/>
      <c r="O21" s="111">
        <v>1</v>
      </c>
      <c r="P21" s="111"/>
      <c r="Q21" s="111"/>
      <c r="R21" s="111" t="s">
        <v>975</v>
      </c>
      <c r="S21" s="111"/>
      <c r="T21" s="111"/>
      <c r="U21" s="111">
        <v>12</v>
      </c>
      <c r="V21" s="111" t="s">
        <v>979</v>
      </c>
      <c r="W21" s="111"/>
      <c r="X21" s="111"/>
      <c r="AB21" s="117"/>
      <c r="AC21" s="117"/>
      <c r="AD21" s="117"/>
      <c r="AE21" s="111" t="s">
        <v>980</v>
      </c>
      <c r="AF21" s="117"/>
    </row>
    <row r="22" spans="1:32">
      <c r="A22" s="111">
        <v>2</v>
      </c>
      <c r="B22" s="111" t="str">
        <f t="shared" si="2"/>
        <v/>
      </c>
      <c r="C22" s="111" t="str">
        <f t="shared" si="2"/>
        <v/>
      </c>
      <c r="D22" s="111" t="str">
        <f t="shared" si="2"/>
        <v>•</v>
      </c>
      <c r="E22" s="111" t="str">
        <f t="shared" si="2"/>
        <v/>
      </c>
      <c r="F22" s="111" t="str">
        <f t="shared" si="2"/>
        <v/>
      </c>
      <c r="G22" s="111" t="str">
        <f t="shared" si="2"/>
        <v/>
      </c>
      <c r="H22" s="111" t="str">
        <f t="shared" si="2"/>
        <v/>
      </c>
      <c r="I22" s="111" t="str">
        <f t="shared" si="2"/>
        <v/>
      </c>
      <c r="J22" s="111" t="str">
        <f t="shared" si="2"/>
        <v/>
      </c>
      <c r="K22" s="111">
        <f t="shared" si="1"/>
        <v>16</v>
      </c>
      <c r="L22" s="111" t="s">
        <v>1163</v>
      </c>
      <c r="M22" s="111" t="s">
        <v>1141</v>
      </c>
      <c r="N22" s="111"/>
      <c r="O22" s="111">
        <v>2</v>
      </c>
      <c r="P22" s="111"/>
      <c r="Q22" s="111"/>
      <c r="R22" s="111" t="s">
        <v>975</v>
      </c>
      <c r="S22" s="111"/>
      <c r="T22" s="111"/>
      <c r="U22" s="111">
        <v>8</v>
      </c>
      <c r="V22" s="111" t="s">
        <v>977</v>
      </c>
      <c r="W22" s="111"/>
      <c r="X22" s="111"/>
      <c r="AB22" s="117"/>
      <c r="AC22" s="117"/>
      <c r="AD22" s="117"/>
      <c r="AE22" s="111" t="s">
        <v>981</v>
      </c>
      <c r="AF22" s="117"/>
    </row>
    <row r="23" spans="1:32">
      <c r="A23" s="111">
        <v>2</v>
      </c>
      <c r="B23" s="111" t="str">
        <f t="shared" si="2"/>
        <v/>
      </c>
      <c r="C23" s="111" t="str">
        <f t="shared" si="2"/>
        <v/>
      </c>
      <c r="D23" s="111" t="str">
        <f t="shared" si="2"/>
        <v>•</v>
      </c>
      <c r="E23" s="111" t="str">
        <f t="shared" si="2"/>
        <v/>
      </c>
      <c r="F23" s="111" t="str">
        <f t="shared" si="2"/>
        <v/>
      </c>
      <c r="G23" s="111" t="str">
        <f t="shared" si="2"/>
        <v/>
      </c>
      <c r="H23" s="111" t="str">
        <f t="shared" si="2"/>
        <v/>
      </c>
      <c r="I23" s="111" t="str">
        <f t="shared" si="2"/>
        <v/>
      </c>
      <c r="J23" s="111" t="str">
        <f t="shared" si="2"/>
        <v/>
      </c>
      <c r="K23" s="111">
        <f t="shared" si="1"/>
        <v>17</v>
      </c>
      <c r="L23" s="111" t="s">
        <v>1164</v>
      </c>
      <c r="M23" s="111" t="s">
        <v>962</v>
      </c>
      <c r="N23" s="111"/>
      <c r="O23" s="111">
        <v>1</v>
      </c>
      <c r="P23" s="111"/>
      <c r="Q23" s="111"/>
      <c r="R23" s="111" t="s">
        <v>954</v>
      </c>
      <c r="S23" s="111"/>
      <c r="T23" s="111"/>
      <c r="U23" s="111">
        <v>14</v>
      </c>
      <c r="V23" s="111" t="s">
        <v>982</v>
      </c>
      <c r="W23" s="111"/>
      <c r="X23" s="111"/>
      <c r="AB23" s="117"/>
      <c r="AC23" s="117"/>
      <c r="AD23" s="117"/>
      <c r="AE23" s="111" t="s">
        <v>983</v>
      </c>
      <c r="AF23" s="117"/>
    </row>
    <row r="24" spans="1:32">
      <c r="A24" s="111">
        <v>2</v>
      </c>
      <c r="B24" s="111" t="str">
        <f t="shared" si="2"/>
        <v/>
      </c>
      <c r="C24" s="111" t="str">
        <f t="shared" si="2"/>
        <v/>
      </c>
      <c r="D24" s="111" t="str">
        <f t="shared" si="2"/>
        <v>•</v>
      </c>
      <c r="E24" s="111" t="str">
        <f t="shared" si="2"/>
        <v/>
      </c>
      <c r="F24" s="111" t="str">
        <f t="shared" si="2"/>
        <v/>
      </c>
      <c r="G24" s="111" t="str">
        <f t="shared" si="2"/>
        <v/>
      </c>
      <c r="H24" s="111" t="str">
        <f t="shared" si="2"/>
        <v/>
      </c>
      <c r="I24" s="111" t="str">
        <f t="shared" si="2"/>
        <v/>
      </c>
      <c r="J24" s="111" t="str">
        <f t="shared" si="2"/>
        <v/>
      </c>
      <c r="K24" s="111">
        <f t="shared" si="1"/>
        <v>18</v>
      </c>
      <c r="L24" s="111" t="s">
        <v>1165</v>
      </c>
      <c r="M24" s="111" t="s">
        <v>1142</v>
      </c>
      <c r="N24" s="111"/>
      <c r="O24" s="111">
        <v>2</v>
      </c>
      <c r="P24" s="111"/>
      <c r="Q24" s="111"/>
      <c r="R24" s="111" t="s">
        <v>954</v>
      </c>
      <c r="S24" s="111"/>
      <c r="T24" s="111"/>
      <c r="U24" s="111">
        <v>8</v>
      </c>
      <c r="V24" s="111" t="s">
        <v>959</v>
      </c>
      <c r="W24" s="111"/>
      <c r="X24" s="111"/>
      <c r="AB24" s="117"/>
      <c r="AC24" s="117"/>
      <c r="AD24" s="117"/>
      <c r="AE24" s="111" t="s">
        <v>984</v>
      </c>
      <c r="AF24" s="117"/>
    </row>
    <row r="25" spans="1:32">
      <c r="A25" s="111">
        <v>1</v>
      </c>
      <c r="B25" s="111" t="str">
        <f t="shared" si="2"/>
        <v/>
      </c>
      <c r="C25" s="111" t="str">
        <f t="shared" si="2"/>
        <v>•</v>
      </c>
      <c r="D25" s="111" t="str">
        <f t="shared" si="2"/>
        <v/>
      </c>
      <c r="E25" s="111" t="str">
        <f t="shared" si="2"/>
        <v/>
      </c>
      <c r="F25" s="111" t="str">
        <f t="shared" si="2"/>
        <v/>
      </c>
      <c r="G25" s="111" t="str">
        <f t="shared" si="2"/>
        <v/>
      </c>
      <c r="H25" s="111" t="str">
        <f t="shared" si="2"/>
        <v/>
      </c>
      <c r="I25" s="111" t="str">
        <f t="shared" si="2"/>
        <v/>
      </c>
      <c r="J25" s="111" t="str">
        <f t="shared" si="2"/>
        <v/>
      </c>
      <c r="K25" s="111">
        <f t="shared" si="1"/>
        <v>19</v>
      </c>
      <c r="L25" s="111" t="s">
        <v>1154</v>
      </c>
      <c r="M25" s="111" t="s">
        <v>1144</v>
      </c>
      <c r="N25" s="111"/>
      <c r="O25" s="111">
        <v>1</v>
      </c>
      <c r="P25" s="111"/>
      <c r="Q25" s="111"/>
      <c r="R25" s="111" t="s">
        <v>975</v>
      </c>
      <c r="S25" s="111"/>
      <c r="T25" s="111"/>
      <c r="U25" s="111">
        <v>6</v>
      </c>
      <c r="V25" s="111"/>
      <c r="W25" s="111"/>
      <c r="X25" s="111"/>
      <c r="AB25" s="117"/>
      <c r="AC25" s="117"/>
      <c r="AD25" s="117"/>
      <c r="AE25" s="111" t="s">
        <v>985</v>
      </c>
      <c r="AF25" s="117"/>
    </row>
    <row r="26" spans="1:32">
      <c r="A26" s="111">
        <v>1</v>
      </c>
      <c r="B26" s="111" t="str">
        <f t="shared" si="2"/>
        <v/>
      </c>
      <c r="C26" s="111" t="str">
        <f t="shared" si="2"/>
        <v>•</v>
      </c>
      <c r="D26" s="111" t="str">
        <f t="shared" si="2"/>
        <v/>
      </c>
      <c r="E26" s="111" t="str">
        <f t="shared" si="2"/>
        <v/>
      </c>
      <c r="F26" s="111" t="str">
        <f t="shared" si="2"/>
        <v/>
      </c>
      <c r="G26" s="111" t="str">
        <f t="shared" si="2"/>
        <v/>
      </c>
      <c r="H26" s="111" t="str">
        <f t="shared" si="2"/>
        <v/>
      </c>
      <c r="I26" s="111" t="str">
        <f t="shared" si="2"/>
        <v/>
      </c>
      <c r="J26" s="111" t="str">
        <f t="shared" si="2"/>
        <v/>
      </c>
      <c r="K26" s="111">
        <f t="shared" si="1"/>
        <v>20</v>
      </c>
      <c r="L26" s="111" t="s">
        <v>1155</v>
      </c>
      <c r="M26" s="111" t="s">
        <v>1143</v>
      </c>
      <c r="N26" s="111"/>
      <c r="O26" s="111">
        <v>1</v>
      </c>
      <c r="P26" s="111"/>
      <c r="Q26" s="111"/>
      <c r="R26" s="111" t="s">
        <v>975</v>
      </c>
      <c r="S26" s="111"/>
      <c r="T26" s="111"/>
      <c r="U26" s="111">
        <v>6</v>
      </c>
      <c r="V26" s="111"/>
      <c r="W26" s="111"/>
      <c r="X26" s="111"/>
      <c r="AB26" s="117"/>
      <c r="AC26" s="117"/>
      <c r="AD26" s="117"/>
      <c r="AE26" s="111" t="s">
        <v>986</v>
      </c>
      <c r="AF26" s="117"/>
    </row>
    <row r="27" spans="1:32">
      <c r="A27" s="111">
        <v>1</v>
      </c>
      <c r="B27" s="111" t="str">
        <f t="shared" ref="B27:J36" si="3">IF($A27=B$6, $AB$2, "")</f>
        <v/>
      </c>
      <c r="C27" s="111" t="str">
        <f t="shared" si="3"/>
        <v>•</v>
      </c>
      <c r="D27" s="111" t="str">
        <f t="shared" si="3"/>
        <v/>
      </c>
      <c r="E27" s="111" t="str">
        <f t="shared" si="3"/>
        <v/>
      </c>
      <c r="F27" s="111" t="str">
        <f t="shared" si="3"/>
        <v/>
      </c>
      <c r="G27" s="111" t="str">
        <f t="shared" si="3"/>
        <v/>
      </c>
      <c r="H27" s="111" t="str">
        <f t="shared" si="3"/>
        <v/>
      </c>
      <c r="I27" s="111" t="str">
        <f t="shared" si="3"/>
        <v/>
      </c>
      <c r="J27" s="111" t="str">
        <f t="shared" si="3"/>
        <v/>
      </c>
      <c r="K27" s="111">
        <f t="shared" si="1"/>
        <v>21</v>
      </c>
      <c r="L27" s="111" t="s">
        <v>1156</v>
      </c>
      <c r="M27" s="111" t="s">
        <v>987</v>
      </c>
      <c r="N27" s="111"/>
      <c r="O27" s="111">
        <v>1</v>
      </c>
      <c r="P27" s="111"/>
      <c r="Q27" s="111"/>
      <c r="R27" s="111" t="s">
        <v>975</v>
      </c>
      <c r="S27" s="111"/>
      <c r="T27" s="111"/>
      <c r="U27" s="111">
        <v>4</v>
      </c>
      <c r="V27" s="111"/>
      <c r="W27" s="111"/>
      <c r="X27" s="111"/>
      <c r="AB27" s="117"/>
      <c r="AC27" s="117"/>
      <c r="AD27" s="117"/>
      <c r="AE27" s="111" t="s">
        <v>988</v>
      </c>
      <c r="AF27" s="117"/>
    </row>
    <row r="28" spans="1:32">
      <c r="A28" s="111">
        <v>1</v>
      </c>
      <c r="B28" s="111" t="str">
        <f t="shared" si="3"/>
        <v/>
      </c>
      <c r="C28" s="111" t="str">
        <f t="shared" si="3"/>
        <v>•</v>
      </c>
      <c r="D28" s="111" t="str">
        <f t="shared" si="3"/>
        <v/>
      </c>
      <c r="E28" s="111" t="str">
        <f t="shared" si="3"/>
        <v/>
      </c>
      <c r="F28" s="111" t="str">
        <f t="shared" si="3"/>
        <v/>
      </c>
      <c r="G28" s="111" t="str">
        <f t="shared" si="3"/>
        <v/>
      </c>
      <c r="H28" s="111" t="str">
        <f t="shared" si="3"/>
        <v/>
      </c>
      <c r="I28" s="111" t="str">
        <f t="shared" si="3"/>
        <v/>
      </c>
      <c r="J28" s="111" t="str">
        <f t="shared" si="3"/>
        <v/>
      </c>
      <c r="K28" s="111">
        <f t="shared" si="1"/>
        <v>22</v>
      </c>
      <c r="L28" s="111" t="s">
        <v>1157</v>
      </c>
      <c r="M28" s="111" t="s">
        <v>1169</v>
      </c>
      <c r="N28" s="111"/>
      <c r="O28" s="111">
        <v>1</v>
      </c>
      <c r="P28" s="111"/>
      <c r="Q28" s="111"/>
      <c r="R28" s="111" t="s">
        <v>975</v>
      </c>
      <c r="S28" s="111" t="s">
        <v>1170</v>
      </c>
      <c r="T28" s="111"/>
      <c r="U28" s="111">
        <v>187</v>
      </c>
      <c r="V28" s="111"/>
      <c r="W28" s="111"/>
      <c r="X28" s="111" t="s">
        <v>1170</v>
      </c>
      <c r="AB28" s="117"/>
      <c r="AC28" s="117"/>
      <c r="AD28" s="117"/>
      <c r="AE28" s="111" t="s">
        <v>989</v>
      </c>
      <c r="AF28" s="117"/>
    </row>
    <row r="29" spans="1:32">
      <c r="A29" s="111">
        <v>1</v>
      </c>
      <c r="B29" s="111" t="str">
        <f t="shared" si="3"/>
        <v/>
      </c>
      <c r="C29" s="111" t="str">
        <f t="shared" si="3"/>
        <v>•</v>
      </c>
      <c r="D29" s="111" t="str">
        <f t="shared" si="3"/>
        <v/>
      </c>
      <c r="E29" s="111" t="str">
        <f t="shared" si="3"/>
        <v/>
      </c>
      <c r="F29" s="111" t="str">
        <f t="shared" si="3"/>
        <v/>
      </c>
      <c r="G29" s="111" t="str">
        <f t="shared" si="3"/>
        <v/>
      </c>
      <c r="H29" s="111" t="str">
        <f t="shared" si="3"/>
        <v/>
      </c>
      <c r="I29" s="111" t="str">
        <f t="shared" si="3"/>
        <v/>
      </c>
      <c r="J29" s="111" t="str">
        <f t="shared" si="3"/>
        <v/>
      </c>
      <c r="K29" s="111" t="str">
        <f t="shared" si="1"/>
        <v/>
      </c>
      <c r="L29" s="111"/>
      <c r="M29" s="111"/>
      <c r="N29" s="111"/>
      <c r="O29" s="111"/>
      <c r="P29" s="111"/>
      <c r="Q29" s="111"/>
      <c r="R29" s="111"/>
      <c r="S29" s="111"/>
      <c r="T29" s="111"/>
      <c r="U29" s="111"/>
      <c r="V29" s="111"/>
      <c r="W29" s="111"/>
      <c r="X29" s="111"/>
      <c r="AB29" s="117"/>
      <c r="AC29" s="117"/>
      <c r="AD29" s="117"/>
      <c r="AE29" s="111" t="s">
        <v>990</v>
      </c>
      <c r="AF29" s="117"/>
    </row>
    <row r="30" spans="1:32">
      <c r="A30" s="111" t="s">
        <v>1172</v>
      </c>
      <c r="B30" s="111" t="str">
        <f t="shared" si="3"/>
        <v/>
      </c>
      <c r="C30" s="111" t="str">
        <f t="shared" si="3"/>
        <v/>
      </c>
      <c r="D30" s="111" t="str">
        <f t="shared" si="3"/>
        <v/>
      </c>
      <c r="E30" s="111" t="str">
        <f t="shared" si="3"/>
        <v/>
      </c>
      <c r="F30" s="111" t="str">
        <f t="shared" si="3"/>
        <v/>
      </c>
      <c r="G30" s="111" t="str">
        <f t="shared" si="3"/>
        <v/>
      </c>
      <c r="H30" s="111" t="str">
        <f t="shared" si="3"/>
        <v/>
      </c>
      <c r="I30" s="111" t="str">
        <f t="shared" si="3"/>
        <v/>
      </c>
      <c r="J30" s="111" t="str">
        <f t="shared" si="3"/>
        <v/>
      </c>
      <c r="K30" s="111" t="str">
        <f t="shared" si="1"/>
        <v/>
      </c>
      <c r="L30" s="111"/>
      <c r="M30" s="111"/>
      <c r="N30" s="111"/>
      <c r="O30" s="111"/>
      <c r="P30" s="111"/>
      <c r="Q30" s="111"/>
      <c r="R30" s="111"/>
      <c r="S30" s="111"/>
      <c r="T30" s="111"/>
      <c r="U30" s="111"/>
      <c r="V30" s="111"/>
      <c r="W30" s="111"/>
      <c r="X30" s="111"/>
      <c r="AB30" s="117"/>
      <c r="AC30" s="117"/>
      <c r="AD30" s="117"/>
      <c r="AE30" s="111" t="s">
        <v>991</v>
      </c>
      <c r="AF30" s="117"/>
    </row>
    <row r="31" spans="1:32">
      <c r="A31" s="111" t="s">
        <v>1172</v>
      </c>
      <c r="B31" s="111" t="str">
        <f t="shared" si="3"/>
        <v/>
      </c>
      <c r="C31" s="111" t="str">
        <f t="shared" si="3"/>
        <v/>
      </c>
      <c r="D31" s="111" t="str">
        <f t="shared" si="3"/>
        <v/>
      </c>
      <c r="E31" s="111" t="str">
        <f t="shared" si="3"/>
        <v/>
      </c>
      <c r="F31" s="111" t="str">
        <f t="shared" si="3"/>
        <v/>
      </c>
      <c r="G31" s="111" t="str">
        <f t="shared" si="3"/>
        <v/>
      </c>
      <c r="H31" s="111" t="str">
        <f t="shared" si="3"/>
        <v/>
      </c>
      <c r="I31" s="111" t="str">
        <f t="shared" si="3"/>
        <v/>
      </c>
      <c r="J31" s="111" t="str">
        <f t="shared" si="3"/>
        <v/>
      </c>
      <c r="K31" s="111" t="str">
        <f t="shared" si="1"/>
        <v/>
      </c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AB31" s="117"/>
      <c r="AC31" s="117"/>
      <c r="AD31" s="117"/>
      <c r="AE31" s="111" t="s">
        <v>992</v>
      </c>
      <c r="AF31" s="117"/>
    </row>
    <row r="32" spans="1:32">
      <c r="A32" s="111" t="s">
        <v>1172</v>
      </c>
      <c r="B32" s="111" t="str">
        <f t="shared" si="3"/>
        <v/>
      </c>
      <c r="C32" s="111" t="str">
        <f t="shared" si="3"/>
        <v/>
      </c>
      <c r="D32" s="111" t="str">
        <f t="shared" si="3"/>
        <v/>
      </c>
      <c r="E32" s="111" t="str">
        <f t="shared" si="3"/>
        <v/>
      </c>
      <c r="F32" s="111" t="str">
        <f t="shared" si="3"/>
        <v/>
      </c>
      <c r="G32" s="111" t="str">
        <f t="shared" si="3"/>
        <v/>
      </c>
      <c r="H32" s="111" t="str">
        <f t="shared" si="3"/>
        <v/>
      </c>
      <c r="I32" s="111" t="str">
        <f t="shared" si="3"/>
        <v/>
      </c>
      <c r="J32" s="111" t="str">
        <f t="shared" si="3"/>
        <v/>
      </c>
      <c r="K32" s="111" t="str">
        <f t="shared" si="1"/>
        <v/>
      </c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AB32" s="117"/>
      <c r="AC32" s="117"/>
      <c r="AD32" s="117"/>
      <c r="AE32" s="111" t="s">
        <v>993</v>
      </c>
      <c r="AF32" s="117"/>
    </row>
    <row r="33" spans="1:32">
      <c r="A33" s="111" t="s">
        <v>1172</v>
      </c>
      <c r="B33" s="111" t="str">
        <f t="shared" si="3"/>
        <v/>
      </c>
      <c r="C33" s="111" t="str">
        <f t="shared" si="3"/>
        <v/>
      </c>
      <c r="D33" s="111" t="str">
        <f t="shared" si="3"/>
        <v/>
      </c>
      <c r="E33" s="111" t="str">
        <f t="shared" si="3"/>
        <v/>
      </c>
      <c r="F33" s="111" t="str">
        <f t="shared" si="3"/>
        <v/>
      </c>
      <c r="G33" s="111" t="str">
        <f t="shared" si="3"/>
        <v/>
      </c>
      <c r="H33" s="111" t="str">
        <f t="shared" si="3"/>
        <v/>
      </c>
      <c r="I33" s="111" t="str">
        <f t="shared" si="3"/>
        <v/>
      </c>
      <c r="J33" s="111" t="str">
        <f t="shared" si="3"/>
        <v/>
      </c>
      <c r="K33" s="111" t="str">
        <f t="shared" si="1"/>
        <v/>
      </c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AB33" s="117"/>
      <c r="AC33" s="117"/>
      <c r="AD33" s="117"/>
      <c r="AE33" s="111" t="s">
        <v>994</v>
      </c>
      <c r="AF33" s="117"/>
    </row>
    <row r="34" spans="1:32">
      <c r="A34" s="111" t="s">
        <v>1172</v>
      </c>
      <c r="B34" s="111" t="str">
        <f t="shared" si="3"/>
        <v/>
      </c>
      <c r="C34" s="111" t="str">
        <f t="shared" si="3"/>
        <v/>
      </c>
      <c r="D34" s="111" t="str">
        <f t="shared" si="3"/>
        <v/>
      </c>
      <c r="E34" s="111" t="str">
        <f t="shared" si="3"/>
        <v/>
      </c>
      <c r="F34" s="111" t="str">
        <f t="shared" si="3"/>
        <v/>
      </c>
      <c r="G34" s="111" t="str">
        <f t="shared" si="3"/>
        <v/>
      </c>
      <c r="H34" s="111" t="str">
        <f t="shared" si="3"/>
        <v/>
      </c>
      <c r="I34" s="111" t="str">
        <f t="shared" si="3"/>
        <v/>
      </c>
      <c r="J34" s="111" t="str">
        <f t="shared" si="3"/>
        <v/>
      </c>
      <c r="K34" s="111" t="str">
        <f t="shared" si="1"/>
        <v/>
      </c>
      <c r="L34" s="111"/>
      <c r="M34" s="111"/>
      <c r="N34" s="111"/>
      <c r="O34" s="111"/>
      <c r="P34" s="111"/>
      <c r="Q34" s="111"/>
      <c r="R34" s="111"/>
      <c r="S34" s="111"/>
      <c r="T34" s="111"/>
      <c r="U34" s="111"/>
      <c r="V34" s="111"/>
      <c r="W34" s="111"/>
      <c r="X34" s="111"/>
      <c r="AB34" s="117"/>
      <c r="AC34" s="117"/>
      <c r="AD34" s="117"/>
      <c r="AE34" s="111" t="s">
        <v>995</v>
      </c>
      <c r="AF34" s="117"/>
    </row>
    <row r="35" spans="1:32">
      <c r="A35" s="111" t="s">
        <v>1172</v>
      </c>
      <c r="B35" s="111" t="str">
        <f t="shared" si="3"/>
        <v/>
      </c>
      <c r="C35" s="111" t="str">
        <f t="shared" si="3"/>
        <v/>
      </c>
      <c r="D35" s="111" t="str">
        <f t="shared" si="3"/>
        <v/>
      </c>
      <c r="E35" s="111" t="str">
        <f t="shared" si="3"/>
        <v/>
      </c>
      <c r="F35" s="111" t="str">
        <f t="shared" si="3"/>
        <v/>
      </c>
      <c r="G35" s="111" t="str">
        <f t="shared" si="3"/>
        <v/>
      </c>
      <c r="H35" s="111" t="str">
        <f t="shared" si="3"/>
        <v/>
      </c>
      <c r="I35" s="111" t="str">
        <f t="shared" si="3"/>
        <v/>
      </c>
      <c r="J35" s="111" t="str">
        <f t="shared" si="3"/>
        <v/>
      </c>
      <c r="K35" s="111" t="str">
        <f t="shared" si="1"/>
        <v/>
      </c>
      <c r="L35" s="111"/>
      <c r="M35" s="111"/>
      <c r="N35" s="111"/>
      <c r="O35" s="111"/>
      <c r="P35" s="111"/>
      <c r="Q35" s="111"/>
      <c r="R35" s="111"/>
      <c r="S35" s="111"/>
      <c r="T35" s="111"/>
      <c r="U35" s="111"/>
      <c r="V35" s="111"/>
      <c r="W35" s="111"/>
      <c r="X35" s="111"/>
      <c r="AB35" s="117"/>
      <c r="AC35" s="117"/>
      <c r="AD35" s="117"/>
      <c r="AE35" s="111" t="s">
        <v>996</v>
      </c>
      <c r="AF35" s="117"/>
    </row>
    <row r="36" spans="1:32">
      <c r="A36" s="111" t="s">
        <v>1172</v>
      </c>
      <c r="B36" s="111" t="str">
        <f t="shared" si="3"/>
        <v/>
      </c>
      <c r="C36" s="111" t="str">
        <f t="shared" si="3"/>
        <v/>
      </c>
      <c r="D36" s="111" t="str">
        <f t="shared" si="3"/>
        <v/>
      </c>
      <c r="E36" s="111" t="str">
        <f t="shared" si="3"/>
        <v/>
      </c>
      <c r="F36" s="111" t="str">
        <f t="shared" si="3"/>
        <v/>
      </c>
      <c r="G36" s="111" t="str">
        <f t="shared" si="3"/>
        <v/>
      </c>
      <c r="H36" s="111" t="str">
        <f t="shared" si="3"/>
        <v/>
      </c>
      <c r="I36" s="111" t="str">
        <f t="shared" si="3"/>
        <v/>
      </c>
      <c r="J36" s="111" t="str">
        <f t="shared" si="3"/>
        <v/>
      </c>
      <c r="K36" s="111" t="str">
        <f t="shared" si="1"/>
        <v/>
      </c>
      <c r="L36" s="111"/>
      <c r="M36" s="111"/>
      <c r="N36" s="111"/>
      <c r="O36" s="111"/>
      <c r="P36" s="111"/>
      <c r="Q36" s="111"/>
      <c r="R36" s="111"/>
      <c r="S36" s="111"/>
      <c r="T36" s="111"/>
      <c r="U36" s="111"/>
      <c r="V36" s="111" t="s">
        <v>929</v>
      </c>
      <c r="W36" s="111"/>
      <c r="X36" s="111"/>
      <c r="AB36" s="117"/>
      <c r="AC36" s="117"/>
      <c r="AD36" s="117"/>
      <c r="AE36" s="111" t="s">
        <v>997</v>
      </c>
      <c r="AF36" s="117"/>
    </row>
    <row r="37" spans="1:32">
      <c r="A37" s="111" t="s">
        <v>1172</v>
      </c>
      <c r="B37" s="111" t="str">
        <f t="shared" ref="B37:J46" si="4">IF($A37=B$6, $AB$2, "")</f>
        <v/>
      </c>
      <c r="C37" s="111" t="str">
        <f t="shared" si="4"/>
        <v/>
      </c>
      <c r="D37" s="111" t="str">
        <f t="shared" si="4"/>
        <v/>
      </c>
      <c r="E37" s="111" t="str">
        <f t="shared" si="4"/>
        <v/>
      </c>
      <c r="F37" s="111" t="str">
        <f t="shared" si="4"/>
        <v/>
      </c>
      <c r="G37" s="111" t="str">
        <f t="shared" si="4"/>
        <v/>
      </c>
      <c r="H37" s="111" t="str">
        <f t="shared" si="4"/>
        <v/>
      </c>
      <c r="I37" s="111" t="str">
        <f t="shared" si="4"/>
        <v/>
      </c>
      <c r="J37" s="111" t="str">
        <f t="shared" si="4"/>
        <v/>
      </c>
      <c r="K37" s="111" t="str">
        <f t="shared" si="1"/>
        <v/>
      </c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AB37" s="117"/>
      <c r="AC37" s="117"/>
      <c r="AD37" s="117"/>
      <c r="AE37" s="111" t="s">
        <v>998</v>
      </c>
      <c r="AF37" s="117"/>
    </row>
    <row r="38" spans="1:32">
      <c r="A38" s="111" t="s">
        <v>1172</v>
      </c>
      <c r="B38" s="111" t="str">
        <f t="shared" si="4"/>
        <v/>
      </c>
      <c r="C38" s="111" t="str">
        <f t="shared" si="4"/>
        <v/>
      </c>
      <c r="D38" s="111" t="str">
        <f t="shared" si="4"/>
        <v/>
      </c>
      <c r="E38" s="111" t="str">
        <f t="shared" si="4"/>
        <v/>
      </c>
      <c r="F38" s="111" t="str">
        <f t="shared" si="4"/>
        <v/>
      </c>
      <c r="G38" s="111" t="str">
        <f t="shared" si="4"/>
        <v/>
      </c>
      <c r="H38" s="111" t="str">
        <f t="shared" si="4"/>
        <v/>
      </c>
      <c r="I38" s="111" t="str">
        <f t="shared" si="4"/>
        <v/>
      </c>
      <c r="J38" s="111" t="str">
        <f t="shared" si="4"/>
        <v/>
      </c>
      <c r="K38" s="111" t="str">
        <f t="shared" si="1"/>
        <v/>
      </c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AB38" s="117"/>
      <c r="AC38" s="117"/>
      <c r="AD38" s="117"/>
      <c r="AE38" s="111" t="s">
        <v>999</v>
      </c>
      <c r="AF38" s="117"/>
    </row>
    <row r="39" spans="1:32">
      <c r="A39" s="111" t="s">
        <v>1172</v>
      </c>
      <c r="B39" s="111" t="str">
        <f t="shared" si="4"/>
        <v/>
      </c>
      <c r="C39" s="111" t="str">
        <f t="shared" si="4"/>
        <v/>
      </c>
      <c r="D39" s="111" t="str">
        <f t="shared" si="4"/>
        <v/>
      </c>
      <c r="E39" s="111" t="str">
        <f t="shared" si="4"/>
        <v/>
      </c>
      <c r="F39" s="111" t="str">
        <f t="shared" si="4"/>
        <v/>
      </c>
      <c r="G39" s="111" t="str">
        <f t="shared" si="4"/>
        <v/>
      </c>
      <c r="H39" s="111" t="str">
        <f t="shared" si="4"/>
        <v/>
      </c>
      <c r="I39" s="111" t="str">
        <f t="shared" si="4"/>
        <v/>
      </c>
      <c r="J39" s="111" t="str">
        <f t="shared" si="4"/>
        <v/>
      </c>
      <c r="K39" s="111" t="str">
        <f t="shared" si="1"/>
        <v/>
      </c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AB39" s="117"/>
      <c r="AC39" s="117"/>
      <c r="AD39" s="117"/>
      <c r="AE39" s="111" t="s">
        <v>1000</v>
      </c>
      <c r="AF39" s="117"/>
    </row>
    <row r="40" spans="1:32">
      <c r="A40" s="111" t="s">
        <v>1172</v>
      </c>
      <c r="B40" s="111" t="str">
        <f t="shared" si="4"/>
        <v/>
      </c>
      <c r="C40" s="111" t="str">
        <f t="shared" si="4"/>
        <v/>
      </c>
      <c r="D40" s="111" t="str">
        <f t="shared" si="4"/>
        <v/>
      </c>
      <c r="E40" s="111" t="str">
        <f t="shared" si="4"/>
        <v/>
      </c>
      <c r="F40" s="111" t="str">
        <f t="shared" si="4"/>
        <v/>
      </c>
      <c r="G40" s="111" t="str">
        <f t="shared" si="4"/>
        <v/>
      </c>
      <c r="H40" s="111" t="str">
        <f t="shared" si="4"/>
        <v/>
      </c>
      <c r="I40" s="111" t="str">
        <f t="shared" si="4"/>
        <v/>
      </c>
      <c r="J40" s="111" t="str">
        <f t="shared" si="4"/>
        <v/>
      </c>
      <c r="K40" s="111" t="str">
        <f t="shared" si="1"/>
        <v/>
      </c>
      <c r="L40" s="111"/>
      <c r="M40" s="111"/>
      <c r="N40" s="111"/>
      <c r="O40" s="111"/>
      <c r="P40" s="111"/>
      <c r="Q40" s="111"/>
      <c r="R40" s="111"/>
      <c r="S40" s="111"/>
      <c r="T40" s="111"/>
      <c r="U40" s="111"/>
      <c r="V40" s="111"/>
      <c r="W40" s="111"/>
      <c r="X40" s="111"/>
      <c r="AB40" s="117"/>
      <c r="AC40" s="117"/>
      <c r="AD40" s="117"/>
      <c r="AE40" s="111" t="s">
        <v>1001</v>
      </c>
      <c r="AF40" s="117"/>
    </row>
    <row r="41" spans="1:32">
      <c r="A41" s="111" t="s">
        <v>1172</v>
      </c>
      <c r="B41" s="111" t="str">
        <f t="shared" si="4"/>
        <v/>
      </c>
      <c r="C41" s="111" t="str">
        <f t="shared" si="4"/>
        <v/>
      </c>
      <c r="D41" s="111" t="str">
        <f t="shared" si="4"/>
        <v/>
      </c>
      <c r="E41" s="111" t="str">
        <f t="shared" si="4"/>
        <v/>
      </c>
      <c r="F41" s="111" t="str">
        <f t="shared" si="4"/>
        <v/>
      </c>
      <c r="G41" s="111" t="str">
        <f t="shared" si="4"/>
        <v/>
      </c>
      <c r="H41" s="111" t="str">
        <f t="shared" si="4"/>
        <v/>
      </c>
      <c r="I41" s="111" t="str">
        <f t="shared" si="4"/>
        <v/>
      </c>
      <c r="J41" s="111" t="str">
        <f t="shared" si="4"/>
        <v/>
      </c>
      <c r="K41" s="111" t="str">
        <f t="shared" si="1"/>
        <v/>
      </c>
      <c r="L41" s="111"/>
      <c r="M41" s="111"/>
      <c r="N41" s="111"/>
      <c r="O41" s="111"/>
      <c r="P41" s="111"/>
      <c r="Q41" s="111"/>
      <c r="R41" s="111"/>
      <c r="S41" s="111"/>
      <c r="T41" s="111"/>
      <c r="U41" s="111"/>
      <c r="V41" s="111"/>
      <c r="W41" s="111"/>
      <c r="X41" s="111"/>
      <c r="AB41" s="117"/>
      <c r="AC41" s="117"/>
      <c r="AD41" s="117"/>
      <c r="AE41" s="111" t="s">
        <v>1002</v>
      </c>
      <c r="AF41" s="117"/>
    </row>
    <row r="42" spans="1:32">
      <c r="A42" s="111" t="s">
        <v>1172</v>
      </c>
      <c r="B42" s="111" t="str">
        <f t="shared" si="4"/>
        <v/>
      </c>
      <c r="C42" s="111" t="str">
        <f t="shared" si="4"/>
        <v/>
      </c>
      <c r="D42" s="111" t="str">
        <f t="shared" si="4"/>
        <v/>
      </c>
      <c r="E42" s="111" t="str">
        <f t="shared" si="4"/>
        <v/>
      </c>
      <c r="F42" s="111" t="str">
        <f t="shared" si="4"/>
        <v/>
      </c>
      <c r="G42" s="111" t="str">
        <f t="shared" si="4"/>
        <v/>
      </c>
      <c r="H42" s="111" t="str">
        <f t="shared" si="4"/>
        <v/>
      </c>
      <c r="I42" s="111" t="str">
        <f t="shared" si="4"/>
        <v/>
      </c>
      <c r="J42" s="111" t="str">
        <f t="shared" si="4"/>
        <v/>
      </c>
      <c r="K42" s="111" t="str">
        <f t="shared" si="1"/>
        <v/>
      </c>
      <c r="L42" s="111"/>
      <c r="M42" s="111"/>
      <c r="N42" s="111"/>
      <c r="O42" s="111"/>
      <c r="P42" s="111"/>
      <c r="Q42" s="111"/>
      <c r="R42" s="111"/>
      <c r="S42" s="111"/>
      <c r="T42" s="111"/>
      <c r="U42" s="111"/>
      <c r="V42" s="111"/>
      <c r="W42" s="111"/>
      <c r="X42" s="111"/>
    </row>
    <row r="43" spans="1:32">
      <c r="A43" s="111" t="s">
        <v>1172</v>
      </c>
      <c r="B43" s="111" t="str">
        <f t="shared" si="4"/>
        <v/>
      </c>
      <c r="C43" s="111" t="str">
        <f t="shared" si="4"/>
        <v/>
      </c>
      <c r="D43" s="111" t="str">
        <f t="shared" si="4"/>
        <v/>
      </c>
      <c r="E43" s="111" t="str">
        <f t="shared" si="4"/>
        <v/>
      </c>
      <c r="F43" s="111" t="str">
        <f t="shared" si="4"/>
        <v/>
      </c>
      <c r="G43" s="111" t="str">
        <f t="shared" si="4"/>
        <v/>
      </c>
      <c r="H43" s="111" t="str">
        <f t="shared" si="4"/>
        <v/>
      </c>
      <c r="I43" s="111" t="str">
        <f t="shared" si="4"/>
        <v/>
      </c>
      <c r="J43" s="111" t="str">
        <f t="shared" si="4"/>
        <v/>
      </c>
      <c r="K43" s="111" t="str">
        <f t="shared" si="1"/>
        <v/>
      </c>
      <c r="L43" s="111"/>
      <c r="M43" s="111"/>
      <c r="N43" s="111"/>
      <c r="O43" s="111"/>
      <c r="P43" s="111"/>
      <c r="Q43" s="111"/>
      <c r="R43" s="111"/>
      <c r="S43" s="111"/>
      <c r="T43" s="111"/>
      <c r="U43" s="111"/>
      <c r="V43" s="111"/>
      <c r="W43" s="111"/>
      <c r="X43" s="111"/>
    </row>
    <row r="44" spans="1:32">
      <c r="A44" s="111" t="s">
        <v>1172</v>
      </c>
      <c r="B44" s="111" t="str">
        <f t="shared" si="4"/>
        <v/>
      </c>
      <c r="C44" s="111" t="str">
        <f t="shared" si="4"/>
        <v/>
      </c>
      <c r="D44" s="111" t="str">
        <f t="shared" si="4"/>
        <v/>
      </c>
      <c r="E44" s="111" t="str">
        <f t="shared" si="4"/>
        <v/>
      </c>
      <c r="F44" s="111" t="str">
        <f t="shared" si="4"/>
        <v/>
      </c>
      <c r="G44" s="111" t="str">
        <f t="shared" si="4"/>
        <v/>
      </c>
      <c r="H44" s="111" t="str">
        <f t="shared" si="4"/>
        <v/>
      </c>
      <c r="I44" s="111" t="str">
        <f t="shared" si="4"/>
        <v/>
      </c>
      <c r="J44" s="111" t="str">
        <f t="shared" si="4"/>
        <v/>
      </c>
      <c r="K44" s="111" t="str">
        <f t="shared" si="1"/>
        <v/>
      </c>
      <c r="L44" s="111"/>
      <c r="M44" s="111"/>
      <c r="N44" s="111"/>
      <c r="O44" s="111"/>
      <c r="P44" s="111"/>
      <c r="Q44" s="111"/>
      <c r="R44" s="111"/>
      <c r="S44" s="111"/>
      <c r="T44" s="111"/>
      <c r="U44" s="111"/>
      <c r="V44" s="111"/>
      <c r="W44" s="111"/>
      <c r="X44" s="111"/>
    </row>
    <row r="45" spans="1:32">
      <c r="A45" s="111" t="s">
        <v>1172</v>
      </c>
      <c r="B45" s="111" t="str">
        <f t="shared" si="4"/>
        <v/>
      </c>
      <c r="C45" s="111" t="str">
        <f t="shared" si="4"/>
        <v/>
      </c>
      <c r="D45" s="111" t="str">
        <f t="shared" si="4"/>
        <v/>
      </c>
      <c r="E45" s="111" t="str">
        <f t="shared" si="4"/>
        <v/>
      </c>
      <c r="F45" s="111" t="str">
        <f t="shared" si="4"/>
        <v/>
      </c>
      <c r="G45" s="111" t="str">
        <f t="shared" si="4"/>
        <v/>
      </c>
      <c r="H45" s="111" t="str">
        <f t="shared" si="4"/>
        <v/>
      </c>
      <c r="I45" s="111" t="str">
        <f t="shared" si="4"/>
        <v/>
      </c>
      <c r="J45" s="111" t="str">
        <f t="shared" si="4"/>
        <v/>
      </c>
      <c r="K45" s="111" t="str">
        <f t="shared" si="1"/>
        <v/>
      </c>
      <c r="L45" s="111"/>
      <c r="M45" s="111"/>
      <c r="N45" s="111"/>
      <c r="O45" s="111"/>
      <c r="P45" s="111"/>
      <c r="Q45" s="111"/>
      <c r="R45" s="111"/>
      <c r="S45" s="111"/>
      <c r="T45" s="111"/>
      <c r="U45" s="111"/>
      <c r="V45" s="111"/>
      <c r="W45" s="111"/>
      <c r="X45" s="111"/>
    </row>
    <row r="46" spans="1:32">
      <c r="A46" s="111" t="s">
        <v>1172</v>
      </c>
      <c r="B46" s="111" t="str">
        <f t="shared" si="4"/>
        <v/>
      </c>
      <c r="C46" s="111" t="str">
        <f t="shared" si="4"/>
        <v/>
      </c>
      <c r="D46" s="111" t="str">
        <f t="shared" si="4"/>
        <v/>
      </c>
      <c r="E46" s="111" t="str">
        <f t="shared" si="4"/>
        <v/>
      </c>
      <c r="F46" s="111" t="str">
        <f t="shared" si="4"/>
        <v/>
      </c>
      <c r="G46" s="111" t="str">
        <f t="shared" si="4"/>
        <v/>
      </c>
      <c r="H46" s="111" t="str">
        <f t="shared" si="4"/>
        <v/>
      </c>
      <c r="I46" s="111" t="str">
        <f t="shared" si="4"/>
        <v/>
      </c>
      <c r="J46" s="111" t="str">
        <f t="shared" si="4"/>
        <v/>
      </c>
      <c r="K46" s="111" t="str">
        <f t="shared" si="1"/>
        <v/>
      </c>
      <c r="L46" s="111"/>
      <c r="M46" s="111"/>
      <c r="N46" s="111"/>
      <c r="O46" s="111"/>
      <c r="P46" s="111"/>
      <c r="Q46" s="111"/>
      <c r="R46" s="111"/>
      <c r="S46" s="111"/>
      <c r="T46" s="111"/>
      <c r="U46" s="111"/>
      <c r="V46" s="111"/>
      <c r="W46" s="111"/>
      <c r="X46" s="111"/>
    </row>
    <row r="47" spans="1:32">
      <c r="A47" s="111" t="s">
        <v>1172</v>
      </c>
      <c r="B47" s="111" t="str">
        <f t="shared" ref="B47:J56" si="5">IF($A47=B$6, $AB$2, "")</f>
        <v/>
      </c>
      <c r="C47" s="111" t="str">
        <f t="shared" si="5"/>
        <v/>
      </c>
      <c r="D47" s="111" t="str">
        <f t="shared" si="5"/>
        <v/>
      </c>
      <c r="E47" s="111" t="str">
        <f t="shared" si="5"/>
        <v/>
      </c>
      <c r="F47" s="111" t="str">
        <f t="shared" si="5"/>
        <v/>
      </c>
      <c r="G47" s="111" t="str">
        <f t="shared" si="5"/>
        <v/>
      </c>
      <c r="H47" s="111" t="str">
        <f t="shared" si="5"/>
        <v/>
      </c>
      <c r="I47" s="111" t="str">
        <f t="shared" si="5"/>
        <v/>
      </c>
      <c r="J47" s="111" t="str">
        <f t="shared" si="5"/>
        <v/>
      </c>
      <c r="K47" s="111" t="str">
        <f t="shared" si="1"/>
        <v/>
      </c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</row>
    <row r="48" spans="1:32">
      <c r="A48" s="111" t="s">
        <v>1172</v>
      </c>
      <c r="B48" s="111" t="str">
        <f t="shared" si="5"/>
        <v/>
      </c>
      <c r="C48" s="111" t="str">
        <f t="shared" si="5"/>
        <v/>
      </c>
      <c r="D48" s="111" t="str">
        <f t="shared" si="5"/>
        <v/>
      </c>
      <c r="E48" s="111" t="str">
        <f t="shared" si="5"/>
        <v/>
      </c>
      <c r="F48" s="111" t="str">
        <f t="shared" si="5"/>
        <v/>
      </c>
      <c r="G48" s="111" t="str">
        <f t="shared" si="5"/>
        <v/>
      </c>
      <c r="H48" s="111" t="str">
        <f t="shared" si="5"/>
        <v/>
      </c>
      <c r="I48" s="111" t="str">
        <f t="shared" si="5"/>
        <v/>
      </c>
      <c r="J48" s="111" t="str">
        <f t="shared" si="5"/>
        <v/>
      </c>
      <c r="K48" s="111" t="str">
        <f t="shared" si="1"/>
        <v/>
      </c>
      <c r="L48" s="111"/>
      <c r="M48" s="111"/>
      <c r="N48" s="111"/>
      <c r="O48" s="111"/>
      <c r="P48" s="111"/>
      <c r="Q48" s="111"/>
      <c r="R48" s="111"/>
      <c r="S48" s="111"/>
      <c r="T48" s="111"/>
      <c r="U48" s="111"/>
      <c r="V48" s="111"/>
      <c r="W48" s="111"/>
      <c r="X48" s="111"/>
    </row>
    <row r="49" spans="1:24">
      <c r="A49" s="111" t="s">
        <v>1172</v>
      </c>
      <c r="B49" s="111" t="str">
        <f t="shared" si="5"/>
        <v/>
      </c>
      <c r="C49" s="111" t="str">
        <f t="shared" si="5"/>
        <v/>
      </c>
      <c r="D49" s="111" t="str">
        <f t="shared" si="5"/>
        <v/>
      </c>
      <c r="E49" s="111" t="str">
        <f t="shared" si="5"/>
        <v/>
      </c>
      <c r="F49" s="111" t="str">
        <f t="shared" si="5"/>
        <v/>
      </c>
      <c r="G49" s="111" t="str">
        <f t="shared" si="5"/>
        <v/>
      </c>
      <c r="H49" s="111" t="str">
        <f t="shared" si="5"/>
        <v/>
      </c>
      <c r="I49" s="111" t="str">
        <f t="shared" si="5"/>
        <v/>
      </c>
      <c r="J49" s="111" t="str">
        <f t="shared" si="5"/>
        <v/>
      </c>
      <c r="K49" s="111" t="str">
        <f t="shared" si="1"/>
        <v/>
      </c>
      <c r="L49" s="111"/>
      <c r="M49" s="111"/>
      <c r="N49" s="111"/>
      <c r="O49" s="111"/>
      <c r="P49" s="111"/>
      <c r="Q49" s="111"/>
      <c r="R49" s="111"/>
      <c r="S49" s="111"/>
      <c r="T49" s="111"/>
      <c r="U49" s="111"/>
      <c r="V49" s="111"/>
      <c r="W49" s="111"/>
      <c r="X49" s="111"/>
    </row>
    <row r="50" spans="1:24">
      <c r="A50" s="111" t="s">
        <v>1172</v>
      </c>
      <c r="B50" s="111" t="str">
        <f t="shared" si="5"/>
        <v/>
      </c>
      <c r="C50" s="111" t="str">
        <f t="shared" si="5"/>
        <v/>
      </c>
      <c r="D50" s="111" t="str">
        <f t="shared" si="5"/>
        <v/>
      </c>
      <c r="E50" s="111" t="str">
        <f t="shared" si="5"/>
        <v/>
      </c>
      <c r="F50" s="111" t="str">
        <f t="shared" si="5"/>
        <v/>
      </c>
      <c r="G50" s="111" t="str">
        <f t="shared" si="5"/>
        <v/>
      </c>
      <c r="H50" s="111" t="str">
        <f t="shared" si="5"/>
        <v/>
      </c>
      <c r="I50" s="111" t="str">
        <f t="shared" si="5"/>
        <v/>
      </c>
      <c r="J50" s="111" t="str">
        <f t="shared" si="5"/>
        <v/>
      </c>
      <c r="K50" s="111" t="str">
        <f t="shared" si="1"/>
        <v/>
      </c>
      <c r="L50" s="111"/>
      <c r="M50" s="111"/>
      <c r="N50" s="111"/>
      <c r="O50" s="111"/>
      <c r="P50" s="111"/>
      <c r="Q50" s="111"/>
      <c r="R50" s="111"/>
      <c r="S50" s="111"/>
      <c r="T50" s="111"/>
      <c r="U50" s="111"/>
      <c r="V50" s="111"/>
      <c r="W50" s="111"/>
      <c r="X50" s="111"/>
    </row>
    <row r="51" spans="1:24">
      <c r="A51" s="111" t="s">
        <v>1172</v>
      </c>
      <c r="B51" s="111" t="str">
        <f t="shared" si="5"/>
        <v/>
      </c>
      <c r="C51" s="111" t="str">
        <f t="shared" si="5"/>
        <v/>
      </c>
      <c r="D51" s="111" t="str">
        <f t="shared" si="5"/>
        <v/>
      </c>
      <c r="E51" s="111" t="str">
        <f t="shared" si="5"/>
        <v/>
      </c>
      <c r="F51" s="111" t="str">
        <f t="shared" si="5"/>
        <v/>
      </c>
      <c r="G51" s="111" t="str">
        <f t="shared" si="5"/>
        <v/>
      </c>
      <c r="H51" s="111" t="str">
        <f t="shared" si="5"/>
        <v/>
      </c>
      <c r="I51" s="111" t="str">
        <f t="shared" si="5"/>
        <v/>
      </c>
      <c r="J51" s="111" t="str">
        <f t="shared" si="5"/>
        <v/>
      </c>
      <c r="K51" s="111" t="str">
        <f t="shared" si="1"/>
        <v/>
      </c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</row>
    <row r="52" spans="1:24">
      <c r="A52" s="111" t="s">
        <v>1172</v>
      </c>
      <c r="B52" s="111" t="str">
        <f t="shared" si="5"/>
        <v/>
      </c>
      <c r="C52" s="111" t="str">
        <f t="shared" si="5"/>
        <v/>
      </c>
      <c r="D52" s="111" t="str">
        <f t="shared" si="5"/>
        <v/>
      </c>
      <c r="E52" s="111" t="str">
        <f t="shared" si="5"/>
        <v/>
      </c>
      <c r="F52" s="111" t="str">
        <f t="shared" si="5"/>
        <v/>
      </c>
      <c r="G52" s="111" t="str">
        <f t="shared" si="5"/>
        <v/>
      </c>
      <c r="H52" s="111" t="str">
        <f t="shared" si="5"/>
        <v/>
      </c>
      <c r="I52" s="111" t="str">
        <f t="shared" si="5"/>
        <v/>
      </c>
      <c r="J52" s="111" t="str">
        <f t="shared" si="5"/>
        <v/>
      </c>
      <c r="K52" s="111" t="str">
        <f t="shared" si="1"/>
        <v/>
      </c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</row>
    <row r="53" spans="1:24">
      <c r="A53" s="111" t="s">
        <v>1172</v>
      </c>
      <c r="B53" s="111" t="str">
        <f t="shared" si="5"/>
        <v/>
      </c>
      <c r="C53" s="111" t="str">
        <f t="shared" si="5"/>
        <v/>
      </c>
      <c r="D53" s="111" t="str">
        <f t="shared" si="5"/>
        <v/>
      </c>
      <c r="E53" s="111" t="str">
        <f t="shared" si="5"/>
        <v/>
      </c>
      <c r="F53" s="111" t="str">
        <f t="shared" si="5"/>
        <v/>
      </c>
      <c r="G53" s="111" t="str">
        <f t="shared" si="5"/>
        <v/>
      </c>
      <c r="H53" s="111" t="str">
        <f t="shared" si="5"/>
        <v/>
      </c>
      <c r="I53" s="111" t="str">
        <f t="shared" si="5"/>
        <v/>
      </c>
      <c r="J53" s="111" t="str">
        <f t="shared" si="5"/>
        <v/>
      </c>
      <c r="K53" s="111" t="str">
        <f t="shared" si="1"/>
        <v/>
      </c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</row>
    <row r="54" spans="1:24">
      <c r="A54" s="111" t="s">
        <v>1172</v>
      </c>
      <c r="B54" s="111" t="str">
        <f t="shared" si="5"/>
        <v/>
      </c>
      <c r="C54" s="111" t="str">
        <f t="shared" si="5"/>
        <v/>
      </c>
      <c r="D54" s="111" t="str">
        <f t="shared" si="5"/>
        <v/>
      </c>
      <c r="E54" s="111" t="str">
        <f t="shared" si="5"/>
        <v/>
      </c>
      <c r="F54" s="111" t="str">
        <f t="shared" si="5"/>
        <v/>
      </c>
      <c r="G54" s="111" t="str">
        <f t="shared" si="5"/>
        <v/>
      </c>
      <c r="H54" s="111" t="str">
        <f t="shared" si="5"/>
        <v/>
      </c>
      <c r="I54" s="111" t="str">
        <f t="shared" si="5"/>
        <v/>
      </c>
      <c r="J54" s="111" t="str">
        <f t="shared" si="5"/>
        <v/>
      </c>
      <c r="K54" s="111" t="str">
        <f t="shared" si="1"/>
        <v/>
      </c>
      <c r="L54" s="111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  <c r="X54" s="111"/>
    </row>
    <row r="55" spans="1:24">
      <c r="A55" s="111" t="s">
        <v>1172</v>
      </c>
      <c r="B55" s="111" t="str">
        <f t="shared" si="5"/>
        <v/>
      </c>
      <c r="C55" s="111" t="str">
        <f t="shared" si="5"/>
        <v/>
      </c>
      <c r="D55" s="111" t="str">
        <f t="shared" si="5"/>
        <v/>
      </c>
      <c r="E55" s="111" t="str">
        <f t="shared" si="5"/>
        <v/>
      </c>
      <c r="F55" s="111" t="str">
        <f t="shared" si="5"/>
        <v/>
      </c>
      <c r="G55" s="111" t="str">
        <f t="shared" si="5"/>
        <v/>
      </c>
      <c r="H55" s="111" t="str">
        <f t="shared" si="5"/>
        <v/>
      </c>
      <c r="I55" s="111" t="str">
        <f t="shared" si="5"/>
        <v/>
      </c>
      <c r="J55" s="111" t="str">
        <f t="shared" si="5"/>
        <v/>
      </c>
      <c r="K55" s="111" t="str">
        <f t="shared" si="1"/>
        <v/>
      </c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</row>
    <row r="56" spans="1:24">
      <c r="A56" s="111" t="s">
        <v>1172</v>
      </c>
      <c r="B56" s="111" t="str">
        <f t="shared" si="5"/>
        <v/>
      </c>
      <c r="C56" s="111" t="str">
        <f t="shared" si="5"/>
        <v/>
      </c>
      <c r="D56" s="111" t="str">
        <f t="shared" si="5"/>
        <v/>
      </c>
      <c r="E56" s="111" t="str">
        <f t="shared" si="5"/>
        <v/>
      </c>
      <c r="F56" s="111" t="str">
        <f t="shared" si="5"/>
        <v/>
      </c>
      <c r="G56" s="111" t="str">
        <f t="shared" si="5"/>
        <v/>
      </c>
      <c r="H56" s="111" t="str">
        <f t="shared" si="5"/>
        <v/>
      </c>
      <c r="I56" s="111" t="str">
        <f t="shared" si="5"/>
        <v/>
      </c>
      <c r="J56" s="111" t="str">
        <f t="shared" si="5"/>
        <v/>
      </c>
      <c r="K56" s="111" t="str">
        <f t="shared" si="1"/>
        <v/>
      </c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</row>
    <row r="57" spans="1:24">
      <c r="A57" s="111" t="s">
        <v>1172</v>
      </c>
      <c r="B57" s="111" t="str">
        <f t="shared" ref="B57:J62" si="6">IF($A57=B$6, $AB$2, "")</f>
        <v/>
      </c>
      <c r="C57" s="111" t="str">
        <f t="shared" si="6"/>
        <v/>
      </c>
      <c r="D57" s="111" t="str">
        <f t="shared" si="6"/>
        <v/>
      </c>
      <c r="E57" s="111" t="str">
        <f t="shared" si="6"/>
        <v/>
      </c>
      <c r="F57" s="111" t="str">
        <f t="shared" si="6"/>
        <v/>
      </c>
      <c r="G57" s="111" t="str">
        <f t="shared" si="6"/>
        <v/>
      </c>
      <c r="H57" s="111" t="str">
        <f t="shared" si="6"/>
        <v/>
      </c>
      <c r="I57" s="111" t="str">
        <f t="shared" si="6"/>
        <v/>
      </c>
      <c r="J57" s="111" t="str">
        <f t="shared" si="6"/>
        <v/>
      </c>
      <c r="K57" s="111" t="str">
        <f t="shared" si="1"/>
        <v/>
      </c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</row>
    <row r="58" spans="1:24">
      <c r="A58" s="111" t="s">
        <v>1172</v>
      </c>
      <c r="B58" s="111" t="str">
        <f t="shared" si="6"/>
        <v/>
      </c>
      <c r="C58" s="111" t="str">
        <f t="shared" si="6"/>
        <v/>
      </c>
      <c r="D58" s="111" t="str">
        <f t="shared" si="6"/>
        <v/>
      </c>
      <c r="E58" s="111" t="str">
        <f t="shared" si="6"/>
        <v/>
      </c>
      <c r="F58" s="111" t="str">
        <f t="shared" si="6"/>
        <v/>
      </c>
      <c r="G58" s="111" t="str">
        <f t="shared" si="6"/>
        <v/>
      </c>
      <c r="H58" s="111" t="str">
        <f t="shared" si="6"/>
        <v/>
      </c>
      <c r="I58" s="111" t="str">
        <f t="shared" si="6"/>
        <v/>
      </c>
      <c r="J58" s="111" t="str">
        <f t="shared" si="6"/>
        <v/>
      </c>
      <c r="K58" s="111" t="str">
        <f t="shared" si="1"/>
        <v/>
      </c>
      <c r="L58" s="111"/>
      <c r="M58" s="111"/>
      <c r="N58" s="111"/>
      <c r="O58" s="111"/>
      <c r="P58" s="111"/>
      <c r="Q58" s="111"/>
      <c r="R58" s="111"/>
      <c r="S58" s="111"/>
      <c r="T58" s="111"/>
      <c r="U58" s="111"/>
      <c r="V58" s="111"/>
      <c r="W58" s="111"/>
      <c r="X58" s="111"/>
    </row>
    <row r="59" spans="1:24">
      <c r="A59" s="111" t="s">
        <v>1172</v>
      </c>
      <c r="B59" s="111" t="str">
        <f t="shared" si="6"/>
        <v/>
      </c>
      <c r="C59" s="111" t="str">
        <f t="shared" si="6"/>
        <v/>
      </c>
      <c r="D59" s="111" t="str">
        <f t="shared" si="6"/>
        <v/>
      </c>
      <c r="E59" s="111" t="str">
        <f t="shared" si="6"/>
        <v/>
      </c>
      <c r="F59" s="111" t="str">
        <f t="shared" si="6"/>
        <v/>
      </c>
      <c r="G59" s="111" t="str">
        <f t="shared" si="6"/>
        <v/>
      </c>
      <c r="H59" s="111" t="str">
        <f t="shared" si="6"/>
        <v/>
      </c>
      <c r="I59" s="111" t="str">
        <f t="shared" si="6"/>
        <v/>
      </c>
      <c r="J59" s="111" t="str">
        <f t="shared" si="6"/>
        <v/>
      </c>
      <c r="K59" s="111" t="str">
        <f t="shared" si="1"/>
        <v/>
      </c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</row>
    <row r="60" spans="1:24">
      <c r="A60" s="111" t="s">
        <v>1172</v>
      </c>
      <c r="B60" s="111" t="str">
        <f t="shared" si="6"/>
        <v/>
      </c>
      <c r="C60" s="111" t="str">
        <f t="shared" si="6"/>
        <v/>
      </c>
      <c r="D60" s="111" t="str">
        <f t="shared" si="6"/>
        <v/>
      </c>
      <c r="E60" s="111" t="str">
        <f t="shared" si="6"/>
        <v/>
      </c>
      <c r="F60" s="111" t="str">
        <f t="shared" si="6"/>
        <v/>
      </c>
      <c r="G60" s="111" t="str">
        <f t="shared" si="6"/>
        <v/>
      </c>
      <c r="H60" s="111" t="str">
        <f t="shared" si="6"/>
        <v/>
      </c>
      <c r="I60" s="111" t="str">
        <f t="shared" si="6"/>
        <v/>
      </c>
      <c r="J60" s="111" t="str">
        <f t="shared" si="6"/>
        <v/>
      </c>
      <c r="K60" s="111" t="str">
        <f t="shared" si="1"/>
        <v/>
      </c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</row>
    <row r="61" spans="1:24">
      <c r="A61" s="111" t="s">
        <v>1172</v>
      </c>
      <c r="B61" s="111" t="str">
        <f t="shared" si="6"/>
        <v/>
      </c>
      <c r="C61" s="111" t="str">
        <f t="shared" si="6"/>
        <v/>
      </c>
      <c r="D61" s="111" t="str">
        <f t="shared" si="6"/>
        <v/>
      </c>
      <c r="E61" s="111" t="str">
        <f t="shared" si="6"/>
        <v/>
      </c>
      <c r="F61" s="111" t="str">
        <f t="shared" si="6"/>
        <v/>
      </c>
      <c r="G61" s="111" t="str">
        <f t="shared" si="6"/>
        <v/>
      </c>
      <c r="H61" s="111" t="str">
        <f t="shared" si="6"/>
        <v/>
      </c>
      <c r="I61" s="111" t="str">
        <f t="shared" si="6"/>
        <v/>
      </c>
      <c r="J61" s="111" t="str">
        <f t="shared" si="6"/>
        <v/>
      </c>
      <c r="K61" s="111" t="str">
        <f t="shared" si="1"/>
        <v/>
      </c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</row>
    <row r="62" spans="1:24">
      <c r="A62" s="111" t="s">
        <v>1172</v>
      </c>
      <c r="B62" s="111" t="str">
        <f t="shared" si="6"/>
        <v/>
      </c>
      <c r="C62" s="111" t="str">
        <f t="shared" si="6"/>
        <v/>
      </c>
      <c r="D62" s="111" t="str">
        <f t="shared" si="6"/>
        <v/>
      </c>
      <c r="E62" s="111" t="str">
        <f t="shared" si="6"/>
        <v/>
      </c>
      <c r="F62" s="111" t="str">
        <f t="shared" si="6"/>
        <v/>
      </c>
      <c r="G62" s="111" t="str">
        <f t="shared" si="6"/>
        <v/>
      </c>
      <c r="H62" s="111" t="str">
        <f t="shared" si="6"/>
        <v/>
      </c>
      <c r="I62" s="111" t="str">
        <f t="shared" si="6"/>
        <v/>
      </c>
      <c r="J62" s="111" t="str">
        <f t="shared" si="6"/>
        <v/>
      </c>
      <c r="K62" s="111" t="str">
        <f t="shared" si="1"/>
        <v/>
      </c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</row>
  </sheetData>
  <mergeCells count="2">
    <mergeCell ref="A5:J5"/>
    <mergeCell ref="L5:X5"/>
  </mergeCells>
  <phoneticPr fontId="47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E7C34-4007-CA45-A8A5-2B60D05AB872}">
  <sheetPr codeName="Sheet10"/>
  <dimension ref="A2:I12"/>
  <sheetViews>
    <sheetView workbookViewId="0">
      <selection activeCell="A5" sqref="A5:I12"/>
    </sheetView>
  </sheetViews>
  <sheetFormatPr defaultColWidth="11" defaultRowHeight="15.5"/>
  <cols>
    <col min="1" max="1" width="14.5" customWidth="1"/>
    <col min="2" max="2" width="23" customWidth="1"/>
    <col min="3" max="3" width="22.1640625" bestFit="1" customWidth="1"/>
    <col min="4" max="4" width="11.5" bestFit="1" customWidth="1"/>
    <col min="5" max="5" width="11" bestFit="1" customWidth="1"/>
    <col min="6" max="6" width="13.5" customWidth="1"/>
    <col min="7" max="7" width="16.33203125" bestFit="1" customWidth="1"/>
    <col min="8" max="8" width="13.5" customWidth="1"/>
  </cols>
  <sheetData>
    <row r="2" spans="1:9">
      <c r="A2" s="5" t="s">
        <v>1003</v>
      </c>
      <c r="B2" s="5" t="str">
        <f>'S15 BOM'!M9</f>
        <v>Frame</v>
      </c>
      <c r="C2" s="5"/>
      <c r="D2" s="5"/>
      <c r="E2" s="5"/>
      <c r="F2" s="5"/>
      <c r="G2" s="5"/>
      <c r="H2" s="5"/>
      <c r="I2" s="5"/>
    </row>
    <row r="3" spans="1:9">
      <c r="A3" s="5" t="s">
        <v>287</v>
      </c>
      <c r="B3" s="5" t="str">
        <f>'S15 BOM'!V9</f>
        <v>Stainless Steel X12Cr13</v>
      </c>
      <c r="C3" s="5"/>
      <c r="D3" s="5"/>
      <c r="E3" s="5"/>
      <c r="F3" s="5"/>
      <c r="G3" s="5"/>
      <c r="H3" s="5"/>
      <c r="I3" s="5"/>
    </row>
    <row r="4" spans="1:9">
      <c r="A4" s="266" t="s">
        <v>0</v>
      </c>
      <c r="B4" s="5" t="s">
        <v>1004</v>
      </c>
      <c r="C4" s="5" t="s">
        <v>1005</v>
      </c>
      <c r="D4" s="5" t="s">
        <v>1006</v>
      </c>
      <c r="E4" s="5" t="s">
        <v>1007</v>
      </c>
      <c r="F4" s="5" t="s">
        <v>1008</v>
      </c>
      <c r="G4" s="5" t="s">
        <v>1009</v>
      </c>
      <c r="H4" s="5" t="s">
        <v>1010</v>
      </c>
      <c r="I4" s="5" t="s">
        <v>1011</v>
      </c>
    </row>
    <row r="5" spans="1:9">
      <c r="A5" s="3">
        <v>10</v>
      </c>
      <c r="B5" s="3" t="s">
        <v>1012</v>
      </c>
      <c r="C5" s="3" t="s">
        <v>1013</v>
      </c>
      <c r="D5" s="3"/>
      <c r="E5" s="3"/>
      <c r="F5" s="3"/>
      <c r="G5" s="3"/>
      <c r="H5" s="3">
        <v>200</v>
      </c>
      <c r="I5" s="3"/>
    </row>
    <row r="6" spans="1:9">
      <c r="A6" s="3">
        <v>20</v>
      </c>
      <c r="B6" s="3" t="s">
        <v>1014</v>
      </c>
      <c r="C6" s="3" t="s">
        <v>1015</v>
      </c>
      <c r="D6" s="3">
        <v>750</v>
      </c>
      <c r="E6" s="3">
        <v>250</v>
      </c>
      <c r="F6" s="3"/>
      <c r="G6" s="3">
        <v>120</v>
      </c>
      <c r="H6" s="3">
        <v>200</v>
      </c>
      <c r="I6" s="3"/>
    </row>
    <row r="7" spans="1:9">
      <c r="A7" s="3">
        <v>30</v>
      </c>
      <c r="B7" s="3" t="s">
        <v>1016</v>
      </c>
      <c r="C7" s="3" t="s">
        <v>1017</v>
      </c>
      <c r="D7" s="3"/>
      <c r="E7" s="3"/>
      <c r="F7" s="3"/>
      <c r="G7" s="3">
        <v>600</v>
      </c>
      <c r="H7" s="3">
        <v>200</v>
      </c>
      <c r="I7" s="3"/>
    </row>
    <row r="8" spans="1:9">
      <c r="A8" s="3">
        <v>40</v>
      </c>
      <c r="B8" s="3" t="s">
        <v>1018</v>
      </c>
      <c r="C8" s="3" t="s">
        <v>1019</v>
      </c>
      <c r="D8" s="3"/>
      <c r="E8" s="3"/>
      <c r="F8" s="3"/>
      <c r="G8" s="3">
        <v>480</v>
      </c>
      <c r="H8" s="3">
        <v>200</v>
      </c>
      <c r="I8" s="3"/>
    </row>
    <row r="9" spans="1:9">
      <c r="A9" s="3">
        <v>50</v>
      </c>
      <c r="B9" s="3" t="s">
        <v>1020</v>
      </c>
      <c r="C9" s="3" t="s">
        <v>1021</v>
      </c>
      <c r="D9" s="3"/>
      <c r="E9" s="3"/>
      <c r="F9" s="3"/>
      <c r="G9" s="3">
        <v>180</v>
      </c>
      <c r="H9" s="3">
        <v>200</v>
      </c>
      <c r="I9" s="3" t="s">
        <v>1022</v>
      </c>
    </row>
    <row r="10" spans="1:9">
      <c r="A10" s="3">
        <v>60</v>
      </c>
      <c r="B10" s="3" t="s">
        <v>1023</v>
      </c>
      <c r="C10" s="3" t="s">
        <v>1024</v>
      </c>
      <c r="D10" s="3">
        <v>10</v>
      </c>
      <c r="E10" s="3">
        <v>250</v>
      </c>
      <c r="F10" s="3"/>
      <c r="G10" s="3">
        <v>720</v>
      </c>
      <c r="H10" s="3">
        <v>200</v>
      </c>
      <c r="I10" s="3"/>
    </row>
    <row r="11" spans="1:9">
      <c r="A11" s="3">
        <v>70</v>
      </c>
      <c r="B11" s="3" t="s">
        <v>1025</v>
      </c>
      <c r="C11" s="3" t="s">
        <v>1026</v>
      </c>
      <c r="D11" s="3"/>
      <c r="E11" s="3"/>
      <c r="F11" s="3"/>
      <c r="G11" s="3">
        <v>300</v>
      </c>
      <c r="H11" s="3">
        <v>200</v>
      </c>
      <c r="I11" s="3"/>
    </row>
    <row r="12" spans="1:9">
      <c r="A12" s="3">
        <v>80</v>
      </c>
      <c r="B12" s="3" t="s">
        <v>1027</v>
      </c>
      <c r="C12" s="3" t="s">
        <v>1028</v>
      </c>
      <c r="D12" s="3"/>
      <c r="E12" s="3"/>
      <c r="F12" s="3"/>
      <c r="G12" s="3"/>
      <c r="H12" s="3">
        <v>200</v>
      </c>
      <c r="I12" s="3"/>
    </row>
  </sheetData>
  <pageMargins left="0.7" right="0.7" top="0.75" bottom="0.75" header="0.3" footer="0.3"/>
  <pageSetup orientation="portrait" horizontalDpi="4294967293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B0E05-4A06-A348-9075-AF58842E4FDF}">
  <sheetPr codeName="Sheet11"/>
  <dimension ref="A1:F45"/>
  <sheetViews>
    <sheetView zoomScale="177" workbookViewId="0">
      <selection activeCell="B3" sqref="B3"/>
    </sheetView>
  </sheetViews>
  <sheetFormatPr defaultColWidth="11" defaultRowHeight="15.5"/>
  <cols>
    <col min="1" max="1" width="17.33203125" customWidth="1"/>
    <col min="2" max="2" width="24.5" customWidth="1"/>
    <col min="3" max="3" width="20.6640625" customWidth="1"/>
    <col min="4" max="4" width="16.33203125" customWidth="1"/>
    <col min="5" max="5" width="13.5" customWidth="1"/>
    <col min="6" max="6" width="15.33203125" customWidth="1"/>
  </cols>
  <sheetData>
    <row r="1" spans="1:6">
      <c r="A1" s="2" t="s">
        <v>1005</v>
      </c>
      <c r="B1" s="2" t="s">
        <v>1029</v>
      </c>
      <c r="C1" s="1" t="s">
        <v>1030</v>
      </c>
      <c r="D1" s="1" t="s">
        <v>1031</v>
      </c>
      <c r="E1" s="19" t="s">
        <v>1032</v>
      </c>
      <c r="F1" s="19" t="s">
        <v>1033</v>
      </c>
    </row>
    <row r="2" spans="1:6">
      <c r="A2" s="273" t="s">
        <v>1034</v>
      </c>
      <c r="B2" s="274" t="s">
        <v>1035</v>
      </c>
      <c r="C2" s="127">
        <v>30</v>
      </c>
      <c r="D2" s="127">
        <v>1600</v>
      </c>
      <c r="E2" s="275">
        <v>2000</v>
      </c>
      <c r="F2" s="275">
        <v>1000</v>
      </c>
    </row>
    <row r="3" spans="1:6">
      <c r="A3" s="273" t="s">
        <v>1036</v>
      </c>
      <c r="B3" s="274" t="s">
        <v>1037</v>
      </c>
      <c r="C3" s="127">
        <v>30</v>
      </c>
      <c r="D3" s="127">
        <v>1600</v>
      </c>
      <c r="E3" s="275">
        <v>2000</v>
      </c>
      <c r="F3" s="275">
        <v>1200</v>
      </c>
    </row>
    <row r="4" spans="1:6">
      <c r="A4" s="273" t="s">
        <v>1038</v>
      </c>
      <c r="B4" s="274" t="s">
        <v>1039</v>
      </c>
      <c r="C4" s="127">
        <v>30</v>
      </c>
      <c r="D4" s="127">
        <v>1600</v>
      </c>
      <c r="E4" s="275">
        <v>2500</v>
      </c>
      <c r="F4" s="275">
        <v>1000</v>
      </c>
    </row>
    <row r="5" spans="1:6">
      <c r="A5" s="273" t="s">
        <v>1040</v>
      </c>
      <c r="B5" s="274" t="s">
        <v>1041</v>
      </c>
      <c r="C5" s="127">
        <v>40</v>
      </c>
      <c r="D5" s="127">
        <v>1600</v>
      </c>
      <c r="E5" s="275">
        <v>3000</v>
      </c>
      <c r="F5" s="275">
        <v>1200</v>
      </c>
    </row>
    <row r="6" spans="1:6">
      <c r="A6" s="273" t="s">
        <v>1042</v>
      </c>
      <c r="B6" s="274" t="s">
        <v>1043</v>
      </c>
      <c r="C6" s="127">
        <v>30</v>
      </c>
      <c r="D6" s="127">
        <v>1600</v>
      </c>
      <c r="E6" s="275">
        <v>2200</v>
      </c>
      <c r="F6" s="275">
        <v>1400</v>
      </c>
    </row>
    <row r="7" spans="1:6">
      <c r="A7" s="273" t="s">
        <v>1044</v>
      </c>
      <c r="B7" s="274" t="s">
        <v>1045</v>
      </c>
      <c r="C7" s="127">
        <v>40</v>
      </c>
      <c r="D7" s="127">
        <v>1600</v>
      </c>
      <c r="E7" s="275">
        <v>2200</v>
      </c>
      <c r="F7" s="275">
        <v>1400</v>
      </c>
    </row>
    <row r="8" spans="1:6">
      <c r="A8" s="273" t="s">
        <v>1046</v>
      </c>
      <c r="B8" s="274" t="s">
        <v>1047</v>
      </c>
      <c r="C8" s="127">
        <v>35</v>
      </c>
      <c r="D8" s="127">
        <v>1600</v>
      </c>
      <c r="E8" s="275">
        <v>2600</v>
      </c>
      <c r="F8" s="275">
        <v>1500</v>
      </c>
    </row>
    <row r="9" spans="1:6">
      <c r="A9" s="273" t="s">
        <v>1048</v>
      </c>
      <c r="B9" s="274" t="s">
        <v>1017</v>
      </c>
      <c r="C9" s="127">
        <v>30</v>
      </c>
      <c r="D9" s="127">
        <v>1600</v>
      </c>
      <c r="E9" s="275">
        <v>2000</v>
      </c>
      <c r="F9" s="275">
        <v>900</v>
      </c>
    </row>
    <row r="10" spans="1:6">
      <c r="A10" s="273" t="s">
        <v>1049</v>
      </c>
      <c r="B10" s="274" t="s">
        <v>1050</v>
      </c>
      <c r="C10" s="127">
        <v>30</v>
      </c>
      <c r="D10" s="127">
        <v>1600</v>
      </c>
      <c r="E10" s="275">
        <v>2000</v>
      </c>
      <c r="F10" s="275">
        <v>1000</v>
      </c>
    </row>
    <row r="11" spans="1:6">
      <c r="A11" s="273" t="s">
        <v>1051</v>
      </c>
      <c r="B11" s="274" t="s">
        <v>1052</v>
      </c>
      <c r="C11" s="127">
        <v>45</v>
      </c>
      <c r="D11" s="127">
        <v>1600</v>
      </c>
      <c r="E11" s="275">
        <v>1500</v>
      </c>
      <c r="F11" s="275">
        <v>1000</v>
      </c>
    </row>
    <row r="12" spans="1:6">
      <c r="A12" s="273" t="s">
        <v>1053</v>
      </c>
      <c r="B12" s="274" t="s">
        <v>1054</v>
      </c>
      <c r="C12" s="127">
        <v>20</v>
      </c>
      <c r="D12" s="127">
        <v>1600</v>
      </c>
      <c r="E12" s="275">
        <v>1500</v>
      </c>
      <c r="F12" s="275">
        <v>1800</v>
      </c>
    </row>
    <row r="13" spans="1:6">
      <c r="A13" s="273" t="s">
        <v>1055</v>
      </c>
      <c r="B13" s="274" t="s">
        <v>1056</v>
      </c>
      <c r="C13" s="127">
        <v>25</v>
      </c>
      <c r="D13" s="127">
        <v>1600</v>
      </c>
      <c r="E13" s="275">
        <v>1850</v>
      </c>
      <c r="F13" s="275">
        <v>1650</v>
      </c>
    </row>
    <row r="14" spans="1:6">
      <c r="A14" s="273" t="s">
        <v>1057</v>
      </c>
      <c r="B14" s="274" t="s">
        <v>1058</v>
      </c>
      <c r="C14" s="127">
        <v>20</v>
      </c>
      <c r="D14" s="127">
        <v>1600</v>
      </c>
      <c r="E14" s="275">
        <v>3000</v>
      </c>
      <c r="F14" s="275">
        <v>1200</v>
      </c>
    </row>
    <row r="15" spans="1:6">
      <c r="A15" s="273" t="s">
        <v>1059</v>
      </c>
      <c r="B15" s="274" t="s">
        <v>1060</v>
      </c>
      <c r="C15" s="127">
        <v>30</v>
      </c>
      <c r="D15" s="127">
        <v>1600</v>
      </c>
      <c r="E15" s="275">
        <v>2500</v>
      </c>
      <c r="F15" s="275">
        <v>2000</v>
      </c>
    </row>
    <row r="16" spans="1:6">
      <c r="A16" s="273" t="s">
        <v>1061</v>
      </c>
      <c r="B16" s="274" t="s">
        <v>1062</v>
      </c>
      <c r="C16" s="127">
        <v>40</v>
      </c>
      <c r="D16" s="127">
        <v>1600</v>
      </c>
      <c r="E16" s="275">
        <v>3000</v>
      </c>
      <c r="F16" s="275">
        <v>1400</v>
      </c>
    </row>
    <row r="17" spans="1:6">
      <c r="A17" s="273" t="s">
        <v>1063</v>
      </c>
      <c r="B17" s="274" t="s">
        <v>1064</v>
      </c>
      <c r="C17" s="127">
        <v>30</v>
      </c>
      <c r="D17" s="127">
        <v>1600</v>
      </c>
      <c r="E17" s="275">
        <v>2800</v>
      </c>
      <c r="F17" s="275">
        <v>1500</v>
      </c>
    </row>
    <row r="18" spans="1:6">
      <c r="A18" s="273" t="s">
        <v>1065</v>
      </c>
      <c r="B18" s="274" t="s">
        <v>1066</v>
      </c>
      <c r="C18" s="127">
        <v>30</v>
      </c>
      <c r="D18" s="127">
        <v>1600</v>
      </c>
      <c r="E18" s="275">
        <v>2500</v>
      </c>
      <c r="F18" s="275">
        <v>1600</v>
      </c>
    </row>
    <row r="19" spans="1:6">
      <c r="A19" s="273" t="s">
        <v>1067</v>
      </c>
      <c r="B19" s="274" t="s">
        <v>1068</v>
      </c>
      <c r="C19" s="127">
        <v>30</v>
      </c>
      <c r="D19" s="127">
        <v>1600</v>
      </c>
      <c r="E19" s="275">
        <v>2400</v>
      </c>
      <c r="F19" s="275">
        <v>1600</v>
      </c>
    </row>
    <row r="20" spans="1:6">
      <c r="A20" s="273" t="s">
        <v>1069</v>
      </c>
      <c r="B20" s="274" t="s">
        <v>1070</v>
      </c>
      <c r="C20" s="127">
        <v>30</v>
      </c>
      <c r="D20" s="127">
        <v>1600</v>
      </c>
      <c r="E20" s="275">
        <v>2400</v>
      </c>
      <c r="F20" s="275">
        <v>1600</v>
      </c>
    </row>
    <row r="21" spans="1:6">
      <c r="A21" s="273" t="s">
        <v>1071</v>
      </c>
      <c r="B21" s="274" t="s">
        <v>1019</v>
      </c>
      <c r="C21" s="127">
        <v>20</v>
      </c>
      <c r="D21" s="127">
        <v>1600</v>
      </c>
      <c r="E21" s="275">
        <v>3000</v>
      </c>
      <c r="F21" s="275">
        <v>2500</v>
      </c>
    </row>
    <row r="22" spans="1:6">
      <c r="A22" s="273" t="s">
        <v>1072</v>
      </c>
      <c r="B22" s="274" t="s">
        <v>1073</v>
      </c>
      <c r="C22" s="127">
        <v>30</v>
      </c>
      <c r="D22" s="127">
        <v>1600</v>
      </c>
      <c r="E22" s="275">
        <v>3500</v>
      </c>
      <c r="F22" s="275">
        <v>2600</v>
      </c>
    </row>
    <row r="23" spans="1:6">
      <c r="A23" s="273" t="s">
        <v>1074</v>
      </c>
      <c r="B23" s="274" t="s">
        <v>1075</v>
      </c>
      <c r="C23" s="127">
        <v>42</v>
      </c>
      <c r="D23" s="127">
        <v>1600</v>
      </c>
      <c r="E23" s="275">
        <v>3000</v>
      </c>
      <c r="F23" s="275">
        <v>2500</v>
      </c>
    </row>
    <row r="24" spans="1:6">
      <c r="A24" s="273" t="s">
        <v>1076</v>
      </c>
      <c r="B24" s="274" t="s">
        <v>1077</v>
      </c>
      <c r="C24" s="127">
        <v>35</v>
      </c>
      <c r="D24" s="127">
        <v>1600</v>
      </c>
      <c r="E24" s="275">
        <v>2800</v>
      </c>
      <c r="F24" s="275">
        <v>2000</v>
      </c>
    </row>
    <row r="25" spans="1:6">
      <c r="A25" s="273" t="s">
        <v>1078</v>
      </c>
      <c r="B25" s="274" t="s">
        <v>1079</v>
      </c>
      <c r="C25" s="127">
        <v>25</v>
      </c>
      <c r="D25" s="127">
        <v>1600</v>
      </c>
      <c r="E25" s="275">
        <v>3000</v>
      </c>
      <c r="F25" s="275">
        <v>2500</v>
      </c>
    </row>
    <row r="26" spans="1:6">
      <c r="A26" s="273" t="s">
        <v>1080</v>
      </c>
      <c r="B26" s="274" t="s">
        <v>1081</v>
      </c>
      <c r="C26" s="127">
        <v>30</v>
      </c>
      <c r="D26" s="127">
        <v>1600</v>
      </c>
      <c r="E26" s="275">
        <v>2000</v>
      </c>
      <c r="F26" s="275">
        <v>2000</v>
      </c>
    </row>
    <row r="27" spans="1:6">
      <c r="A27" s="273" t="s">
        <v>1082</v>
      </c>
      <c r="B27" s="274" t="s">
        <v>1021</v>
      </c>
      <c r="C27" s="127">
        <v>30</v>
      </c>
      <c r="D27" s="127">
        <v>1600</v>
      </c>
      <c r="E27" s="275">
        <v>1800</v>
      </c>
      <c r="F27" s="275">
        <v>1500</v>
      </c>
    </row>
    <row r="28" spans="1:6">
      <c r="A28" s="273" t="s">
        <v>1083</v>
      </c>
      <c r="B28" s="274" t="s">
        <v>1084</v>
      </c>
      <c r="C28" s="127">
        <v>30</v>
      </c>
      <c r="D28" s="127">
        <v>1600</v>
      </c>
      <c r="E28" s="275">
        <v>1900</v>
      </c>
      <c r="F28" s="275">
        <v>2500</v>
      </c>
    </row>
    <row r="29" spans="1:6">
      <c r="A29" s="273" t="s">
        <v>1085</v>
      </c>
      <c r="B29" s="274" t="s">
        <v>1086</v>
      </c>
      <c r="C29" s="127">
        <v>30</v>
      </c>
      <c r="D29" s="127">
        <v>1600</v>
      </c>
      <c r="E29" s="275">
        <v>2500</v>
      </c>
      <c r="F29" s="275">
        <v>2500</v>
      </c>
    </row>
    <row r="30" spans="1:6">
      <c r="A30" s="273" t="s">
        <v>1087</v>
      </c>
      <c r="B30" s="274" t="s">
        <v>1088</v>
      </c>
      <c r="C30" s="127">
        <v>20</v>
      </c>
      <c r="D30" s="127">
        <v>1600</v>
      </c>
      <c r="E30" s="275">
        <v>2200</v>
      </c>
      <c r="F30" s="275">
        <v>2200</v>
      </c>
    </row>
    <row r="31" spans="1:6">
      <c r="A31" s="273" t="s">
        <v>1089</v>
      </c>
      <c r="B31" s="274" t="s">
        <v>1090</v>
      </c>
      <c r="C31" s="127">
        <v>30</v>
      </c>
      <c r="D31" s="127">
        <v>1600</v>
      </c>
      <c r="E31" s="275">
        <v>2400</v>
      </c>
      <c r="F31" s="275">
        <v>2400</v>
      </c>
    </row>
    <row r="32" spans="1:6">
      <c r="A32" s="273" t="s">
        <v>1091</v>
      </c>
      <c r="B32" s="274" t="s">
        <v>1092</v>
      </c>
      <c r="C32" s="127">
        <v>30</v>
      </c>
      <c r="D32" s="127">
        <v>1600</v>
      </c>
      <c r="E32" s="275">
        <v>2000</v>
      </c>
      <c r="F32" s="275">
        <v>2000</v>
      </c>
    </row>
    <row r="33" spans="1:6">
      <c r="A33" s="273" t="s">
        <v>1093</v>
      </c>
      <c r="B33" s="274" t="s">
        <v>1024</v>
      </c>
      <c r="C33" s="127">
        <v>40</v>
      </c>
      <c r="D33" s="127">
        <v>1600</v>
      </c>
      <c r="E33" s="275">
        <v>3000</v>
      </c>
      <c r="F33" s="275">
        <v>2500</v>
      </c>
    </row>
    <row r="34" spans="1:6">
      <c r="A34" s="273" t="s">
        <v>1094</v>
      </c>
      <c r="B34" s="274" t="s">
        <v>1095</v>
      </c>
      <c r="C34" s="127">
        <v>30</v>
      </c>
      <c r="D34" s="127">
        <v>1600</v>
      </c>
      <c r="E34" s="275">
        <v>3000</v>
      </c>
      <c r="F34" s="275">
        <v>2500</v>
      </c>
    </row>
    <row r="35" spans="1:6">
      <c r="A35" s="273" t="s">
        <v>1096</v>
      </c>
      <c r="B35" s="274" t="s">
        <v>1097</v>
      </c>
      <c r="C35" s="127">
        <v>35</v>
      </c>
      <c r="D35" s="127">
        <v>1600</v>
      </c>
      <c r="E35" s="275">
        <v>3000</v>
      </c>
      <c r="F35" s="275">
        <v>2000</v>
      </c>
    </row>
    <row r="36" spans="1:6">
      <c r="A36" s="273" t="s">
        <v>1098</v>
      </c>
      <c r="B36" s="274" t="s">
        <v>1099</v>
      </c>
      <c r="C36" s="127">
        <v>32</v>
      </c>
      <c r="D36" s="127">
        <v>1600</v>
      </c>
      <c r="E36" s="275">
        <v>2800</v>
      </c>
      <c r="F36" s="275">
        <v>2500</v>
      </c>
    </row>
    <row r="37" spans="1:6">
      <c r="A37" s="273" t="s">
        <v>1100</v>
      </c>
      <c r="B37" s="274" t="s">
        <v>1015</v>
      </c>
      <c r="C37" s="127">
        <v>40</v>
      </c>
      <c r="D37" s="127">
        <v>1600</v>
      </c>
      <c r="E37" s="275">
        <v>1500</v>
      </c>
      <c r="F37" s="275">
        <v>1500</v>
      </c>
    </row>
    <row r="38" spans="1:6">
      <c r="A38" s="273" t="s">
        <v>1101</v>
      </c>
      <c r="B38" s="274" t="s">
        <v>1102</v>
      </c>
      <c r="C38" s="127">
        <v>30</v>
      </c>
      <c r="D38" s="127">
        <v>1600</v>
      </c>
      <c r="E38" s="275">
        <v>1500</v>
      </c>
      <c r="F38" s="275">
        <v>1500</v>
      </c>
    </row>
    <row r="39" spans="1:6">
      <c r="A39" s="273" t="s">
        <v>1103</v>
      </c>
      <c r="B39" s="274" t="s">
        <v>1104</v>
      </c>
      <c r="C39" s="127">
        <v>35</v>
      </c>
      <c r="D39" s="127">
        <v>1600</v>
      </c>
      <c r="E39" s="275">
        <v>1600</v>
      </c>
      <c r="F39" s="275">
        <v>1600</v>
      </c>
    </row>
    <row r="40" spans="1:6">
      <c r="A40" s="273" t="s">
        <v>1105</v>
      </c>
      <c r="B40" s="274" t="s">
        <v>1106</v>
      </c>
      <c r="C40" s="127">
        <v>40</v>
      </c>
      <c r="D40" s="127">
        <v>1600</v>
      </c>
      <c r="E40" s="275">
        <v>1700</v>
      </c>
      <c r="F40" s="275">
        <v>1700</v>
      </c>
    </row>
    <row r="41" spans="1:6">
      <c r="A41" s="273" t="s">
        <v>1107</v>
      </c>
      <c r="B41" s="274" t="s">
        <v>1108</v>
      </c>
      <c r="C41" s="127">
        <v>40</v>
      </c>
      <c r="D41" s="127">
        <v>1600</v>
      </c>
      <c r="E41" s="275">
        <v>1700</v>
      </c>
      <c r="F41" s="275">
        <v>1700</v>
      </c>
    </row>
    <row r="42" spans="1:6">
      <c r="A42" s="273" t="s">
        <v>1109</v>
      </c>
      <c r="B42" s="274" t="s">
        <v>1110</v>
      </c>
      <c r="C42" s="127">
        <v>30</v>
      </c>
      <c r="D42" s="127">
        <v>1600</v>
      </c>
      <c r="E42" s="275">
        <v>1500</v>
      </c>
      <c r="F42" s="275">
        <v>1600</v>
      </c>
    </row>
    <row r="43" spans="1:6">
      <c r="A43" s="273" t="s">
        <v>1111</v>
      </c>
      <c r="B43" s="274" t="s">
        <v>1026</v>
      </c>
      <c r="C43" s="127">
        <v>60</v>
      </c>
      <c r="D43" s="127">
        <v>1600</v>
      </c>
      <c r="E43" s="275">
        <v>9000</v>
      </c>
      <c r="F43" s="275">
        <v>9000</v>
      </c>
    </row>
    <row r="44" spans="1:6">
      <c r="A44" s="273" t="s">
        <v>1112</v>
      </c>
      <c r="B44" s="274" t="s">
        <v>1013</v>
      </c>
      <c r="C44" s="127">
        <v>1</v>
      </c>
      <c r="D44" s="127">
        <v>1600</v>
      </c>
      <c r="E44" s="275">
        <v>15000</v>
      </c>
      <c r="F44" s="275">
        <v>25000</v>
      </c>
    </row>
    <row r="45" spans="1:6">
      <c r="A45" s="273" t="s">
        <v>1113</v>
      </c>
      <c r="B45" s="274" t="s">
        <v>1028</v>
      </c>
      <c r="C45" s="127">
        <v>1</v>
      </c>
      <c r="D45" s="127">
        <v>1600</v>
      </c>
      <c r="E45" s="275">
        <v>15000</v>
      </c>
      <c r="F45" s="275">
        <v>25000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8BDAE-2EC1-A54E-9570-A69C6A8D6ADC}">
  <sheetPr codeName="Sheet12"/>
  <dimension ref="A1:G534"/>
  <sheetViews>
    <sheetView zoomScale="193" workbookViewId="0">
      <pane ySplit="1" topLeftCell="A2" activePane="bottomLeft" state="frozen"/>
      <selection pane="bottomLeft" activeCell="D68" sqref="D68"/>
    </sheetView>
  </sheetViews>
  <sheetFormatPr defaultColWidth="11" defaultRowHeight="15.5"/>
  <cols>
    <col min="1" max="1" width="13.33203125" customWidth="1"/>
    <col min="2" max="2" width="17.33203125" customWidth="1"/>
    <col min="3" max="3" width="12" customWidth="1"/>
    <col min="4" max="5" width="23" customWidth="1"/>
    <col min="6" max="6" width="25.5" customWidth="1"/>
  </cols>
  <sheetData>
    <row r="1" spans="1:7">
      <c r="A1" s="1" t="s">
        <v>1174</v>
      </c>
      <c r="B1" s="1" t="s">
        <v>505</v>
      </c>
      <c r="C1" s="1" t="s">
        <v>1114</v>
      </c>
      <c r="D1" s="1" t="s">
        <v>1005</v>
      </c>
      <c r="E1" s="1" t="s">
        <v>1029</v>
      </c>
      <c r="F1" s="1" t="s">
        <v>1115</v>
      </c>
      <c r="G1" s="1" t="s">
        <v>1116</v>
      </c>
    </row>
    <row r="2" spans="1:7" s="257" customFormat="1">
      <c r="A2" s="317" t="str">
        <f t="shared" ref="A2:A65" si="0">B2&amp;"-"&amp;C2</f>
        <v>I-001-30</v>
      </c>
      <c r="B2" s="276" t="s">
        <v>508</v>
      </c>
      <c r="C2" s="276">
        <v>30</v>
      </c>
      <c r="D2" s="276" t="s">
        <v>1048</v>
      </c>
      <c r="E2" s="276" t="str">
        <f>VLOOKUP(D2, 'S17 Work Stations'!$A$2:$B$45, 2, 0)</f>
        <v>MIL-10-150-401</v>
      </c>
      <c r="F2" s="276">
        <v>600</v>
      </c>
      <c r="G2" s="85">
        <v>200</v>
      </c>
    </row>
    <row r="3" spans="1:7" s="257" customFormat="1">
      <c r="A3" s="317" t="str">
        <f t="shared" si="0"/>
        <v>I-001-40</v>
      </c>
      <c r="B3" s="277" t="s">
        <v>508</v>
      </c>
      <c r="C3" s="277">
        <v>40</v>
      </c>
      <c r="D3" s="277" t="s">
        <v>1071</v>
      </c>
      <c r="E3" s="276" t="str">
        <f>VLOOKUP(D3, 'S17 Work Stations'!$A$2:$B$45, 2, 0)</f>
        <v>MIL-H21-604</v>
      </c>
      <c r="F3" s="277">
        <v>480</v>
      </c>
      <c r="G3" s="3">
        <v>200</v>
      </c>
    </row>
    <row r="4" spans="1:7" s="257" customFormat="1">
      <c r="A4" s="317" t="str">
        <f t="shared" si="0"/>
        <v>I-001-50</v>
      </c>
      <c r="B4" s="277" t="s">
        <v>508</v>
      </c>
      <c r="C4" s="277">
        <v>50</v>
      </c>
      <c r="D4" s="277" t="s">
        <v>1082</v>
      </c>
      <c r="E4" s="276" t="str">
        <f>VLOOKUP(D4, 'S17 Work Stations'!$A$2:$B$45, 2, 0)</f>
        <v>DR-2A2-202</v>
      </c>
      <c r="F4" s="277">
        <v>180</v>
      </c>
      <c r="G4" s="3">
        <v>200</v>
      </c>
    </row>
    <row r="5" spans="1:7" s="257" customFormat="1">
      <c r="A5" s="317" t="str">
        <f t="shared" si="0"/>
        <v>I-001-60</v>
      </c>
      <c r="B5" s="277" t="s">
        <v>508</v>
      </c>
      <c r="C5" s="277">
        <v>60</v>
      </c>
      <c r="D5" s="277" t="s">
        <v>1093</v>
      </c>
      <c r="E5" s="276" t="str">
        <f>VLOOKUP(D5, 'S17 Work Stations'!$A$2:$B$45, 2, 0)</f>
        <v>SAW-30-150-251</v>
      </c>
      <c r="F5" s="277">
        <v>720</v>
      </c>
      <c r="G5" s="3">
        <v>200</v>
      </c>
    </row>
    <row r="6" spans="1:7" s="257" customFormat="1">
      <c r="A6" s="317" t="str">
        <f t="shared" si="0"/>
        <v>I-001-20</v>
      </c>
      <c r="B6" s="277" t="s">
        <v>508</v>
      </c>
      <c r="C6" s="277">
        <v>20</v>
      </c>
      <c r="D6" s="277" t="s">
        <v>1100</v>
      </c>
      <c r="E6" s="276" t="str">
        <f>VLOOKUP(D6, 'S17 Work Stations'!$A$2:$B$45, 2, 0)</f>
        <v>SAW-10-421</v>
      </c>
      <c r="F6" s="277">
        <v>120</v>
      </c>
      <c r="G6" s="3">
        <v>200</v>
      </c>
    </row>
    <row r="7" spans="1:7" s="257" customFormat="1">
      <c r="A7" s="317" t="str">
        <f t="shared" si="0"/>
        <v>I-001-70</v>
      </c>
      <c r="B7" s="277" t="s">
        <v>508</v>
      </c>
      <c r="C7" s="277">
        <v>70</v>
      </c>
      <c r="D7" s="277" t="s">
        <v>1111</v>
      </c>
      <c r="E7" s="276" t="str">
        <f>VLOOKUP(D7, 'S17 Work Stations'!$A$2:$B$45, 2, 0)</f>
        <v>TEMP-A01-202</v>
      </c>
      <c r="F7" s="277">
        <v>300</v>
      </c>
      <c r="G7" s="3">
        <v>200</v>
      </c>
    </row>
    <row r="8" spans="1:7" s="257" customFormat="1">
      <c r="A8" s="317" t="str">
        <f t="shared" si="0"/>
        <v>I-001-10</v>
      </c>
      <c r="B8" s="277" t="s">
        <v>508</v>
      </c>
      <c r="C8" s="277">
        <v>10</v>
      </c>
      <c r="D8" s="277" t="s">
        <v>1112</v>
      </c>
      <c r="E8" s="276" t="str">
        <f>VLOOKUP(D8, 'S17 Work Stations'!$A$2:$B$45, 2, 0)</f>
        <v>RAW-MAT-INV</v>
      </c>
      <c r="F8" s="277">
        <v>0</v>
      </c>
      <c r="G8" s="3">
        <v>200</v>
      </c>
    </row>
    <row r="9" spans="1:7" s="257" customFormat="1">
      <c r="A9" s="317" t="str">
        <f t="shared" si="0"/>
        <v>I-001-80</v>
      </c>
      <c r="B9" s="277" t="s">
        <v>508</v>
      </c>
      <c r="C9" s="277">
        <v>80</v>
      </c>
      <c r="D9" s="277" t="s">
        <v>1113</v>
      </c>
      <c r="E9" s="276" t="str">
        <f>VLOOKUP(D9, 'S17 Work Stations'!$A$2:$B$45, 2, 0)</f>
        <v>FIN-GOOD-INV</v>
      </c>
      <c r="F9" s="277">
        <v>0</v>
      </c>
      <c r="G9" s="3">
        <v>200</v>
      </c>
    </row>
    <row r="10" spans="1:7" s="257" customFormat="1">
      <c r="A10" s="317" t="str">
        <f t="shared" si="0"/>
        <v>I-002-30</v>
      </c>
      <c r="B10" s="277" t="s">
        <v>510</v>
      </c>
      <c r="C10" s="277">
        <v>30</v>
      </c>
      <c r="D10" s="277" t="s">
        <v>1048</v>
      </c>
      <c r="E10" s="276" t="str">
        <f>VLOOKUP(D10, 'S17 Work Stations'!$A$2:$B$45, 2, 0)</f>
        <v>MIL-10-150-401</v>
      </c>
      <c r="F10" s="277">
        <v>900</v>
      </c>
      <c r="G10" s="3">
        <v>200</v>
      </c>
    </row>
    <row r="11" spans="1:7" s="257" customFormat="1">
      <c r="A11" s="317" t="str">
        <f t="shared" si="0"/>
        <v>I-002-40</v>
      </c>
      <c r="B11" s="277" t="s">
        <v>510</v>
      </c>
      <c r="C11" s="277">
        <v>40</v>
      </c>
      <c r="D11" s="277" t="s">
        <v>1071</v>
      </c>
      <c r="E11" s="276" t="str">
        <f>VLOOKUP(D11, 'S17 Work Stations'!$A$2:$B$45, 2, 0)</f>
        <v>MIL-H21-604</v>
      </c>
      <c r="F11" s="277">
        <v>480</v>
      </c>
      <c r="G11" s="3">
        <v>200</v>
      </c>
    </row>
    <row r="12" spans="1:7" s="257" customFormat="1">
      <c r="A12" s="317" t="str">
        <f t="shared" si="0"/>
        <v>I-002-50</v>
      </c>
      <c r="B12" s="277" t="s">
        <v>510</v>
      </c>
      <c r="C12" s="277">
        <v>50</v>
      </c>
      <c r="D12" s="277" t="s">
        <v>1082</v>
      </c>
      <c r="E12" s="276" t="str">
        <f>VLOOKUP(D12, 'S17 Work Stations'!$A$2:$B$45, 2, 0)</f>
        <v>DR-2A2-202</v>
      </c>
      <c r="F12" s="277">
        <v>240</v>
      </c>
      <c r="G12" s="3">
        <v>200</v>
      </c>
    </row>
    <row r="13" spans="1:7" s="257" customFormat="1">
      <c r="A13" s="317" t="str">
        <f t="shared" si="0"/>
        <v>I-002-60</v>
      </c>
      <c r="B13" s="277" t="s">
        <v>510</v>
      </c>
      <c r="C13" s="277">
        <v>60</v>
      </c>
      <c r="D13" s="277" t="s">
        <v>1093</v>
      </c>
      <c r="E13" s="276" t="str">
        <f>VLOOKUP(D13, 'S17 Work Stations'!$A$2:$B$45, 2, 0)</f>
        <v>SAW-30-150-251</v>
      </c>
      <c r="F13" s="277">
        <v>720</v>
      </c>
      <c r="G13" s="3">
        <v>200</v>
      </c>
    </row>
    <row r="14" spans="1:7" s="257" customFormat="1">
      <c r="A14" s="317" t="str">
        <f t="shared" si="0"/>
        <v>I-002-20</v>
      </c>
      <c r="B14" s="277" t="s">
        <v>510</v>
      </c>
      <c r="C14" s="277">
        <v>20</v>
      </c>
      <c r="D14" s="277" t="s">
        <v>1100</v>
      </c>
      <c r="E14" s="276" t="str">
        <f>VLOOKUP(D14, 'S17 Work Stations'!$A$2:$B$45, 2, 0)</f>
        <v>SAW-10-421</v>
      </c>
      <c r="F14" s="277">
        <v>120</v>
      </c>
      <c r="G14" s="3">
        <v>200</v>
      </c>
    </row>
    <row r="15" spans="1:7" s="257" customFormat="1">
      <c r="A15" s="317" t="str">
        <f t="shared" si="0"/>
        <v>I-002-10</v>
      </c>
      <c r="B15" s="277" t="s">
        <v>510</v>
      </c>
      <c r="C15" s="277">
        <v>10</v>
      </c>
      <c r="D15" s="277" t="s">
        <v>1112</v>
      </c>
      <c r="E15" s="276" t="str">
        <f>VLOOKUP(D15, 'S17 Work Stations'!$A$2:$B$45, 2, 0)</f>
        <v>RAW-MAT-INV</v>
      </c>
      <c r="F15" s="277">
        <v>0</v>
      </c>
      <c r="G15" s="3">
        <v>200</v>
      </c>
    </row>
    <row r="16" spans="1:7" s="257" customFormat="1">
      <c r="A16" s="317" t="str">
        <f t="shared" si="0"/>
        <v>I-002-70</v>
      </c>
      <c r="B16" s="277" t="s">
        <v>510</v>
      </c>
      <c r="C16" s="277">
        <v>70</v>
      </c>
      <c r="D16" s="277" t="s">
        <v>1113</v>
      </c>
      <c r="E16" s="276" t="str">
        <f>VLOOKUP(D16, 'S17 Work Stations'!$A$2:$B$45, 2, 0)</f>
        <v>FIN-GOOD-INV</v>
      </c>
      <c r="F16" s="277">
        <v>0</v>
      </c>
      <c r="G16" s="3">
        <v>200</v>
      </c>
    </row>
    <row r="17" spans="1:7" s="257" customFormat="1">
      <c r="A17" s="317" t="str">
        <f t="shared" si="0"/>
        <v>I-003-30</v>
      </c>
      <c r="B17" s="277" t="s">
        <v>512</v>
      </c>
      <c r="C17" s="277">
        <v>30</v>
      </c>
      <c r="D17" s="277" t="s">
        <v>1048</v>
      </c>
      <c r="E17" s="276" t="str">
        <f>VLOOKUP(D17, 'S17 Work Stations'!$A$2:$B$45, 2, 0)</f>
        <v>MIL-10-150-401</v>
      </c>
      <c r="F17" s="277">
        <v>600</v>
      </c>
      <c r="G17" s="3">
        <v>200</v>
      </c>
    </row>
    <row r="18" spans="1:7" s="257" customFormat="1">
      <c r="A18" s="317" t="str">
        <f t="shared" si="0"/>
        <v>I-003-40</v>
      </c>
      <c r="B18" s="277" t="s">
        <v>512</v>
      </c>
      <c r="C18" s="277">
        <v>40</v>
      </c>
      <c r="D18" s="277" t="s">
        <v>1069</v>
      </c>
      <c r="E18" s="276" t="str">
        <f>VLOOKUP(D18, 'S17 Work Stations'!$A$2:$B$45, 2, 0)</f>
        <v>MIL-V31-603</v>
      </c>
      <c r="F18" s="277">
        <v>480</v>
      </c>
      <c r="G18" s="3">
        <v>200</v>
      </c>
    </row>
    <row r="19" spans="1:7" s="257" customFormat="1">
      <c r="A19" s="317" t="str">
        <f t="shared" si="0"/>
        <v>I-003-50</v>
      </c>
      <c r="B19" s="277" t="s">
        <v>512</v>
      </c>
      <c r="C19" s="277">
        <v>50</v>
      </c>
      <c r="D19" s="277" t="s">
        <v>1082</v>
      </c>
      <c r="E19" s="276" t="str">
        <f>VLOOKUP(D19, 'S17 Work Stations'!$A$2:$B$45, 2, 0)</f>
        <v>DR-2A2-202</v>
      </c>
      <c r="F19" s="277">
        <v>300</v>
      </c>
      <c r="G19" s="3">
        <v>200</v>
      </c>
    </row>
    <row r="20" spans="1:7" s="257" customFormat="1">
      <c r="A20" s="317" t="str">
        <f t="shared" si="0"/>
        <v>I-003-60</v>
      </c>
      <c r="B20" s="277" t="s">
        <v>512</v>
      </c>
      <c r="C20" s="277">
        <v>60</v>
      </c>
      <c r="D20" s="277" t="s">
        <v>1093</v>
      </c>
      <c r="E20" s="276" t="str">
        <f>VLOOKUP(D20, 'S17 Work Stations'!$A$2:$B$45, 2, 0)</f>
        <v>SAW-30-150-251</v>
      </c>
      <c r="F20" s="277">
        <v>600</v>
      </c>
      <c r="G20" s="3">
        <v>200</v>
      </c>
    </row>
    <row r="21" spans="1:7" s="257" customFormat="1">
      <c r="A21" s="317" t="str">
        <f t="shared" si="0"/>
        <v>I-003-20</v>
      </c>
      <c r="B21" s="277" t="s">
        <v>512</v>
      </c>
      <c r="C21" s="277">
        <v>20</v>
      </c>
      <c r="D21" s="277" t="s">
        <v>1100</v>
      </c>
      <c r="E21" s="276" t="str">
        <f>VLOOKUP(D21, 'S17 Work Stations'!$A$2:$B$45, 2, 0)</f>
        <v>SAW-10-421</v>
      </c>
      <c r="F21" s="277">
        <v>120</v>
      </c>
      <c r="G21" s="3">
        <v>200</v>
      </c>
    </row>
    <row r="22" spans="1:7" s="257" customFormat="1">
      <c r="A22" s="317" t="str">
        <f t="shared" si="0"/>
        <v>I-003-70</v>
      </c>
      <c r="B22" s="277" t="s">
        <v>512</v>
      </c>
      <c r="C22" s="277">
        <v>70</v>
      </c>
      <c r="D22" s="277" t="s">
        <v>1111</v>
      </c>
      <c r="E22" s="276" t="str">
        <f>VLOOKUP(D22, 'S17 Work Stations'!$A$2:$B$45, 2, 0)</f>
        <v>TEMP-A01-202</v>
      </c>
      <c r="F22" s="277">
        <v>300</v>
      </c>
      <c r="G22" s="3">
        <v>200</v>
      </c>
    </row>
    <row r="23" spans="1:7" s="257" customFormat="1">
      <c r="A23" s="317" t="str">
        <f t="shared" si="0"/>
        <v>I-003-10</v>
      </c>
      <c r="B23" s="277" t="s">
        <v>512</v>
      </c>
      <c r="C23" s="277">
        <v>10</v>
      </c>
      <c r="D23" s="277" t="s">
        <v>1112</v>
      </c>
      <c r="E23" s="276" t="str">
        <f>VLOOKUP(D23, 'S17 Work Stations'!$A$2:$B$45, 2, 0)</f>
        <v>RAW-MAT-INV</v>
      </c>
      <c r="F23" s="277">
        <v>0</v>
      </c>
      <c r="G23" s="3">
        <v>200</v>
      </c>
    </row>
    <row r="24" spans="1:7" s="257" customFormat="1">
      <c r="A24" s="317" t="str">
        <f t="shared" si="0"/>
        <v>I-003-80</v>
      </c>
      <c r="B24" s="277" t="s">
        <v>512</v>
      </c>
      <c r="C24" s="277">
        <v>80</v>
      </c>
      <c r="D24" s="277" t="s">
        <v>1113</v>
      </c>
      <c r="E24" s="276" t="str">
        <f>VLOOKUP(D24, 'S17 Work Stations'!$A$2:$B$45, 2, 0)</f>
        <v>FIN-GOOD-INV</v>
      </c>
      <c r="F24" s="277">
        <v>0</v>
      </c>
      <c r="G24" s="3">
        <v>200</v>
      </c>
    </row>
    <row r="25" spans="1:7" s="257" customFormat="1">
      <c r="A25" s="317" t="str">
        <f t="shared" si="0"/>
        <v>I-004-30</v>
      </c>
      <c r="B25" s="277" t="s">
        <v>514</v>
      </c>
      <c r="C25" s="277">
        <v>30</v>
      </c>
      <c r="D25" s="277" t="s">
        <v>1042</v>
      </c>
      <c r="E25" s="276" t="str">
        <f>VLOOKUP(D25, 'S17 Work Stations'!$A$2:$B$45, 2, 0)</f>
        <v>MIL-A2-365</v>
      </c>
      <c r="F25" s="277">
        <v>480</v>
      </c>
      <c r="G25" s="3">
        <v>200</v>
      </c>
    </row>
    <row r="26" spans="1:7" s="257" customFormat="1">
      <c r="A26" s="317" t="str">
        <f t="shared" si="0"/>
        <v>I-004-40</v>
      </c>
      <c r="B26" s="277" t="s">
        <v>514</v>
      </c>
      <c r="C26" s="277">
        <v>40</v>
      </c>
      <c r="D26" s="277" t="s">
        <v>1080</v>
      </c>
      <c r="E26" s="276" t="str">
        <f>VLOOKUP(D26, 'S17 Work Stations'!$A$2:$B$45, 2, 0)</f>
        <v>DR-2A-201</v>
      </c>
      <c r="F26" s="277">
        <v>480</v>
      </c>
      <c r="G26" s="3">
        <v>200</v>
      </c>
    </row>
    <row r="27" spans="1:7" s="257" customFormat="1">
      <c r="A27" s="317" t="str">
        <f t="shared" si="0"/>
        <v>I-004-50</v>
      </c>
      <c r="B27" s="277" t="s">
        <v>514</v>
      </c>
      <c r="C27" s="277">
        <v>50</v>
      </c>
      <c r="D27" s="277" t="s">
        <v>1096</v>
      </c>
      <c r="E27" s="276" t="str">
        <f>VLOOKUP(D27, 'S17 Work Stations'!$A$2:$B$45, 2, 0)</f>
        <v>SAW-30-160-252</v>
      </c>
      <c r="F27" s="277">
        <v>600</v>
      </c>
      <c r="G27" s="3">
        <v>200</v>
      </c>
    </row>
    <row r="28" spans="1:7" s="257" customFormat="1">
      <c r="A28" s="317" t="str">
        <f t="shared" si="0"/>
        <v>I-004-20</v>
      </c>
      <c r="B28" s="277" t="s">
        <v>514</v>
      </c>
      <c r="C28" s="277">
        <v>20</v>
      </c>
      <c r="D28" s="277" t="s">
        <v>1100</v>
      </c>
      <c r="E28" s="276" t="str">
        <f>VLOOKUP(D28, 'S17 Work Stations'!$A$2:$B$45, 2, 0)</f>
        <v>SAW-10-421</v>
      </c>
      <c r="F28" s="277">
        <v>120</v>
      </c>
      <c r="G28" s="3">
        <v>200</v>
      </c>
    </row>
    <row r="29" spans="1:7" s="257" customFormat="1">
      <c r="A29" s="317" t="str">
        <f t="shared" si="0"/>
        <v>I-004-10</v>
      </c>
      <c r="B29" s="277" t="s">
        <v>514</v>
      </c>
      <c r="C29" s="277">
        <v>10</v>
      </c>
      <c r="D29" s="277" t="s">
        <v>1112</v>
      </c>
      <c r="E29" s="276" t="str">
        <f>VLOOKUP(D29, 'S17 Work Stations'!$A$2:$B$45, 2, 0)</f>
        <v>RAW-MAT-INV</v>
      </c>
      <c r="F29" s="277">
        <v>0</v>
      </c>
      <c r="G29" s="3">
        <v>200</v>
      </c>
    </row>
    <row r="30" spans="1:7" s="257" customFormat="1">
      <c r="A30" s="317" t="str">
        <f t="shared" si="0"/>
        <v>I-004-60</v>
      </c>
      <c r="B30" s="277" t="s">
        <v>514</v>
      </c>
      <c r="C30" s="277">
        <v>60</v>
      </c>
      <c r="D30" s="277" t="s">
        <v>1113</v>
      </c>
      <c r="E30" s="276" t="str">
        <f>VLOOKUP(D30, 'S17 Work Stations'!$A$2:$B$45, 2, 0)</f>
        <v>FIN-GOOD-INV</v>
      </c>
      <c r="F30" s="277">
        <v>0</v>
      </c>
      <c r="G30" s="3">
        <v>200</v>
      </c>
    </row>
    <row r="31" spans="1:7" s="257" customFormat="1">
      <c r="A31" s="317" t="str">
        <f t="shared" si="0"/>
        <v>I-005-30</v>
      </c>
      <c r="B31" s="277" t="s">
        <v>516</v>
      </c>
      <c r="C31" s="277">
        <v>30</v>
      </c>
      <c r="D31" s="277" t="s">
        <v>1040</v>
      </c>
      <c r="E31" s="276" t="str">
        <f>VLOOKUP(D31, 'S17 Work Stations'!$A$2:$B$45, 2, 0)</f>
        <v>TUR-A4-364</v>
      </c>
      <c r="F31" s="277">
        <v>600</v>
      </c>
      <c r="G31" s="3">
        <v>200</v>
      </c>
    </row>
    <row r="32" spans="1:7" s="257" customFormat="1">
      <c r="A32" s="317" t="str">
        <f t="shared" si="0"/>
        <v>I-005-40</v>
      </c>
      <c r="B32" s="277" t="s">
        <v>516</v>
      </c>
      <c r="C32" s="277">
        <v>40</v>
      </c>
      <c r="D32" s="277" t="s">
        <v>1071</v>
      </c>
      <c r="E32" s="276" t="str">
        <f>VLOOKUP(D32, 'S17 Work Stations'!$A$2:$B$45, 2, 0)</f>
        <v>MIL-H21-604</v>
      </c>
      <c r="F32" s="277">
        <v>480</v>
      </c>
      <c r="G32" s="3">
        <v>200</v>
      </c>
    </row>
    <row r="33" spans="1:7" s="257" customFormat="1">
      <c r="A33" s="317" t="str">
        <f t="shared" si="0"/>
        <v>I-005-50</v>
      </c>
      <c r="B33" s="277" t="s">
        <v>516</v>
      </c>
      <c r="C33" s="277">
        <v>50</v>
      </c>
      <c r="D33" s="277" t="s">
        <v>1091</v>
      </c>
      <c r="E33" s="276" t="str">
        <f>VLOOKUP(D33, 'S17 Work Stations'!$A$2:$B$45, 2, 0)</f>
        <v>DR-3AW-207</v>
      </c>
      <c r="F33" s="277">
        <v>300</v>
      </c>
      <c r="G33" s="3">
        <v>200</v>
      </c>
    </row>
    <row r="34" spans="1:7" s="257" customFormat="1">
      <c r="A34" s="317" t="str">
        <f t="shared" si="0"/>
        <v>I-005-60</v>
      </c>
      <c r="B34" s="277" t="s">
        <v>516</v>
      </c>
      <c r="C34" s="277">
        <v>60</v>
      </c>
      <c r="D34" s="277" t="s">
        <v>1093</v>
      </c>
      <c r="E34" s="276" t="str">
        <f>VLOOKUP(D34, 'S17 Work Stations'!$A$2:$B$45, 2, 0)</f>
        <v>SAW-30-150-251</v>
      </c>
      <c r="F34" s="277">
        <v>600</v>
      </c>
      <c r="G34" s="3">
        <v>200</v>
      </c>
    </row>
    <row r="35" spans="1:7" s="257" customFormat="1">
      <c r="A35" s="317" t="str">
        <f t="shared" si="0"/>
        <v>I-005-20</v>
      </c>
      <c r="B35" s="277" t="s">
        <v>516</v>
      </c>
      <c r="C35" s="277">
        <v>20</v>
      </c>
      <c r="D35" s="277" t="s">
        <v>1107</v>
      </c>
      <c r="E35" s="276" t="str">
        <f>VLOOKUP(D35, 'S17 Work Stations'!$A$2:$B$45, 2, 0)</f>
        <v>SAW-CNC-40-425</v>
      </c>
      <c r="F35" s="277">
        <v>120</v>
      </c>
      <c r="G35" s="3">
        <v>200</v>
      </c>
    </row>
    <row r="36" spans="1:7" s="257" customFormat="1">
      <c r="A36" s="317" t="str">
        <f t="shared" si="0"/>
        <v>I-005-10</v>
      </c>
      <c r="B36" s="277" t="s">
        <v>516</v>
      </c>
      <c r="C36" s="277">
        <v>10</v>
      </c>
      <c r="D36" s="277" t="s">
        <v>1111</v>
      </c>
      <c r="E36" s="276" t="str">
        <f>VLOOKUP(D36, 'S17 Work Stations'!$A$2:$B$45, 2, 0)</f>
        <v>TEMP-A01-202</v>
      </c>
      <c r="F36" s="277">
        <v>300</v>
      </c>
      <c r="G36" s="3">
        <v>200</v>
      </c>
    </row>
    <row r="37" spans="1:7" s="257" customFormat="1">
      <c r="A37" s="317" t="str">
        <f t="shared" si="0"/>
        <v>I-005-70</v>
      </c>
      <c r="B37" s="277" t="s">
        <v>516</v>
      </c>
      <c r="C37" s="277">
        <v>70</v>
      </c>
      <c r="D37" s="277" t="s">
        <v>1113</v>
      </c>
      <c r="E37" s="276" t="str">
        <f>VLOOKUP(D37, 'S17 Work Stations'!$A$2:$B$45, 2, 0)</f>
        <v>FIN-GOOD-INV</v>
      </c>
      <c r="F37" s="277">
        <v>0</v>
      </c>
      <c r="G37" s="3">
        <v>200</v>
      </c>
    </row>
    <row r="38" spans="1:7" s="257" customFormat="1">
      <c r="A38" s="317" t="str">
        <f t="shared" si="0"/>
        <v>I-006-30</v>
      </c>
      <c r="B38" s="277" t="s">
        <v>518</v>
      </c>
      <c r="C38" s="277">
        <v>30</v>
      </c>
      <c r="D38" s="277" t="s">
        <v>1036</v>
      </c>
      <c r="E38" s="276" t="str">
        <f>VLOOKUP(D38, 'S17 Work Stations'!$A$2:$B$45, 2, 0)</f>
        <v>TUR-B2-362</v>
      </c>
      <c r="F38" s="277">
        <v>600</v>
      </c>
      <c r="G38" s="3">
        <v>200</v>
      </c>
    </row>
    <row r="39" spans="1:7" s="257" customFormat="1">
      <c r="A39" s="317" t="str">
        <f t="shared" si="0"/>
        <v>I-006-40</v>
      </c>
      <c r="B39" s="277" t="s">
        <v>518</v>
      </c>
      <c r="C39" s="277">
        <v>40</v>
      </c>
      <c r="D39" s="277" t="s">
        <v>1067</v>
      </c>
      <c r="E39" s="276" t="str">
        <f>VLOOKUP(D39, 'S17 Work Stations'!$A$2:$B$45, 2, 0)</f>
        <v>MIL-V2-602</v>
      </c>
      <c r="F39" s="277">
        <v>480</v>
      </c>
      <c r="G39" s="3">
        <v>200</v>
      </c>
    </row>
    <row r="40" spans="1:7" s="257" customFormat="1">
      <c r="A40" s="317" t="str">
        <f t="shared" si="0"/>
        <v>I-006-50</v>
      </c>
      <c r="B40" s="277" t="s">
        <v>518</v>
      </c>
      <c r="C40" s="277">
        <v>50</v>
      </c>
      <c r="D40" s="277" t="s">
        <v>1078</v>
      </c>
      <c r="E40" s="276" t="str">
        <f>VLOOKUP(D40, 'S17 Work Stations'!$A$2:$B$45, 2, 0)</f>
        <v>MIL-V5-608</v>
      </c>
      <c r="F40" s="277">
        <v>180</v>
      </c>
      <c r="G40" s="3">
        <v>200</v>
      </c>
    </row>
    <row r="41" spans="1:7" s="257" customFormat="1">
      <c r="A41" s="317" t="str">
        <f t="shared" si="0"/>
        <v>I-006-60</v>
      </c>
      <c r="B41" s="277" t="s">
        <v>518</v>
      </c>
      <c r="C41" s="277">
        <v>60</v>
      </c>
      <c r="D41" s="277" t="s">
        <v>1087</v>
      </c>
      <c r="E41" s="276" t="str">
        <f>VLOOKUP(D41, 'S17 Work Stations'!$A$2:$B$45, 2, 0)</f>
        <v>GR-T11-250</v>
      </c>
      <c r="F41" s="277">
        <v>480</v>
      </c>
      <c r="G41" s="3">
        <v>200</v>
      </c>
    </row>
    <row r="42" spans="1:7" s="257" customFormat="1">
      <c r="A42" s="317" t="str">
        <f t="shared" si="0"/>
        <v>I-006-70</v>
      </c>
      <c r="B42" s="277" t="s">
        <v>518</v>
      </c>
      <c r="C42" s="277">
        <v>70</v>
      </c>
      <c r="D42" s="277" t="s">
        <v>1094</v>
      </c>
      <c r="E42" s="276" t="str">
        <f>VLOOKUP(D42, 'S17 Work Stations'!$A$2:$B$45, 2, 0)</f>
        <v>SAW-50-150-252</v>
      </c>
      <c r="F42" s="277">
        <v>600</v>
      </c>
      <c r="G42" s="3">
        <v>200</v>
      </c>
    </row>
    <row r="43" spans="1:7" s="257" customFormat="1">
      <c r="A43" s="317" t="str">
        <f t="shared" si="0"/>
        <v>I-006-20</v>
      </c>
      <c r="B43" s="277" t="s">
        <v>518</v>
      </c>
      <c r="C43" s="277">
        <v>20</v>
      </c>
      <c r="D43" s="277" t="s">
        <v>1107</v>
      </c>
      <c r="E43" s="276" t="str">
        <f>VLOOKUP(D43, 'S17 Work Stations'!$A$2:$B$45, 2, 0)</f>
        <v>SAW-CNC-40-425</v>
      </c>
      <c r="F43" s="277">
        <v>120</v>
      </c>
      <c r="G43" s="3">
        <v>200</v>
      </c>
    </row>
    <row r="44" spans="1:7" s="257" customFormat="1">
      <c r="A44" s="317" t="str">
        <f t="shared" si="0"/>
        <v>I-006-10</v>
      </c>
      <c r="B44" s="277" t="s">
        <v>518</v>
      </c>
      <c r="C44" s="277">
        <v>10</v>
      </c>
      <c r="D44" s="277" t="s">
        <v>1112</v>
      </c>
      <c r="E44" s="276" t="str">
        <f>VLOOKUP(D44, 'S17 Work Stations'!$A$2:$B$45, 2, 0)</f>
        <v>RAW-MAT-INV</v>
      </c>
      <c r="F44" s="277">
        <v>0</v>
      </c>
      <c r="G44" s="3">
        <v>200</v>
      </c>
    </row>
    <row r="45" spans="1:7" s="257" customFormat="1">
      <c r="A45" s="317" t="str">
        <f t="shared" si="0"/>
        <v>I-006-80</v>
      </c>
      <c r="B45" s="277" t="s">
        <v>518</v>
      </c>
      <c r="C45" s="277">
        <v>80</v>
      </c>
      <c r="D45" s="277" t="s">
        <v>1113</v>
      </c>
      <c r="E45" s="276" t="str">
        <f>VLOOKUP(D45, 'S17 Work Stations'!$A$2:$B$45, 2, 0)</f>
        <v>FIN-GOOD-INV</v>
      </c>
      <c r="F45" s="277">
        <v>0</v>
      </c>
      <c r="G45" s="3">
        <v>200</v>
      </c>
    </row>
    <row r="46" spans="1:7" s="257" customFormat="1">
      <c r="A46" s="317" t="str">
        <f t="shared" si="0"/>
        <v>I-007-30</v>
      </c>
      <c r="B46" s="277" t="s">
        <v>520</v>
      </c>
      <c r="C46" s="277">
        <v>30</v>
      </c>
      <c r="D46" s="277" t="s">
        <v>1036</v>
      </c>
      <c r="E46" s="276" t="str">
        <f>VLOOKUP(D46, 'S17 Work Stations'!$A$2:$B$45, 2, 0)</f>
        <v>TUR-B2-362</v>
      </c>
      <c r="F46" s="277">
        <v>360</v>
      </c>
      <c r="G46" s="3">
        <v>200</v>
      </c>
    </row>
    <row r="47" spans="1:7" s="257" customFormat="1">
      <c r="A47" s="317" t="str">
        <f t="shared" si="0"/>
        <v>I-007-40</v>
      </c>
      <c r="B47" s="277" t="s">
        <v>520</v>
      </c>
      <c r="C47" s="277">
        <v>40</v>
      </c>
      <c r="D47" s="277" t="s">
        <v>1067</v>
      </c>
      <c r="E47" s="276" t="str">
        <f>VLOOKUP(D47, 'S17 Work Stations'!$A$2:$B$45, 2, 0)</f>
        <v>MIL-V2-602</v>
      </c>
      <c r="F47" s="277">
        <v>360</v>
      </c>
      <c r="G47" s="3">
        <v>200</v>
      </c>
    </row>
    <row r="48" spans="1:7" s="257" customFormat="1">
      <c r="A48" s="317" t="str">
        <f t="shared" si="0"/>
        <v>I-007-50</v>
      </c>
      <c r="B48" s="277" t="s">
        <v>520</v>
      </c>
      <c r="C48" s="277">
        <v>50</v>
      </c>
      <c r="D48" s="277" t="s">
        <v>1078</v>
      </c>
      <c r="E48" s="276" t="str">
        <f>VLOOKUP(D48, 'S17 Work Stations'!$A$2:$B$45, 2, 0)</f>
        <v>MIL-V5-608</v>
      </c>
      <c r="F48" s="277">
        <v>120</v>
      </c>
      <c r="G48" s="3">
        <v>200</v>
      </c>
    </row>
    <row r="49" spans="1:7" s="257" customFormat="1">
      <c r="A49" s="317" t="str">
        <f t="shared" si="0"/>
        <v>I-007-60</v>
      </c>
      <c r="B49" s="277" t="s">
        <v>520</v>
      </c>
      <c r="C49" s="277">
        <v>60</v>
      </c>
      <c r="D49" s="277" t="s">
        <v>1087</v>
      </c>
      <c r="E49" s="276" t="str">
        <f>VLOOKUP(D49, 'S17 Work Stations'!$A$2:$B$45, 2, 0)</f>
        <v>GR-T11-250</v>
      </c>
      <c r="F49" s="277">
        <v>120</v>
      </c>
      <c r="G49" s="3">
        <v>200</v>
      </c>
    </row>
    <row r="50" spans="1:7" s="257" customFormat="1">
      <c r="A50" s="317" t="str">
        <f t="shared" si="0"/>
        <v>I-007-70</v>
      </c>
      <c r="B50" s="277" t="s">
        <v>520</v>
      </c>
      <c r="C50" s="277">
        <v>70</v>
      </c>
      <c r="D50" s="277" t="s">
        <v>1094</v>
      </c>
      <c r="E50" s="276" t="str">
        <f>VLOOKUP(D50, 'S17 Work Stations'!$A$2:$B$45, 2, 0)</f>
        <v>SAW-50-150-252</v>
      </c>
      <c r="F50" s="277">
        <v>180</v>
      </c>
      <c r="G50" s="3">
        <v>200</v>
      </c>
    </row>
    <row r="51" spans="1:7" s="257" customFormat="1">
      <c r="A51" s="317" t="str">
        <f t="shared" si="0"/>
        <v>I-007-20</v>
      </c>
      <c r="B51" s="277" t="s">
        <v>520</v>
      </c>
      <c r="C51" s="277">
        <v>20</v>
      </c>
      <c r="D51" s="277" t="s">
        <v>1107</v>
      </c>
      <c r="E51" s="276" t="str">
        <f>VLOOKUP(D51, 'S17 Work Stations'!$A$2:$B$45, 2, 0)</f>
        <v>SAW-CNC-40-425</v>
      </c>
      <c r="F51" s="277">
        <v>120</v>
      </c>
      <c r="G51" s="3">
        <v>200</v>
      </c>
    </row>
    <row r="52" spans="1:7" s="257" customFormat="1">
      <c r="A52" s="317" t="str">
        <f t="shared" si="0"/>
        <v>I-007-10</v>
      </c>
      <c r="B52" s="277" t="s">
        <v>520</v>
      </c>
      <c r="C52" s="277">
        <v>10</v>
      </c>
      <c r="D52" s="277" t="s">
        <v>1112</v>
      </c>
      <c r="E52" s="276" t="str">
        <f>VLOOKUP(D52, 'S17 Work Stations'!$A$2:$B$45, 2, 0)</f>
        <v>RAW-MAT-INV</v>
      </c>
      <c r="F52" s="277">
        <v>0</v>
      </c>
      <c r="G52" s="3">
        <v>200</v>
      </c>
    </row>
    <row r="53" spans="1:7" s="257" customFormat="1">
      <c r="A53" s="317" t="str">
        <f t="shared" si="0"/>
        <v>I-007-80</v>
      </c>
      <c r="B53" s="277" t="s">
        <v>520</v>
      </c>
      <c r="C53" s="277">
        <v>80</v>
      </c>
      <c r="D53" s="277" t="s">
        <v>1113</v>
      </c>
      <c r="E53" s="276" t="str">
        <f>VLOOKUP(D53, 'S17 Work Stations'!$A$2:$B$45, 2, 0)</f>
        <v>FIN-GOOD-INV</v>
      </c>
      <c r="F53" s="277">
        <v>0</v>
      </c>
      <c r="G53" s="3">
        <v>200</v>
      </c>
    </row>
    <row r="54" spans="1:7" s="257" customFormat="1">
      <c r="A54" s="317" t="str">
        <f t="shared" si="0"/>
        <v>I-008-30</v>
      </c>
      <c r="B54" s="277" t="s">
        <v>522</v>
      </c>
      <c r="C54" s="277">
        <v>30</v>
      </c>
      <c r="D54" s="277" t="s">
        <v>1036</v>
      </c>
      <c r="E54" s="276" t="str">
        <f>VLOOKUP(D54, 'S17 Work Stations'!$A$2:$B$45, 2, 0)</f>
        <v>TUR-B2-362</v>
      </c>
      <c r="F54" s="277">
        <v>540</v>
      </c>
      <c r="G54" s="3">
        <v>200</v>
      </c>
    </row>
    <row r="55" spans="1:7" s="257" customFormat="1">
      <c r="A55" s="317" t="str">
        <f t="shared" si="0"/>
        <v>I-008-40</v>
      </c>
      <c r="B55" s="277" t="s">
        <v>522</v>
      </c>
      <c r="C55" s="277">
        <v>40</v>
      </c>
      <c r="D55" s="277" t="s">
        <v>1067</v>
      </c>
      <c r="E55" s="276" t="str">
        <f>VLOOKUP(D55, 'S17 Work Stations'!$A$2:$B$45, 2, 0)</f>
        <v>MIL-V2-602</v>
      </c>
      <c r="F55" s="277">
        <v>300</v>
      </c>
      <c r="G55" s="3">
        <v>200</v>
      </c>
    </row>
    <row r="56" spans="1:7" s="257" customFormat="1">
      <c r="A56" s="317" t="str">
        <f t="shared" si="0"/>
        <v>I-008-50</v>
      </c>
      <c r="B56" s="277" t="s">
        <v>522</v>
      </c>
      <c r="C56" s="277">
        <v>50</v>
      </c>
      <c r="D56" s="277" t="s">
        <v>1078</v>
      </c>
      <c r="E56" s="276" t="str">
        <f>VLOOKUP(D56, 'S17 Work Stations'!$A$2:$B$45, 2, 0)</f>
        <v>MIL-V5-608</v>
      </c>
      <c r="F56" s="277">
        <v>300</v>
      </c>
      <c r="G56" s="3">
        <v>200</v>
      </c>
    </row>
    <row r="57" spans="1:7" s="257" customFormat="1">
      <c r="A57" s="317" t="str">
        <f t="shared" si="0"/>
        <v>I-008-60</v>
      </c>
      <c r="B57" s="277" t="s">
        <v>522</v>
      </c>
      <c r="C57" s="277">
        <v>60</v>
      </c>
      <c r="D57" s="277" t="s">
        <v>1087</v>
      </c>
      <c r="E57" s="276" t="str">
        <f>VLOOKUP(D57, 'S17 Work Stations'!$A$2:$B$45, 2, 0)</f>
        <v>GR-T11-250</v>
      </c>
      <c r="F57" s="277">
        <v>300</v>
      </c>
      <c r="G57" s="3">
        <v>200</v>
      </c>
    </row>
    <row r="58" spans="1:7" s="257" customFormat="1">
      <c r="A58" s="317" t="str">
        <f t="shared" si="0"/>
        <v>I-008-70</v>
      </c>
      <c r="B58" s="277" t="s">
        <v>522</v>
      </c>
      <c r="C58" s="277">
        <v>70</v>
      </c>
      <c r="D58" s="277" t="s">
        <v>1094</v>
      </c>
      <c r="E58" s="276" t="str">
        <f>VLOOKUP(D58, 'S17 Work Stations'!$A$2:$B$45, 2, 0)</f>
        <v>SAW-50-150-252</v>
      </c>
      <c r="F58" s="277">
        <v>180</v>
      </c>
      <c r="G58" s="3">
        <v>200</v>
      </c>
    </row>
    <row r="59" spans="1:7" s="257" customFormat="1">
      <c r="A59" s="317" t="str">
        <f t="shared" si="0"/>
        <v>I-008-20</v>
      </c>
      <c r="B59" s="277" t="s">
        <v>522</v>
      </c>
      <c r="C59" s="277">
        <v>20</v>
      </c>
      <c r="D59" s="277" t="s">
        <v>1107</v>
      </c>
      <c r="E59" s="276" t="str">
        <f>VLOOKUP(D59, 'S17 Work Stations'!$A$2:$B$45, 2, 0)</f>
        <v>SAW-CNC-40-425</v>
      </c>
      <c r="F59" s="277">
        <v>120</v>
      </c>
      <c r="G59" s="3">
        <v>200</v>
      </c>
    </row>
    <row r="60" spans="1:7" s="257" customFormat="1">
      <c r="A60" s="317" t="str">
        <f t="shared" si="0"/>
        <v>I-008-10</v>
      </c>
      <c r="B60" s="277" t="s">
        <v>522</v>
      </c>
      <c r="C60" s="277">
        <v>10</v>
      </c>
      <c r="D60" s="277" t="s">
        <v>1112</v>
      </c>
      <c r="E60" s="276" t="str">
        <f>VLOOKUP(D60, 'S17 Work Stations'!$A$2:$B$45, 2, 0)</f>
        <v>RAW-MAT-INV</v>
      </c>
      <c r="F60" s="277">
        <v>0</v>
      </c>
      <c r="G60" s="3">
        <v>200</v>
      </c>
    </row>
    <row r="61" spans="1:7" s="257" customFormat="1">
      <c r="A61" s="317" t="str">
        <f t="shared" si="0"/>
        <v>I-008-80</v>
      </c>
      <c r="B61" s="277" t="s">
        <v>522</v>
      </c>
      <c r="C61" s="277">
        <v>80</v>
      </c>
      <c r="D61" s="277" t="s">
        <v>1113</v>
      </c>
      <c r="E61" s="276" t="str">
        <f>VLOOKUP(D61, 'S17 Work Stations'!$A$2:$B$45, 2, 0)</f>
        <v>FIN-GOOD-INV</v>
      </c>
      <c r="F61" s="277">
        <v>0</v>
      </c>
      <c r="G61" s="3">
        <v>200</v>
      </c>
    </row>
    <row r="62" spans="1:7" s="257" customFormat="1">
      <c r="A62" s="317" t="str">
        <f t="shared" si="0"/>
        <v>I-009-30</v>
      </c>
      <c r="B62" s="277" t="s">
        <v>524</v>
      </c>
      <c r="C62" s="277">
        <v>30</v>
      </c>
      <c r="D62" s="277" t="s">
        <v>1038</v>
      </c>
      <c r="E62" s="276" t="str">
        <f>VLOOKUP(D62, 'S17 Work Stations'!$A$2:$B$45, 2, 0)</f>
        <v>MIL-A31-363</v>
      </c>
      <c r="F62" s="277">
        <v>540</v>
      </c>
      <c r="G62" s="3">
        <v>200</v>
      </c>
    </row>
    <row r="63" spans="1:7" s="257" customFormat="1">
      <c r="A63" s="317" t="str">
        <f t="shared" si="0"/>
        <v>I-009-40</v>
      </c>
      <c r="B63" s="277" t="s">
        <v>524</v>
      </c>
      <c r="C63" s="277">
        <v>40</v>
      </c>
      <c r="D63" s="277" t="s">
        <v>1067</v>
      </c>
      <c r="E63" s="276" t="str">
        <f>VLOOKUP(D63, 'S17 Work Stations'!$A$2:$B$45, 2, 0)</f>
        <v>MIL-V2-602</v>
      </c>
      <c r="F63" s="277">
        <v>360</v>
      </c>
      <c r="G63" s="3">
        <v>200</v>
      </c>
    </row>
    <row r="64" spans="1:7" s="257" customFormat="1">
      <c r="A64" s="317" t="str">
        <f t="shared" si="0"/>
        <v>I-009-50</v>
      </c>
      <c r="B64" s="277" t="s">
        <v>524</v>
      </c>
      <c r="C64" s="277">
        <v>50</v>
      </c>
      <c r="D64" s="277" t="s">
        <v>1087</v>
      </c>
      <c r="E64" s="276" t="str">
        <f>VLOOKUP(D64, 'S17 Work Stations'!$A$2:$B$45, 2, 0)</f>
        <v>GR-T11-250</v>
      </c>
      <c r="F64" s="277">
        <v>360</v>
      </c>
      <c r="G64" s="3">
        <v>200</v>
      </c>
    </row>
    <row r="65" spans="1:7" s="257" customFormat="1">
      <c r="A65" s="317" t="str">
        <f t="shared" si="0"/>
        <v>I-009-20</v>
      </c>
      <c r="B65" s="277" t="s">
        <v>524</v>
      </c>
      <c r="C65" s="277">
        <v>20</v>
      </c>
      <c r="D65" s="277" t="s">
        <v>1107</v>
      </c>
      <c r="E65" s="276" t="str">
        <f>VLOOKUP(D65, 'S17 Work Stations'!$A$2:$B$45, 2, 0)</f>
        <v>SAW-CNC-40-425</v>
      </c>
      <c r="F65" s="277">
        <v>120</v>
      </c>
      <c r="G65" s="3">
        <v>200</v>
      </c>
    </row>
    <row r="66" spans="1:7" s="257" customFormat="1">
      <c r="A66" s="317" t="str">
        <f t="shared" ref="A66:A129" si="1">B66&amp;"-"&amp;C66</f>
        <v>I-009-10</v>
      </c>
      <c r="B66" s="277" t="s">
        <v>524</v>
      </c>
      <c r="C66" s="277">
        <v>10</v>
      </c>
      <c r="D66" s="277" t="s">
        <v>1112</v>
      </c>
      <c r="E66" s="276" t="str">
        <f>VLOOKUP(D66, 'S17 Work Stations'!$A$2:$B$45, 2, 0)</f>
        <v>RAW-MAT-INV</v>
      </c>
      <c r="F66" s="277">
        <v>0</v>
      </c>
      <c r="G66" s="3">
        <v>200</v>
      </c>
    </row>
    <row r="67" spans="1:7" s="257" customFormat="1">
      <c r="A67" s="317" t="str">
        <f t="shared" si="1"/>
        <v>I-009-60</v>
      </c>
      <c r="B67" s="277" t="s">
        <v>524</v>
      </c>
      <c r="C67" s="277">
        <v>60</v>
      </c>
      <c r="D67" s="277" t="s">
        <v>1113</v>
      </c>
      <c r="E67" s="276" t="str">
        <f>VLOOKUP(D67, 'S17 Work Stations'!$A$2:$B$45, 2, 0)</f>
        <v>FIN-GOOD-INV</v>
      </c>
      <c r="F67" s="277">
        <v>0</v>
      </c>
      <c r="G67" s="3">
        <v>200</v>
      </c>
    </row>
    <row r="68" spans="1:7" s="257" customFormat="1">
      <c r="A68" s="317" t="str">
        <f t="shared" si="1"/>
        <v>I-010-30</v>
      </c>
      <c r="B68" s="277" t="s">
        <v>526</v>
      </c>
      <c r="C68" s="277">
        <v>30</v>
      </c>
      <c r="D68" s="277" t="s">
        <v>1036</v>
      </c>
      <c r="E68" s="276" t="str">
        <f>VLOOKUP(D68, 'S17 Work Stations'!$A$2:$B$45, 2, 0)</f>
        <v>TUR-B2-362</v>
      </c>
      <c r="F68" s="277">
        <v>360</v>
      </c>
      <c r="G68" s="3">
        <v>200</v>
      </c>
    </row>
    <row r="69" spans="1:7" s="257" customFormat="1">
      <c r="A69" s="317" t="str">
        <f t="shared" si="1"/>
        <v>I-010-40</v>
      </c>
      <c r="B69" s="277" t="s">
        <v>526</v>
      </c>
      <c r="C69" s="277">
        <v>40</v>
      </c>
      <c r="D69" s="277" t="s">
        <v>1067</v>
      </c>
      <c r="E69" s="276" t="str">
        <f>VLOOKUP(D69, 'S17 Work Stations'!$A$2:$B$45, 2, 0)</f>
        <v>MIL-V2-602</v>
      </c>
      <c r="F69" s="277">
        <v>420</v>
      </c>
      <c r="G69" s="3">
        <v>200</v>
      </c>
    </row>
    <row r="70" spans="1:7" s="257" customFormat="1">
      <c r="A70" s="317" t="str">
        <f t="shared" si="1"/>
        <v>I-010-50</v>
      </c>
      <c r="B70" s="277" t="s">
        <v>526</v>
      </c>
      <c r="C70" s="277">
        <v>50</v>
      </c>
      <c r="D70" s="277" t="s">
        <v>1078</v>
      </c>
      <c r="E70" s="276" t="str">
        <f>VLOOKUP(D70, 'S17 Work Stations'!$A$2:$B$45, 2, 0)</f>
        <v>MIL-V5-608</v>
      </c>
      <c r="F70" s="277">
        <v>360</v>
      </c>
      <c r="G70" s="3">
        <v>200</v>
      </c>
    </row>
    <row r="71" spans="1:7" s="257" customFormat="1">
      <c r="A71" s="317" t="str">
        <f t="shared" si="1"/>
        <v>I-010-60</v>
      </c>
      <c r="B71" s="277" t="s">
        <v>526</v>
      </c>
      <c r="C71" s="277">
        <v>60</v>
      </c>
      <c r="D71" s="277" t="s">
        <v>1087</v>
      </c>
      <c r="E71" s="276" t="str">
        <f>VLOOKUP(D71, 'S17 Work Stations'!$A$2:$B$45, 2, 0)</f>
        <v>GR-T11-250</v>
      </c>
      <c r="F71" s="277">
        <v>420</v>
      </c>
      <c r="G71" s="3">
        <v>200</v>
      </c>
    </row>
    <row r="72" spans="1:7" s="257" customFormat="1">
      <c r="A72" s="317" t="str">
        <f t="shared" si="1"/>
        <v>I-010-70</v>
      </c>
      <c r="B72" s="277" t="s">
        <v>526</v>
      </c>
      <c r="C72" s="277">
        <v>70</v>
      </c>
      <c r="D72" s="277" t="s">
        <v>1094</v>
      </c>
      <c r="E72" s="276" t="str">
        <f>VLOOKUP(D72, 'S17 Work Stations'!$A$2:$B$45, 2, 0)</f>
        <v>SAW-50-150-252</v>
      </c>
      <c r="F72" s="277">
        <v>180</v>
      </c>
      <c r="G72" s="3">
        <v>200</v>
      </c>
    </row>
    <row r="73" spans="1:7" s="257" customFormat="1">
      <c r="A73" s="317" t="str">
        <f t="shared" si="1"/>
        <v>I-010-20</v>
      </c>
      <c r="B73" s="277" t="s">
        <v>526</v>
      </c>
      <c r="C73" s="277">
        <v>20</v>
      </c>
      <c r="D73" s="277" t="s">
        <v>1107</v>
      </c>
      <c r="E73" s="276" t="str">
        <f>VLOOKUP(D73, 'S17 Work Stations'!$A$2:$B$45, 2, 0)</f>
        <v>SAW-CNC-40-425</v>
      </c>
      <c r="F73" s="277">
        <v>120</v>
      </c>
      <c r="G73" s="3">
        <v>200</v>
      </c>
    </row>
    <row r="74" spans="1:7" s="257" customFormat="1">
      <c r="A74" s="317" t="str">
        <f t="shared" si="1"/>
        <v>I-010-10</v>
      </c>
      <c r="B74" s="277" t="s">
        <v>526</v>
      </c>
      <c r="C74" s="277">
        <v>10</v>
      </c>
      <c r="D74" s="277" t="s">
        <v>1112</v>
      </c>
      <c r="E74" s="276" t="str">
        <f>VLOOKUP(D74, 'S17 Work Stations'!$A$2:$B$45, 2, 0)</f>
        <v>RAW-MAT-INV</v>
      </c>
      <c r="F74" s="277">
        <v>0</v>
      </c>
      <c r="G74" s="3">
        <v>200</v>
      </c>
    </row>
    <row r="75" spans="1:7" s="257" customFormat="1">
      <c r="A75" s="317" t="str">
        <f t="shared" si="1"/>
        <v>I-010-80</v>
      </c>
      <c r="B75" s="277" t="s">
        <v>526</v>
      </c>
      <c r="C75" s="277">
        <v>80</v>
      </c>
      <c r="D75" s="277" t="s">
        <v>1113</v>
      </c>
      <c r="E75" s="276" t="str">
        <f>VLOOKUP(D75, 'S17 Work Stations'!$A$2:$B$45, 2, 0)</f>
        <v>FIN-GOOD-INV</v>
      </c>
      <c r="F75" s="277">
        <v>0</v>
      </c>
      <c r="G75" s="3">
        <v>200</v>
      </c>
    </row>
    <row r="76" spans="1:7" s="257" customFormat="1">
      <c r="A76" s="317" t="str">
        <f t="shared" si="1"/>
        <v>I-011-30</v>
      </c>
      <c r="B76" s="277" t="s">
        <v>528</v>
      </c>
      <c r="C76" s="277">
        <v>30</v>
      </c>
      <c r="D76" s="277" t="s">
        <v>1036</v>
      </c>
      <c r="E76" s="276" t="str">
        <f>VLOOKUP(D76, 'S17 Work Stations'!$A$2:$B$45, 2, 0)</f>
        <v>TUR-B2-362</v>
      </c>
      <c r="F76" s="277">
        <v>360</v>
      </c>
      <c r="G76" s="3">
        <v>200</v>
      </c>
    </row>
    <row r="77" spans="1:7" s="257" customFormat="1">
      <c r="A77" s="317" t="str">
        <f t="shared" si="1"/>
        <v>I-011-40</v>
      </c>
      <c r="B77" s="277" t="s">
        <v>528</v>
      </c>
      <c r="C77" s="277">
        <v>40</v>
      </c>
      <c r="D77" s="277" t="s">
        <v>1067</v>
      </c>
      <c r="E77" s="276" t="str">
        <f>VLOOKUP(D77, 'S17 Work Stations'!$A$2:$B$45, 2, 0)</f>
        <v>MIL-V2-602</v>
      </c>
      <c r="F77" s="277">
        <v>420</v>
      </c>
      <c r="G77" s="3">
        <v>200</v>
      </c>
    </row>
    <row r="78" spans="1:7" s="257" customFormat="1">
      <c r="A78" s="317" t="str">
        <f t="shared" si="1"/>
        <v>I-011-50</v>
      </c>
      <c r="B78" s="277" t="s">
        <v>528</v>
      </c>
      <c r="C78" s="277">
        <v>50</v>
      </c>
      <c r="D78" s="277" t="s">
        <v>1087</v>
      </c>
      <c r="E78" s="276" t="str">
        <f>VLOOKUP(D78, 'S17 Work Stations'!$A$2:$B$45, 2, 0)</f>
        <v>GR-T11-250</v>
      </c>
      <c r="F78" s="277">
        <v>420</v>
      </c>
      <c r="G78" s="3">
        <v>200</v>
      </c>
    </row>
    <row r="79" spans="1:7" s="257" customFormat="1">
      <c r="A79" s="317" t="str">
        <f t="shared" si="1"/>
        <v>I-011-60</v>
      </c>
      <c r="B79" s="277" t="s">
        <v>528</v>
      </c>
      <c r="C79" s="277">
        <v>60</v>
      </c>
      <c r="D79" s="277" t="s">
        <v>1094</v>
      </c>
      <c r="E79" s="276" t="str">
        <f>VLOOKUP(D79, 'S17 Work Stations'!$A$2:$B$45, 2, 0)</f>
        <v>SAW-50-150-252</v>
      </c>
      <c r="F79" s="277">
        <v>180</v>
      </c>
      <c r="G79" s="3">
        <v>200</v>
      </c>
    </row>
    <row r="80" spans="1:7" s="257" customFormat="1">
      <c r="A80" s="317" t="str">
        <f t="shared" si="1"/>
        <v>I-011-20</v>
      </c>
      <c r="B80" s="277" t="s">
        <v>528</v>
      </c>
      <c r="C80" s="277">
        <v>20</v>
      </c>
      <c r="D80" s="277" t="s">
        <v>1107</v>
      </c>
      <c r="E80" s="276" t="str">
        <f>VLOOKUP(D80, 'S17 Work Stations'!$A$2:$B$45, 2, 0)</f>
        <v>SAW-CNC-40-425</v>
      </c>
      <c r="F80" s="277">
        <v>120</v>
      </c>
      <c r="G80" s="3">
        <v>200</v>
      </c>
    </row>
    <row r="81" spans="1:7" s="257" customFormat="1">
      <c r="A81" s="317" t="str">
        <f t="shared" si="1"/>
        <v>I-011-10</v>
      </c>
      <c r="B81" s="277" t="s">
        <v>528</v>
      </c>
      <c r="C81" s="277">
        <v>10</v>
      </c>
      <c r="D81" s="277" t="s">
        <v>1112</v>
      </c>
      <c r="E81" s="276" t="str">
        <f>VLOOKUP(D81, 'S17 Work Stations'!$A$2:$B$45, 2, 0)</f>
        <v>RAW-MAT-INV</v>
      </c>
      <c r="F81" s="277">
        <v>0</v>
      </c>
      <c r="G81" s="3">
        <v>200</v>
      </c>
    </row>
    <row r="82" spans="1:7" s="257" customFormat="1">
      <c r="A82" s="317" t="str">
        <f t="shared" si="1"/>
        <v>I-011-70</v>
      </c>
      <c r="B82" s="277" t="s">
        <v>528</v>
      </c>
      <c r="C82" s="277">
        <v>70</v>
      </c>
      <c r="D82" s="277" t="s">
        <v>1113</v>
      </c>
      <c r="E82" s="276" t="str">
        <f>VLOOKUP(D82, 'S17 Work Stations'!$A$2:$B$45, 2, 0)</f>
        <v>FIN-GOOD-INV</v>
      </c>
      <c r="F82" s="277">
        <v>0</v>
      </c>
      <c r="G82" s="3">
        <v>200</v>
      </c>
    </row>
    <row r="83" spans="1:7" s="257" customFormat="1">
      <c r="A83" s="317" t="str">
        <f t="shared" si="1"/>
        <v>I-012-30</v>
      </c>
      <c r="B83" s="277" t="s">
        <v>530</v>
      </c>
      <c r="C83" s="277">
        <v>30</v>
      </c>
      <c r="D83" s="277" t="s">
        <v>1046</v>
      </c>
      <c r="E83" s="276" t="str">
        <f>VLOOKUP(D83, 'S17 Work Stations'!$A$2:$B$45, 2, 0)</f>
        <v>TUR-C2-367</v>
      </c>
      <c r="F83" s="277">
        <v>600</v>
      </c>
      <c r="G83" s="3">
        <v>200</v>
      </c>
    </row>
    <row r="84" spans="1:7" s="257" customFormat="1">
      <c r="A84" s="317" t="str">
        <f t="shared" si="1"/>
        <v>I-012-40</v>
      </c>
      <c r="B84" s="277" t="s">
        <v>530</v>
      </c>
      <c r="C84" s="277">
        <v>40</v>
      </c>
      <c r="D84" s="277" t="s">
        <v>1048</v>
      </c>
      <c r="E84" s="276" t="str">
        <f>VLOOKUP(D84, 'S17 Work Stations'!$A$2:$B$45, 2, 0)</f>
        <v>MIL-10-150-401</v>
      </c>
      <c r="F84" s="277">
        <v>120</v>
      </c>
      <c r="G84" s="3">
        <v>200</v>
      </c>
    </row>
    <row r="85" spans="1:7" s="257" customFormat="1">
      <c r="A85" s="317" t="str">
        <f t="shared" si="1"/>
        <v>I-012-50</v>
      </c>
      <c r="B85" s="277" t="s">
        <v>530</v>
      </c>
      <c r="C85" s="277">
        <v>50</v>
      </c>
      <c r="D85" s="277" t="s">
        <v>1071</v>
      </c>
      <c r="E85" s="276" t="str">
        <f>VLOOKUP(D85, 'S17 Work Stations'!$A$2:$B$45, 2, 0)</f>
        <v>MIL-H21-604</v>
      </c>
      <c r="F85" s="277">
        <v>1140</v>
      </c>
      <c r="G85" s="3">
        <v>200</v>
      </c>
    </row>
    <row r="86" spans="1:7" s="257" customFormat="1">
      <c r="A86" s="317" t="str">
        <f t="shared" si="1"/>
        <v>I-012-60</v>
      </c>
      <c r="B86" s="277" t="s">
        <v>530</v>
      </c>
      <c r="C86" s="277">
        <v>60</v>
      </c>
      <c r="D86" s="277" t="s">
        <v>1082</v>
      </c>
      <c r="E86" s="276" t="str">
        <f>VLOOKUP(D86, 'S17 Work Stations'!$A$2:$B$45, 2, 0)</f>
        <v>DR-2A2-202</v>
      </c>
      <c r="F86" s="277">
        <v>120</v>
      </c>
      <c r="G86" s="3">
        <v>200</v>
      </c>
    </row>
    <row r="87" spans="1:7" s="257" customFormat="1">
      <c r="A87" s="317" t="str">
        <f t="shared" si="1"/>
        <v>I-012-70</v>
      </c>
      <c r="B87" s="277" t="s">
        <v>530</v>
      </c>
      <c r="C87" s="277">
        <v>70</v>
      </c>
      <c r="D87" s="277" t="s">
        <v>1093</v>
      </c>
      <c r="E87" s="276" t="str">
        <f>VLOOKUP(D87, 'S17 Work Stations'!$A$2:$B$45, 2, 0)</f>
        <v>SAW-30-150-251</v>
      </c>
      <c r="F87" s="277">
        <v>360</v>
      </c>
      <c r="G87" s="3">
        <v>200</v>
      </c>
    </row>
    <row r="88" spans="1:7" s="257" customFormat="1">
      <c r="A88" s="317" t="str">
        <f t="shared" si="1"/>
        <v>I-012-20</v>
      </c>
      <c r="B88" s="277" t="s">
        <v>530</v>
      </c>
      <c r="C88" s="277">
        <v>20</v>
      </c>
      <c r="D88" s="277" t="s">
        <v>1107</v>
      </c>
      <c r="E88" s="276" t="str">
        <f>VLOOKUP(D88, 'S17 Work Stations'!$A$2:$B$45, 2, 0)</f>
        <v>SAW-CNC-40-425</v>
      </c>
      <c r="F88" s="277">
        <v>120</v>
      </c>
      <c r="G88" s="3">
        <v>200</v>
      </c>
    </row>
    <row r="89" spans="1:7" s="257" customFormat="1">
      <c r="A89" s="317" t="str">
        <f t="shared" si="1"/>
        <v>I-012-10</v>
      </c>
      <c r="B89" s="277" t="s">
        <v>530</v>
      </c>
      <c r="C89" s="277">
        <v>10</v>
      </c>
      <c r="D89" s="277" t="s">
        <v>1112</v>
      </c>
      <c r="E89" s="276" t="str">
        <f>VLOOKUP(D89, 'S17 Work Stations'!$A$2:$B$45, 2, 0)</f>
        <v>RAW-MAT-INV</v>
      </c>
      <c r="F89" s="277">
        <v>0</v>
      </c>
      <c r="G89" s="3">
        <v>200</v>
      </c>
    </row>
    <row r="90" spans="1:7" s="257" customFormat="1">
      <c r="A90" s="317" t="str">
        <f t="shared" si="1"/>
        <v>I-012-80</v>
      </c>
      <c r="B90" s="277" t="s">
        <v>530</v>
      </c>
      <c r="C90" s="277">
        <v>80</v>
      </c>
      <c r="D90" s="277" t="s">
        <v>1113</v>
      </c>
      <c r="E90" s="276" t="str">
        <f>VLOOKUP(D90, 'S17 Work Stations'!$A$2:$B$45, 2, 0)</f>
        <v>FIN-GOOD-INV</v>
      </c>
      <c r="F90" s="277">
        <v>0</v>
      </c>
      <c r="G90" s="3">
        <v>200</v>
      </c>
    </row>
    <row r="91" spans="1:7" s="257" customFormat="1">
      <c r="A91" s="317" t="str">
        <f t="shared" si="1"/>
        <v>I-013-30</v>
      </c>
      <c r="B91" s="277" t="s">
        <v>532</v>
      </c>
      <c r="C91" s="277">
        <v>30</v>
      </c>
      <c r="D91" s="277" t="s">
        <v>1049</v>
      </c>
      <c r="E91" s="276" t="str">
        <f>VLOOKUP(D91, 'S17 Work Stations'!$A$2:$B$45, 2, 0)</f>
        <v>TUR-20-120-402</v>
      </c>
      <c r="F91" s="277">
        <v>920</v>
      </c>
      <c r="G91" s="3">
        <v>200</v>
      </c>
    </row>
    <row r="92" spans="1:7" s="257" customFormat="1">
      <c r="A92" s="317" t="str">
        <f t="shared" si="1"/>
        <v>I-013-40</v>
      </c>
      <c r="B92" s="277" t="s">
        <v>532</v>
      </c>
      <c r="C92" s="277">
        <v>40</v>
      </c>
      <c r="D92" s="277" t="s">
        <v>1072</v>
      </c>
      <c r="E92" s="276" t="str">
        <f>VLOOKUP(D92, 'S17 Work Stations'!$A$2:$B$45, 2, 0)</f>
        <v>MIL-U1-605</v>
      </c>
      <c r="F92" s="277">
        <v>360</v>
      </c>
      <c r="G92" s="3">
        <v>200</v>
      </c>
    </row>
    <row r="93" spans="1:7" s="257" customFormat="1">
      <c r="A93" s="317" t="str">
        <f t="shared" si="1"/>
        <v>I-013-50</v>
      </c>
      <c r="B93" s="277" t="s">
        <v>532</v>
      </c>
      <c r="C93" s="277">
        <v>50</v>
      </c>
      <c r="D93" s="277" t="s">
        <v>1089</v>
      </c>
      <c r="E93" s="276" t="str">
        <f>VLOOKUP(D93, 'S17 Work Stations'!$A$2:$B$45, 2, 0)</f>
        <v>DR-3A-206</v>
      </c>
      <c r="F93" s="277">
        <v>360</v>
      </c>
      <c r="G93" s="3">
        <v>200</v>
      </c>
    </row>
    <row r="94" spans="1:7" s="257" customFormat="1">
      <c r="A94" s="317" t="str">
        <f t="shared" si="1"/>
        <v>I-013-60</v>
      </c>
      <c r="B94" s="277" t="s">
        <v>532</v>
      </c>
      <c r="C94" s="277">
        <v>60</v>
      </c>
      <c r="D94" s="277" t="s">
        <v>1096</v>
      </c>
      <c r="E94" s="276" t="str">
        <f>VLOOKUP(D94, 'S17 Work Stations'!$A$2:$B$45, 2, 0)</f>
        <v>SAW-30-160-252</v>
      </c>
      <c r="F94" s="277">
        <v>540</v>
      </c>
      <c r="G94" s="3">
        <v>200</v>
      </c>
    </row>
    <row r="95" spans="1:7" s="257" customFormat="1">
      <c r="A95" s="317" t="str">
        <f t="shared" si="1"/>
        <v>I-013-20</v>
      </c>
      <c r="B95" s="277" t="s">
        <v>532</v>
      </c>
      <c r="C95" s="277">
        <v>20</v>
      </c>
      <c r="D95" s="277" t="s">
        <v>1101</v>
      </c>
      <c r="E95" s="276" t="str">
        <f>VLOOKUP(D95, 'S17 Work Stations'!$A$2:$B$45, 2, 0)</f>
        <v>SAW-50-422</v>
      </c>
      <c r="F95" s="277">
        <v>120</v>
      </c>
      <c r="G95" s="3">
        <v>200</v>
      </c>
    </row>
    <row r="96" spans="1:7" s="257" customFormat="1">
      <c r="A96" s="317" t="str">
        <f t="shared" si="1"/>
        <v>I-013-10</v>
      </c>
      <c r="B96" s="277" t="s">
        <v>532</v>
      </c>
      <c r="C96" s="277">
        <v>10</v>
      </c>
      <c r="D96" s="277" t="s">
        <v>1112</v>
      </c>
      <c r="E96" s="276" t="str">
        <f>VLOOKUP(D96, 'S17 Work Stations'!$A$2:$B$45, 2, 0)</f>
        <v>RAW-MAT-INV</v>
      </c>
      <c r="F96" s="277">
        <v>0</v>
      </c>
      <c r="G96" s="3">
        <v>200</v>
      </c>
    </row>
    <row r="97" spans="1:7" s="257" customFormat="1">
      <c r="A97" s="317" t="str">
        <f t="shared" si="1"/>
        <v>I-013-70</v>
      </c>
      <c r="B97" s="277" t="s">
        <v>532</v>
      </c>
      <c r="C97" s="277">
        <v>70</v>
      </c>
      <c r="D97" s="277" t="s">
        <v>1113</v>
      </c>
      <c r="E97" s="276" t="str">
        <f>VLOOKUP(D97, 'S17 Work Stations'!$A$2:$B$45, 2, 0)</f>
        <v>FIN-GOOD-INV</v>
      </c>
      <c r="F97" s="277">
        <v>0</v>
      </c>
      <c r="G97" s="3">
        <v>200</v>
      </c>
    </row>
    <row r="98" spans="1:7" s="257" customFormat="1">
      <c r="A98" s="317" t="str">
        <f t="shared" si="1"/>
        <v>I-014-30</v>
      </c>
      <c r="B98" s="277" t="s">
        <v>534</v>
      </c>
      <c r="C98" s="277">
        <v>30</v>
      </c>
      <c r="D98" s="277" t="s">
        <v>1053</v>
      </c>
      <c r="E98" s="276" t="str">
        <f>VLOOKUP(D98, 'S17 Work Stations'!$A$2:$B$45, 2, 0)</f>
        <v>TUR-40-100-404</v>
      </c>
      <c r="F98" s="277">
        <v>600</v>
      </c>
      <c r="G98" s="3">
        <v>200</v>
      </c>
    </row>
    <row r="99" spans="1:7" s="257" customFormat="1">
      <c r="A99" s="317" t="str">
        <f t="shared" si="1"/>
        <v>I-014-40</v>
      </c>
      <c r="B99" s="277" t="s">
        <v>534</v>
      </c>
      <c r="C99" s="277">
        <v>40</v>
      </c>
      <c r="D99" s="277" t="s">
        <v>1072</v>
      </c>
      <c r="E99" s="276" t="str">
        <f>VLOOKUP(D99, 'S17 Work Stations'!$A$2:$B$45, 2, 0)</f>
        <v>MIL-U1-605</v>
      </c>
      <c r="F99" s="277">
        <v>540</v>
      </c>
      <c r="G99" s="3">
        <v>200</v>
      </c>
    </row>
    <row r="100" spans="1:7" s="257" customFormat="1">
      <c r="A100" s="317" t="str">
        <f t="shared" si="1"/>
        <v>I-014-50</v>
      </c>
      <c r="B100" s="277" t="s">
        <v>534</v>
      </c>
      <c r="C100" s="277">
        <v>50</v>
      </c>
      <c r="D100" s="277" t="s">
        <v>1089</v>
      </c>
      <c r="E100" s="276" t="str">
        <f>VLOOKUP(D100, 'S17 Work Stations'!$A$2:$B$45, 2, 0)</f>
        <v>DR-3A-206</v>
      </c>
      <c r="F100" s="277">
        <v>360</v>
      </c>
      <c r="G100" s="3">
        <v>200</v>
      </c>
    </row>
    <row r="101" spans="1:7" s="257" customFormat="1">
      <c r="A101" s="317" t="str">
        <f t="shared" si="1"/>
        <v>I-014-60</v>
      </c>
      <c r="B101" s="277" t="s">
        <v>534</v>
      </c>
      <c r="C101" s="277">
        <v>60</v>
      </c>
      <c r="D101" s="277" t="s">
        <v>1096</v>
      </c>
      <c r="E101" s="276" t="str">
        <f>VLOOKUP(D101, 'S17 Work Stations'!$A$2:$B$45, 2, 0)</f>
        <v>SAW-30-160-252</v>
      </c>
      <c r="F101" s="277">
        <v>540</v>
      </c>
      <c r="G101" s="3">
        <v>200</v>
      </c>
    </row>
    <row r="102" spans="1:7" s="257" customFormat="1">
      <c r="A102" s="317" t="str">
        <f t="shared" si="1"/>
        <v>I-014-20</v>
      </c>
      <c r="B102" s="277" t="s">
        <v>534</v>
      </c>
      <c r="C102" s="277">
        <v>20</v>
      </c>
      <c r="D102" s="277" t="s">
        <v>1101</v>
      </c>
      <c r="E102" s="276" t="str">
        <f>VLOOKUP(D102, 'S17 Work Stations'!$A$2:$B$45, 2, 0)</f>
        <v>SAW-50-422</v>
      </c>
      <c r="F102" s="277">
        <v>120</v>
      </c>
      <c r="G102" s="3">
        <v>200</v>
      </c>
    </row>
    <row r="103" spans="1:7" s="257" customFormat="1">
      <c r="A103" s="317" t="str">
        <f t="shared" si="1"/>
        <v>I-014-10</v>
      </c>
      <c r="B103" s="277" t="s">
        <v>534</v>
      </c>
      <c r="C103" s="277">
        <v>10</v>
      </c>
      <c r="D103" s="277" t="s">
        <v>1112</v>
      </c>
      <c r="E103" s="276" t="str">
        <f>VLOOKUP(D103, 'S17 Work Stations'!$A$2:$B$45, 2, 0)</f>
        <v>RAW-MAT-INV</v>
      </c>
      <c r="F103" s="277">
        <v>0</v>
      </c>
      <c r="G103" s="3">
        <v>200</v>
      </c>
    </row>
    <row r="104" spans="1:7" s="257" customFormat="1">
      <c r="A104" s="317" t="str">
        <f t="shared" si="1"/>
        <v>I-014-70</v>
      </c>
      <c r="B104" s="277" t="s">
        <v>534</v>
      </c>
      <c r="C104" s="277">
        <v>70</v>
      </c>
      <c r="D104" s="277" t="s">
        <v>1113</v>
      </c>
      <c r="E104" s="276" t="str">
        <f>VLOOKUP(D104, 'S17 Work Stations'!$A$2:$B$45, 2, 0)</f>
        <v>FIN-GOOD-INV</v>
      </c>
      <c r="F104" s="277">
        <v>0</v>
      </c>
      <c r="G104" s="3">
        <v>200</v>
      </c>
    </row>
    <row r="105" spans="1:7" s="257" customFormat="1">
      <c r="A105" s="317" t="str">
        <f t="shared" si="1"/>
        <v>I-015-30</v>
      </c>
      <c r="B105" s="277" t="s">
        <v>536</v>
      </c>
      <c r="C105" s="277">
        <v>30</v>
      </c>
      <c r="D105" s="277" t="s">
        <v>1053</v>
      </c>
      <c r="E105" s="276" t="str">
        <f>VLOOKUP(D105, 'S17 Work Stations'!$A$2:$B$45, 2, 0)</f>
        <v>TUR-40-100-404</v>
      </c>
      <c r="F105" s="277">
        <v>600</v>
      </c>
      <c r="G105" s="3">
        <v>200</v>
      </c>
    </row>
    <row r="106" spans="1:7" s="257" customFormat="1">
      <c r="A106" s="317" t="str">
        <f t="shared" si="1"/>
        <v>I-015-40</v>
      </c>
      <c r="B106" s="277" t="s">
        <v>536</v>
      </c>
      <c r="C106" s="277">
        <v>40</v>
      </c>
      <c r="D106" s="277" t="s">
        <v>1072</v>
      </c>
      <c r="E106" s="276" t="str">
        <f>VLOOKUP(D106, 'S17 Work Stations'!$A$2:$B$45, 2, 0)</f>
        <v>MIL-U1-605</v>
      </c>
      <c r="F106" s="277">
        <v>540</v>
      </c>
      <c r="G106" s="3">
        <v>200</v>
      </c>
    </row>
    <row r="107" spans="1:7" s="257" customFormat="1">
      <c r="A107" s="317" t="str">
        <f t="shared" si="1"/>
        <v>I-015-50</v>
      </c>
      <c r="B107" s="277" t="s">
        <v>536</v>
      </c>
      <c r="C107" s="277">
        <v>50</v>
      </c>
      <c r="D107" s="277" t="s">
        <v>1089</v>
      </c>
      <c r="E107" s="276" t="str">
        <f>VLOOKUP(D107, 'S17 Work Stations'!$A$2:$B$45, 2, 0)</f>
        <v>DR-3A-206</v>
      </c>
      <c r="F107" s="277">
        <v>420</v>
      </c>
      <c r="G107" s="3">
        <v>200</v>
      </c>
    </row>
    <row r="108" spans="1:7" s="257" customFormat="1">
      <c r="A108" s="317" t="str">
        <f t="shared" si="1"/>
        <v>I-015-60</v>
      </c>
      <c r="B108" s="277" t="s">
        <v>536</v>
      </c>
      <c r="C108" s="277">
        <v>60</v>
      </c>
      <c r="D108" s="277" t="s">
        <v>1096</v>
      </c>
      <c r="E108" s="276" t="str">
        <f>VLOOKUP(D108, 'S17 Work Stations'!$A$2:$B$45, 2, 0)</f>
        <v>SAW-30-160-252</v>
      </c>
      <c r="F108" s="277">
        <v>480</v>
      </c>
      <c r="G108" s="3">
        <v>200</v>
      </c>
    </row>
    <row r="109" spans="1:7" s="257" customFormat="1">
      <c r="A109" s="317" t="str">
        <f t="shared" si="1"/>
        <v>I-015-20</v>
      </c>
      <c r="B109" s="277" t="s">
        <v>536</v>
      </c>
      <c r="C109" s="277">
        <v>20</v>
      </c>
      <c r="D109" s="277" t="s">
        <v>1101</v>
      </c>
      <c r="E109" s="276" t="str">
        <f>VLOOKUP(D109, 'S17 Work Stations'!$A$2:$B$45, 2, 0)</f>
        <v>SAW-50-422</v>
      </c>
      <c r="F109" s="277">
        <v>120</v>
      </c>
      <c r="G109" s="3">
        <v>200</v>
      </c>
    </row>
    <row r="110" spans="1:7" s="257" customFormat="1">
      <c r="A110" s="317" t="str">
        <f t="shared" si="1"/>
        <v>I-015-10</v>
      </c>
      <c r="B110" s="277" t="s">
        <v>536</v>
      </c>
      <c r="C110" s="277">
        <v>10</v>
      </c>
      <c r="D110" s="277" t="s">
        <v>1112</v>
      </c>
      <c r="E110" s="276" t="str">
        <f>VLOOKUP(D110, 'S17 Work Stations'!$A$2:$B$45, 2, 0)</f>
        <v>RAW-MAT-INV</v>
      </c>
      <c r="F110" s="277">
        <v>0</v>
      </c>
      <c r="G110" s="3">
        <v>200</v>
      </c>
    </row>
    <row r="111" spans="1:7" s="257" customFormat="1">
      <c r="A111" s="317" t="str">
        <f t="shared" si="1"/>
        <v>I-015-70</v>
      </c>
      <c r="B111" s="277" t="s">
        <v>536</v>
      </c>
      <c r="C111" s="277">
        <v>70</v>
      </c>
      <c r="D111" s="277" t="s">
        <v>1113</v>
      </c>
      <c r="E111" s="276" t="str">
        <f>VLOOKUP(D111, 'S17 Work Stations'!$A$2:$B$45, 2, 0)</f>
        <v>FIN-GOOD-INV</v>
      </c>
      <c r="F111" s="277">
        <v>0</v>
      </c>
      <c r="G111" s="3">
        <v>200</v>
      </c>
    </row>
    <row r="112" spans="1:7" s="257" customFormat="1">
      <c r="A112" s="317" t="str">
        <f t="shared" si="1"/>
        <v>I-016-30</v>
      </c>
      <c r="B112" s="277" t="s">
        <v>538</v>
      </c>
      <c r="C112" s="277">
        <v>30</v>
      </c>
      <c r="D112" s="277" t="s">
        <v>1053</v>
      </c>
      <c r="E112" s="276" t="str">
        <f>VLOOKUP(D112, 'S17 Work Stations'!$A$2:$B$45, 2, 0)</f>
        <v>TUR-40-100-404</v>
      </c>
      <c r="F112" s="277">
        <v>600</v>
      </c>
      <c r="G112" s="3">
        <v>200</v>
      </c>
    </row>
    <row r="113" spans="1:7" s="257" customFormat="1">
      <c r="A113" s="317" t="str">
        <f t="shared" si="1"/>
        <v>I-016-40</v>
      </c>
      <c r="B113" s="277" t="s">
        <v>538</v>
      </c>
      <c r="C113" s="277">
        <v>40</v>
      </c>
      <c r="D113" s="277" t="s">
        <v>1074</v>
      </c>
      <c r="E113" s="276" t="str">
        <f>VLOOKUP(D113, 'S17 Work Stations'!$A$2:$B$45, 2, 0)</f>
        <v>MIL-H2-606</v>
      </c>
      <c r="F113" s="277">
        <v>1020</v>
      </c>
      <c r="G113" s="3">
        <v>200</v>
      </c>
    </row>
    <row r="114" spans="1:7" s="257" customFormat="1">
      <c r="A114" s="317" t="str">
        <f t="shared" si="1"/>
        <v>I-016-50</v>
      </c>
      <c r="B114" s="277" t="s">
        <v>538</v>
      </c>
      <c r="C114" s="277">
        <v>50</v>
      </c>
      <c r="D114" s="277" t="s">
        <v>1089</v>
      </c>
      <c r="E114" s="276" t="str">
        <f>VLOOKUP(D114, 'S17 Work Stations'!$A$2:$B$45, 2, 0)</f>
        <v>DR-3A-206</v>
      </c>
      <c r="F114" s="277">
        <v>420</v>
      </c>
      <c r="G114" s="3">
        <v>200</v>
      </c>
    </row>
    <row r="115" spans="1:7" s="257" customFormat="1">
      <c r="A115" s="317" t="str">
        <f t="shared" si="1"/>
        <v>I-016-60</v>
      </c>
      <c r="B115" s="277" t="s">
        <v>538</v>
      </c>
      <c r="C115" s="277">
        <v>60</v>
      </c>
      <c r="D115" s="277" t="s">
        <v>1096</v>
      </c>
      <c r="E115" s="276" t="str">
        <f>VLOOKUP(D115, 'S17 Work Stations'!$A$2:$B$45, 2, 0)</f>
        <v>SAW-30-160-252</v>
      </c>
      <c r="F115" s="277">
        <v>420</v>
      </c>
      <c r="G115" s="3">
        <v>200</v>
      </c>
    </row>
    <row r="116" spans="1:7" s="257" customFormat="1">
      <c r="A116" s="317" t="str">
        <f t="shared" si="1"/>
        <v>I-016-20</v>
      </c>
      <c r="B116" s="277" t="s">
        <v>538</v>
      </c>
      <c r="C116" s="277">
        <v>20</v>
      </c>
      <c r="D116" s="277" t="s">
        <v>1101</v>
      </c>
      <c r="E116" s="276" t="str">
        <f>VLOOKUP(D116, 'S17 Work Stations'!$A$2:$B$45, 2, 0)</f>
        <v>SAW-50-422</v>
      </c>
      <c r="F116" s="277">
        <v>120</v>
      </c>
      <c r="G116" s="3">
        <v>200</v>
      </c>
    </row>
    <row r="117" spans="1:7" s="257" customFormat="1">
      <c r="A117" s="317" t="str">
        <f t="shared" si="1"/>
        <v>I-016-10</v>
      </c>
      <c r="B117" s="277" t="s">
        <v>538</v>
      </c>
      <c r="C117" s="277">
        <v>10</v>
      </c>
      <c r="D117" s="277" t="s">
        <v>1112</v>
      </c>
      <c r="E117" s="276" t="str">
        <f>VLOOKUP(D117, 'S17 Work Stations'!$A$2:$B$45, 2, 0)</f>
        <v>RAW-MAT-INV</v>
      </c>
      <c r="F117" s="277">
        <v>0</v>
      </c>
      <c r="G117" s="3">
        <v>200</v>
      </c>
    </row>
    <row r="118" spans="1:7" s="257" customFormat="1">
      <c r="A118" s="317" t="str">
        <f t="shared" si="1"/>
        <v>I-016-70</v>
      </c>
      <c r="B118" s="277" t="s">
        <v>538</v>
      </c>
      <c r="C118" s="277">
        <v>70</v>
      </c>
      <c r="D118" s="277" t="s">
        <v>1113</v>
      </c>
      <c r="E118" s="276" t="str">
        <f>VLOOKUP(D118, 'S17 Work Stations'!$A$2:$B$45, 2, 0)</f>
        <v>FIN-GOOD-INV</v>
      </c>
      <c r="F118" s="277">
        <v>0</v>
      </c>
      <c r="G118" s="3">
        <v>200</v>
      </c>
    </row>
    <row r="119" spans="1:7" s="257" customFormat="1">
      <c r="A119" s="317" t="str">
        <f t="shared" si="1"/>
        <v>I-017-30</v>
      </c>
      <c r="B119" s="277" t="s">
        <v>540</v>
      </c>
      <c r="C119" s="277">
        <v>30</v>
      </c>
      <c r="D119" s="277" t="s">
        <v>1057</v>
      </c>
      <c r="E119" s="276" t="str">
        <f>VLOOKUP(D119, 'S17 Work Stations'!$A$2:$B$45, 2, 0)</f>
        <v>TUR-6-Sp1-406</v>
      </c>
      <c r="F119" s="277">
        <v>540</v>
      </c>
      <c r="G119" s="3">
        <v>200</v>
      </c>
    </row>
    <row r="120" spans="1:7" s="257" customFormat="1">
      <c r="A120" s="317" t="str">
        <f t="shared" si="1"/>
        <v>I-017-40</v>
      </c>
      <c r="B120" s="277" t="s">
        <v>540</v>
      </c>
      <c r="C120" s="277">
        <v>40</v>
      </c>
      <c r="D120" s="277" t="s">
        <v>1074</v>
      </c>
      <c r="E120" s="276" t="str">
        <f>VLOOKUP(D120, 'S17 Work Stations'!$A$2:$B$45, 2, 0)</f>
        <v>MIL-H2-606</v>
      </c>
      <c r="F120" s="277">
        <v>480</v>
      </c>
      <c r="G120" s="3">
        <v>200</v>
      </c>
    </row>
    <row r="121" spans="1:7" s="257" customFormat="1">
      <c r="A121" s="317" t="str">
        <f t="shared" si="1"/>
        <v>I-017-50</v>
      </c>
      <c r="B121" s="277" t="s">
        <v>540</v>
      </c>
      <c r="C121" s="277">
        <v>50</v>
      </c>
      <c r="D121" s="277" t="s">
        <v>1089</v>
      </c>
      <c r="E121" s="276" t="str">
        <f>VLOOKUP(D121, 'S17 Work Stations'!$A$2:$B$45, 2, 0)</f>
        <v>DR-3A-206</v>
      </c>
      <c r="F121" s="277">
        <v>360</v>
      </c>
      <c r="G121" s="3">
        <v>200</v>
      </c>
    </row>
    <row r="122" spans="1:7" s="257" customFormat="1">
      <c r="A122" s="317" t="str">
        <f t="shared" si="1"/>
        <v>I-017-60</v>
      </c>
      <c r="B122" s="277" t="s">
        <v>540</v>
      </c>
      <c r="C122" s="277">
        <v>60</v>
      </c>
      <c r="D122" s="277" t="s">
        <v>1096</v>
      </c>
      <c r="E122" s="276" t="str">
        <f>VLOOKUP(D122, 'S17 Work Stations'!$A$2:$B$45, 2, 0)</f>
        <v>SAW-30-160-252</v>
      </c>
      <c r="F122" s="277">
        <v>480</v>
      </c>
      <c r="G122" s="3">
        <v>200</v>
      </c>
    </row>
    <row r="123" spans="1:7" s="257" customFormat="1">
      <c r="A123" s="317" t="str">
        <f t="shared" si="1"/>
        <v>I-017-20</v>
      </c>
      <c r="B123" s="277" t="s">
        <v>540</v>
      </c>
      <c r="C123" s="277">
        <v>20</v>
      </c>
      <c r="D123" s="277" t="s">
        <v>1101</v>
      </c>
      <c r="E123" s="276" t="str">
        <f>VLOOKUP(D123, 'S17 Work Stations'!$A$2:$B$45, 2, 0)</f>
        <v>SAW-50-422</v>
      </c>
      <c r="F123" s="277">
        <v>120</v>
      </c>
      <c r="G123" s="3">
        <v>200</v>
      </c>
    </row>
    <row r="124" spans="1:7" s="257" customFormat="1">
      <c r="A124" s="317" t="str">
        <f t="shared" si="1"/>
        <v>I-017-10</v>
      </c>
      <c r="B124" s="277" t="s">
        <v>540</v>
      </c>
      <c r="C124" s="277">
        <v>10</v>
      </c>
      <c r="D124" s="277" t="s">
        <v>1112</v>
      </c>
      <c r="E124" s="276" t="str">
        <f>VLOOKUP(D124, 'S17 Work Stations'!$A$2:$B$45, 2, 0)</f>
        <v>RAW-MAT-INV</v>
      </c>
      <c r="F124" s="277">
        <v>0</v>
      </c>
      <c r="G124" s="3">
        <v>200</v>
      </c>
    </row>
    <row r="125" spans="1:7" s="257" customFormat="1">
      <c r="A125" s="317" t="str">
        <f t="shared" si="1"/>
        <v>I-017-70</v>
      </c>
      <c r="B125" s="277" t="s">
        <v>540</v>
      </c>
      <c r="C125" s="277">
        <v>70</v>
      </c>
      <c r="D125" s="277" t="s">
        <v>1113</v>
      </c>
      <c r="E125" s="276" t="str">
        <f>VLOOKUP(D125, 'S17 Work Stations'!$A$2:$B$45, 2, 0)</f>
        <v>FIN-GOOD-INV</v>
      </c>
      <c r="F125" s="277">
        <v>0</v>
      </c>
      <c r="G125" s="3">
        <v>200</v>
      </c>
    </row>
    <row r="126" spans="1:7" s="257" customFormat="1">
      <c r="A126" s="317" t="str">
        <f t="shared" si="1"/>
        <v>I-018-30</v>
      </c>
      <c r="B126" s="277" t="s">
        <v>542</v>
      </c>
      <c r="C126" s="277">
        <v>30</v>
      </c>
      <c r="D126" s="277" t="s">
        <v>1040</v>
      </c>
      <c r="E126" s="276" t="str">
        <f>VLOOKUP(D126, 'S17 Work Stations'!$A$2:$B$45, 2, 0)</f>
        <v>TUR-A4-364</v>
      </c>
      <c r="F126" s="277">
        <v>780</v>
      </c>
      <c r="G126" s="3">
        <v>200</v>
      </c>
    </row>
    <row r="127" spans="1:7" s="257" customFormat="1">
      <c r="A127" s="317" t="str">
        <f t="shared" si="1"/>
        <v>I-018-40</v>
      </c>
      <c r="B127" s="277" t="s">
        <v>542</v>
      </c>
      <c r="C127" s="277">
        <v>40</v>
      </c>
      <c r="D127" s="277" t="s">
        <v>1074</v>
      </c>
      <c r="E127" s="276" t="str">
        <f>VLOOKUP(D127, 'S17 Work Stations'!$A$2:$B$45, 2, 0)</f>
        <v>MIL-H2-606</v>
      </c>
      <c r="F127" s="277">
        <v>480</v>
      </c>
      <c r="G127" s="3">
        <v>200</v>
      </c>
    </row>
    <row r="128" spans="1:7" s="257" customFormat="1">
      <c r="A128" s="317" t="str">
        <f t="shared" si="1"/>
        <v>I-018-50</v>
      </c>
      <c r="B128" s="277" t="s">
        <v>542</v>
      </c>
      <c r="C128" s="277">
        <v>50</v>
      </c>
      <c r="D128" s="277" t="s">
        <v>1087</v>
      </c>
      <c r="E128" s="276" t="str">
        <f>VLOOKUP(D128, 'S17 Work Stations'!$A$2:$B$45, 2, 0)</f>
        <v>GR-T11-250</v>
      </c>
      <c r="F128" s="277">
        <v>420</v>
      </c>
      <c r="G128" s="3">
        <v>200</v>
      </c>
    </row>
    <row r="129" spans="1:7" s="257" customFormat="1">
      <c r="A129" s="317" t="str">
        <f t="shared" si="1"/>
        <v>I-018-60</v>
      </c>
      <c r="B129" s="277" t="s">
        <v>542</v>
      </c>
      <c r="C129" s="277">
        <v>60</v>
      </c>
      <c r="D129" s="277" t="s">
        <v>1096</v>
      </c>
      <c r="E129" s="276" t="str">
        <f>VLOOKUP(D129, 'S17 Work Stations'!$A$2:$B$45, 2, 0)</f>
        <v>SAW-30-160-252</v>
      </c>
      <c r="F129" s="277">
        <v>600</v>
      </c>
      <c r="G129" s="3">
        <v>200</v>
      </c>
    </row>
    <row r="130" spans="1:7" s="257" customFormat="1">
      <c r="A130" s="317" t="str">
        <f t="shared" ref="A130:A193" si="2">B130&amp;"-"&amp;C130</f>
        <v>I-018-20</v>
      </c>
      <c r="B130" s="277" t="s">
        <v>542</v>
      </c>
      <c r="C130" s="277">
        <v>20</v>
      </c>
      <c r="D130" s="277" t="s">
        <v>1101</v>
      </c>
      <c r="E130" s="276" t="str">
        <f>VLOOKUP(D130, 'S17 Work Stations'!$A$2:$B$45, 2, 0)</f>
        <v>SAW-50-422</v>
      </c>
      <c r="F130" s="277">
        <v>120</v>
      </c>
      <c r="G130" s="3">
        <v>200</v>
      </c>
    </row>
    <row r="131" spans="1:7" s="257" customFormat="1">
      <c r="A131" s="317" t="str">
        <f t="shared" si="2"/>
        <v>I-018-10</v>
      </c>
      <c r="B131" s="277" t="s">
        <v>542</v>
      </c>
      <c r="C131" s="277">
        <v>10</v>
      </c>
      <c r="D131" s="277" t="s">
        <v>1112</v>
      </c>
      <c r="E131" s="276" t="str">
        <f>VLOOKUP(D131, 'S17 Work Stations'!$A$2:$B$45, 2, 0)</f>
        <v>RAW-MAT-INV</v>
      </c>
      <c r="F131" s="277">
        <v>0</v>
      </c>
      <c r="G131" s="3">
        <v>200</v>
      </c>
    </row>
    <row r="132" spans="1:7" s="257" customFormat="1">
      <c r="A132" s="317" t="str">
        <f t="shared" si="2"/>
        <v>I-018-70</v>
      </c>
      <c r="B132" s="277" t="s">
        <v>542</v>
      </c>
      <c r="C132" s="277">
        <v>70</v>
      </c>
      <c r="D132" s="277" t="s">
        <v>1113</v>
      </c>
      <c r="E132" s="276" t="str">
        <f>VLOOKUP(D132, 'S17 Work Stations'!$A$2:$B$45, 2, 0)</f>
        <v>FIN-GOOD-INV</v>
      </c>
      <c r="F132" s="277">
        <v>0</v>
      </c>
      <c r="G132" s="3">
        <v>200</v>
      </c>
    </row>
    <row r="133" spans="1:7" s="257" customFormat="1">
      <c r="A133" s="317" t="str">
        <f t="shared" si="2"/>
        <v>I-019-30</v>
      </c>
      <c r="B133" s="277" t="s">
        <v>544</v>
      </c>
      <c r="C133" s="277">
        <v>30</v>
      </c>
      <c r="D133" s="277" t="s">
        <v>1040</v>
      </c>
      <c r="E133" s="276" t="str">
        <f>VLOOKUP(D133, 'S17 Work Stations'!$A$2:$B$45, 2, 0)</f>
        <v>TUR-A4-364</v>
      </c>
      <c r="F133" s="277">
        <v>780</v>
      </c>
      <c r="G133" s="3">
        <v>200</v>
      </c>
    </row>
    <row r="134" spans="1:7" s="257" customFormat="1">
      <c r="A134" s="317" t="str">
        <f t="shared" si="2"/>
        <v>I-019-40</v>
      </c>
      <c r="B134" s="277" t="s">
        <v>544</v>
      </c>
      <c r="C134" s="277">
        <v>40</v>
      </c>
      <c r="D134" s="277" t="s">
        <v>1076</v>
      </c>
      <c r="E134" s="276" t="str">
        <f>VLOOKUP(D134, 'S17 Work Stations'!$A$2:$B$45, 2, 0)</f>
        <v>MIL-U2-607</v>
      </c>
      <c r="F134" s="277">
        <v>840</v>
      </c>
      <c r="G134" s="3">
        <v>200</v>
      </c>
    </row>
    <row r="135" spans="1:7" s="257" customFormat="1">
      <c r="A135" s="317" t="str">
        <f t="shared" si="2"/>
        <v>I-019-50</v>
      </c>
      <c r="B135" s="277" t="s">
        <v>544</v>
      </c>
      <c r="C135" s="277">
        <v>50</v>
      </c>
      <c r="D135" s="277" t="s">
        <v>1089</v>
      </c>
      <c r="E135" s="276" t="str">
        <f>VLOOKUP(D135, 'S17 Work Stations'!$A$2:$B$45, 2, 0)</f>
        <v>DR-3A-206</v>
      </c>
      <c r="F135" s="277">
        <v>360</v>
      </c>
      <c r="G135" s="3">
        <v>200</v>
      </c>
    </row>
    <row r="136" spans="1:7" s="257" customFormat="1">
      <c r="A136" s="317" t="str">
        <f t="shared" si="2"/>
        <v>I-019-60</v>
      </c>
      <c r="B136" s="277" t="s">
        <v>544</v>
      </c>
      <c r="C136" s="277">
        <v>60</v>
      </c>
      <c r="D136" s="277" t="s">
        <v>1098</v>
      </c>
      <c r="E136" s="276" t="str">
        <f>VLOOKUP(D136, 'S17 Work Stations'!$A$2:$B$45, 2, 0)</f>
        <v>SAW-35-100-254</v>
      </c>
      <c r="F136" s="277">
        <v>720</v>
      </c>
      <c r="G136" s="3">
        <v>200</v>
      </c>
    </row>
    <row r="137" spans="1:7" s="257" customFormat="1">
      <c r="A137" s="317" t="str">
        <f t="shared" si="2"/>
        <v>I-019-20</v>
      </c>
      <c r="B137" s="277" t="s">
        <v>544</v>
      </c>
      <c r="C137" s="277">
        <v>20</v>
      </c>
      <c r="D137" s="277" t="s">
        <v>1101</v>
      </c>
      <c r="E137" s="276" t="str">
        <f>VLOOKUP(D137, 'S17 Work Stations'!$A$2:$B$45, 2, 0)</f>
        <v>SAW-50-422</v>
      </c>
      <c r="F137" s="277">
        <v>180</v>
      </c>
      <c r="G137" s="3">
        <v>200</v>
      </c>
    </row>
    <row r="138" spans="1:7" s="257" customFormat="1">
      <c r="A138" s="317" t="str">
        <f t="shared" si="2"/>
        <v>I-019-10</v>
      </c>
      <c r="B138" s="277" t="s">
        <v>544</v>
      </c>
      <c r="C138" s="277">
        <v>10</v>
      </c>
      <c r="D138" s="277" t="s">
        <v>1112</v>
      </c>
      <c r="E138" s="276" t="str">
        <f>VLOOKUP(D138, 'S17 Work Stations'!$A$2:$B$45, 2, 0)</f>
        <v>RAW-MAT-INV</v>
      </c>
      <c r="F138" s="277">
        <v>0</v>
      </c>
      <c r="G138" s="3">
        <v>200</v>
      </c>
    </row>
    <row r="139" spans="1:7" s="257" customFormat="1">
      <c r="A139" s="317" t="str">
        <f t="shared" si="2"/>
        <v>I-019-70</v>
      </c>
      <c r="B139" s="277" t="s">
        <v>544</v>
      </c>
      <c r="C139" s="277">
        <v>70</v>
      </c>
      <c r="D139" s="277" t="s">
        <v>1113</v>
      </c>
      <c r="E139" s="276" t="str">
        <f>VLOOKUP(D139, 'S17 Work Stations'!$A$2:$B$45, 2, 0)</f>
        <v>FIN-GOOD-INV</v>
      </c>
      <c r="F139" s="277">
        <v>0</v>
      </c>
      <c r="G139" s="3">
        <v>200</v>
      </c>
    </row>
    <row r="140" spans="1:7" s="257" customFormat="1">
      <c r="A140" s="317" t="str">
        <f t="shared" si="2"/>
        <v>I-020-30</v>
      </c>
      <c r="B140" s="277" t="s">
        <v>546</v>
      </c>
      <c r="C140" s="277">
        <v>30</v>
      </c>
      <c r="D140" s="277" t="s">
        <v>1042</v>
      </c>
      <c r="E140" s="276" t="str">
        <f>VLOOKUP(D140, 'S17 Work Stations'!$A$2:$B$45, 2, 0)</f>
        <v>MIL-A2-365</v>
      </c>
      <c r="F140" s="277">
        <v>960</v>
      </c>
      <c r="G140" s="3">
        <v>200</v>
      </c>
    </row>
    <row r="141" spans="1:7" s="257" customFormat="1">
      <c r="A141" s="317" t="str">
        <f t="shared" si="2"/>
        <v>I-020-40</v>
      </c>
      <c r="B141" s="277" t="s">
        <v>546</v>
      </c>
      <c r="C141" s="277">
        <v>40</v>
      </c>
      <c r="D141" s="277" t="s">
        <v>1074</v>
      </c>
      <c r="E141" s="276" t="str">
        <f>VLOOKUP(D141, 'S17 Work Stations'!$A$2:$B$45, 2, 0)</f>
        <v>MIL-H2-606</v>
      </c>
      <c r="F141" s="277">
        <v>720</v>
      </c>
      <c r="G141" s="3">
        <v>200</v>
      </c>
    </row>
    <row r="142" spans="1:7" s="257" customFormat="1">
      <c r="A142" s="317" t="str">
        <f t="shared" si="2"/>
        <v>I-020-50</v>
      </c>
      <c r="B142" s="277" t="s">
        <v>546</v>
      </c>
      <c r="C142" s="277">
        <v>50</v>
      </c>
      <c r="D142" s="277" t="s">
        <v>1089</v>
      </c>
      <c r="E142" s="276" t="str">
        <f>VLOOKUP(D142, 'S17 Work Stations'!$A$2:$B$45, 2, 0)</f>
        <v>DR-3A-206</v>
      </c>
      <c r="F142" s="277">
        <v>360</v>
      </c>
      <c r="G142" s="3">
        <v>200</v>
      </c>
    </row>
    <row r="143" spans="1:7" s="257" customFormat="1">
      <c r="A143" s="317" t="str">
        <f t="shared" si="2"/>
        <v>I-020-60</v>
      </c>
      <c r="B143" s="277" t="s">
        <v>546</v>
      </c>
      <c r="C143" s="277">
        <v>60</v>
      </c>
      <c r="D143" s="277" t="s">
        <v>1096</v>
      </c>
      <c r="E143" s="276" t="str">
        <f>VLOOKUP(D143, 'S17 Work Stations'!$A$2:$B$45, 2, 0)</f>
        <v>SAW-30-160-252</v>
      </c>
      <c r="F143" s="277">
        <v>660</v>
      </c>
      <c r="G143" s="3">
        <v>200</v>
      </c>
    </row>
    <row r="144" spans="1:7" s="257" customFormat="1">
      <c r="A144" s="317" t="str">
        <f t="shared" si="2"/>
        <v>I-020-20</v>
      </c>
      <c r="B144" s="277" t="s">
        <v>546</v>
      </c>
      <c r="C144" s="277">
        <v>20</v>
      </c>
      <c r="D144" s="277" t="s">
        <v>1103</v>
      </c>
      <c r="E144" s="276" t="str">
        <f>VLOOKUP(D144, 'S17 Work Stations'!$A$2:$B$45, 2, 0)</f>
        <v>SAW-150-423</v>
      </c>
      <c r="F144" s="277">
        <v>180</v>
      </c>
      <c r="G144" s="3">
        <v>200</v>
      </c>
    </row>
    <row r="145" spans="1:7" s="257" customFormat="1">
      <c r="A145" s="317" t="str">
        <f t="shared" si="2"/>
        <v>I-020-10</v>
      </c>
      <c r="B145" s="277" t="s">
        <v>546</v>
      </c>
      <c r="C145" s="277">
        <v>10</v>
      </c>
      <c r="D145" s="277" t="s">
        <v>1112</v>
      </c>
      <c r="E145" s="276" t="str">
        <f>VLOOKUP(D145, 'S17 Work Stations'!$A$2:$B$45, 2, 0)</f>
        <v>RAW-MAT-INV</v>
      </c>
      <c r="F145" s="277">
        <v>0</v>
      </c>
      <c r="G145" s="3">
        <v>200</v>
      </c>
    </row>
    <row r="146" spans="1:7" s="257" customFormat="1">
      <c r="A146" s="317" t="str">
        <f t="shared" si="2"/>
        <v>I-020-70</v>
      </c>
      <c r="B146" s="277" t="s">
        <v>546</v>
      </c>
      <c r="C146" s="277">
        <v>70</v>
      </c>
      <c r="D146" s="277" t="s">
        <v>1113</v>
      </c>
      <c r="E146" s="276" t="str">
        <f>VLOOKUP(D146, 'S17 Work Stations'!$A$2:$B$45, 2, 0)</f>
        <v>FIN-GOOD-INV</v>
      </c>
      <c r="F146" s="277">
        <v>0</v>
      </c>
      <c r="G146" s="3">
        <v>200</v>
      </c>
    </row>
    <row r="147" spans="1:7" s="257" customFormat="1">
      <c r="A147" s="317" t="str">
        <f t="shared" si="2"/>
        <v>I-021-30</v>
      </c>
      <c r="B147" s="277" t="s">
        <v>548</v>
      </c>
      <c r="C147" s="277">
        <v>30</v>
      </c>
      <c r="D147" s="277" t="s">
        <v>1040</v>
      </c>
      <c r="E147" s="276" t="str">
        <f>VLOOKUP(D147, 'S17 Work Stations'!$A$2:$B$45, 2, 0)</f>
        <v>TUR-A4-364</v>
      </c>
      <c r="F147" s="277">
        <v>780</v>
      </c>
      <c r="G147" s="3">
        <v>200</v>
      </c>
    </row>
    <row r="148" spans="1:7" s="257" customFormat="1">
      <c r="A148" s="317" t="str">
        <f t="shared" si="2"/>
        <v>I-021-40</v>
      </c>
      <c r="B148" s="277" t="s">
        <v>548</v>
      </c>
      <c r="C148" s="277">
        <v>40</v>
      </c>
      <c r="D148" s="277" t="s">
        <v>1078</v>
      </c>
      <c r="E148" s="276" t="str">
        <f>VLOOKUP(D148, 'S17 Work Stations'!$A$2:$B$45, 2, 0)</f>
        <v>MIL-V5-608</v>
      </c>
      <c r="F148" s="277">
        <v>720</v>
      </c>
      <c r="G148" s="3">
        <v>200</v>
      </c>
    </row>
    <row r="149" spans="1:7" s="257" customFormat="1">
      <c r="A149" s="317" t="str">
        <f t="shared" si="2"/>
        <v>I-021-50</v>
      </c>
      <c r="B149" s="277" t="s">
        <v>548</v>
      </c>
      <c r="C149" s="277">
        <v>50</v>
      </c>
      <c r="D149" s="277" t="s">
        <v>1089</v>
      </c>
      <c r="E149" s="276" t="str">
        <f>VLOOKUP(D149, 'S17 Work Stations'!$A$2:$B$45, 2, 0)</f>
        <v>DR-3A-206</v>
      </c>
      <c r="F149" s="277">
        <v>420</v>
      </c>
      <c r="G149" s="3">
        <v>200</v>
      </c>
    </row>
    <row r="150" spans="1:7" s="257" customFormat="1">
      <c r="A150" s="317" t="str">
        <f t="shared" si="2"/>
        <v>I-021-60</v>
      </c>
      <c r="B150" s="277" t="s">
        <v>548</v>
      </c>
      <c r="C150" s="277">
        <v>60</v>
      </c>
      <c r="D150" s="277" t="s">
        <v>1098</v>
      </c>
      <c r="E150" s="276" t="str">
        <f>VLOOKUP(D150, 'S17 Work Stations'!$A$2:$B$45, 2, 0)</f>
        <v>SAW-35-100-254</v>
      </c>
      <c r="F150" s="277">
        <v>720</v>
      </c>
      <c r="G150" s="3">
        <v>200</v>
      </c>
    </row>
    <row r="151" spans="1:7" s="257" customFormat="1">
      <c r="A151" s="317" t="str">
        <f t="shared" si="2"/>
        <v>I-021-20</v>
      </c>
      <c r="B151" s="277" t="s">
        <v>548</v>
      </c>
      <c r="C151" s="277">
        <v>20</v>
      </c>
      <c r="D151" s="277" t="s">
        <v>1103</v>
      </c>
      <c r="E151" s="276" t="str">
        <f>VLOOKUP(D151, 'S17 Work Stations'!$A$2:$B$45, 2, 0)</f>
        <v>SAW-150-423</v>
      </c>
      <c r="F151" s="277">
        <v>180</v>
      </c>
      <c r="G151" s="3">
        <v>200</v>
      </c>
    </row>
    <row r="152" spans="1:7" s="257" customFormat="1">
      <c r="A152" s="317" t="str">
        <f t="shared" si="2"/>
        <v>I-021-70</v>
      </c>
      <c r="B152" s="277" t="s">
        <v>548</v>
      </c>
      <c r="C152" s="277">
        <v>70</v>
      </c>
      <c r="D152" s="277" t="s">
        <v>1111</v>
      </c>
      <c r="E152" s="276" t="str">
        <f>VLOOKUP(D152, 'S17 Work Stations'!$A$2:$B$45, 2, 0)</f>
        <v>TEMP-A01-202</v>
      </c>
      <c r="F152" s="277">
        <v>300</v>
      </c>
      <c r="G152" s="3">
        <v>200</v>
      </c>
    </row>
    <row r="153" spans="1:7" s="257" customFormat="1">
      <c r="A153" s="317" t="str">
        <f t="shared" si="2"/>
        <v>I-021-10</v>
      </c>
      <c r="B153" s="277" t="s">
        <v>548</v>
      </c>
      <c r="C153" s="277">
        <v>10</v>
      </c>
      <c r="D153" s="277" t="s">
        <v>1112</v>
      </c>
      <c r="E153" s="276" t="str">
        <f>VLOOKUP(D153, 'S17 Work Stations'!$A$2:$B$45, 2, 0)</f>
        <v>RAW-MAT-INV</v>
      </c>
      <c r="F153" s="277">
        <v>0</v>
      </c>
      <c r="G153" s="3">
        <v>200</v>
      </c>
    </row>
    <row r="154" spans="1:7" s="257" customFormat="1">
      <c r="A154" s="317" t="str">
        <f t="shared" si="2"/>
        <v>I-021-80</v>
      </c>
      <c r="B154" s="277" t="s">
        <v>548</v>
      </c>
      <c r="C154" s="277">
        <v>80</v>
      </c>
      <c r="D154" s="277" t="s">
        <v>1113</v>
      </c>
      <c r="E154" s="276" t="str">
        <f>VLOOKUP(D154, 'S17 Work Stations'!$A$2:$B$45, 2, 0)</f>
        <v>FIN-GOOD-INV</v>
      </c>
      <c r="F154" s="277">
        <v>0</v>
      </c>
      <c r="G154" s="3">
        <v>200</v>
      </c>
    </row>
    <row r="155" spans="1:7" s="257" customFormat="1">
      <c r="A155" s="317" t="str">
        <f t="shared" si="2"/>
        <v>I-022-30</v>
      </c>
      <c r="B155" s="277" t="s">
        <v>550</v>
      </c>
      <c r="C155" s="277">
        <v>30</v>
      </c>
      <c r="D155" s="277" t="s">
        <v>1042</v>
      </c>
      <c r="E155" s="276" t="str">
        <f>VLOOKUP(D155, 'S17 Work Stations'!$A$2:$B$45, 2, 0)</f>
        <v>MIL-A2-365</v>
      </c>
      <c r="F155" s="277">
        <v>900</v>
      </c>
      <c r="G155" s="3">
        <v>200</v>
      </c>
    </row>
    <row r="156" spans="1:7" s="257" customFormat="1">
      <c r="A156" s="317" t="str">
        <f t="shared" si="2"/>
        <v>I-022-40</v>
      </c>
      <c r="B156" s="277" t="s">
        <v>550</v>
      </c>
      <c r="C156" s="277">
        <v>40</v>
      </c>
      <c r="D156" s="277" t="s">
        <v>1074</v>
      </c>
      <c r="E156" s="276" t="str">
        <f>VLOOKUP(D156, 'S17 Work Stations'!$A$2:$B$45, 2, 0)</f>
        <v>MIL-H2-606</v>
      </c>
      <c r="F156" s="277">
        <v>480</v>
      </c>
      <c r="G156" s="3">
        <v>200</v>
      </c>
    </row>
    <row r="157" spans="1:7" s="257" customFormat="1">
      <c r="A157" s="317" t="str">
        <f t="shared" si="2"/>
        <v>I-022-50</v>
      </c>
      <c r="B157" s="277" t="s">
        <v>550</v>
      </c>
      <c r="C157" s="277">
        <v>50</v>
      </c>
      <c r="D157" s="277" t="s">
        <v>1080</v>
      </c>
      <c r="E157" s="276" t="str">
        <f>VLOOKUP(D157, 'S17 Work Stations'!$A$2:$B$45, 2, 0)</f>
        <v>DR-2A-201</v>
      </c>
      <c r="F157" s="277">
        <v>360</v>
      </c>
      <c r="G157" s="3">
        <v>200</v>
      </c>
    </row>
    <row r="158" spans="1:7" s="257" customFormat="1">
      <c r="A158" s="317" t="str">
        <f t="shared" si="2"/>
        <v>I-022-60</v>
      </c>
      <c r="B158" s="277" t="s">
        <v>550</v>
      </c>
      <c r="C158" s="277">
        <v>60</v>
      </c>
      <c r="D158" s="277" t="s">
        <v>1100</v>
      </c>
      <c r="E158" s="276" t="str">
        <f>VLOOKUP(D158, 'S17 Work Stations'!$A$2:$B$45, 2, 0)</f>
        <v>SAW-10-421</v>
      </c>
      <c r="F158" s="277">
        <v>720</v>
      </c>
      <c r="G158" s="3">
        <v>200</v>
      </c>
    </row>
    <row r="159" spans="1:7" s="257" customFormat="1">
      <c r="A159" s="317" t="str">
        <f t="shared" si="2"/>
        <v>I-022-20</v>
      </c>
      <c r="B159" s="277" t="s">
        <v>550</v>
      </c>
      <c r="C159" s="277">
        <v>20</v>
      </c>
      <c r="D159" s="277" t="s">
        <v>1103</v>
      </c>
      <c r="E159" s="276" t="str">
        <f>VLOOKUP(D159, 'S17 Work Stations'!$A$2:$B$45, 2, 0)</f>
        <v>SAW-150-423</v>
      </c>
      <c r="F159" s="277">
        <v>240</v>
      </c>
      <c r="G159" s="3">
        <v>200</v>
      </c>
    </row>
    <row r="160" spans="1:7" s="257" customFormat="1">
      <c r="A160" s="317" t="str">
        <f t="shared" si="2"/>
        <v>I-022-70</v>
      </c>
      <c r="B160" s="277" t="s">
        <v>550</v>
      </c>
      <c r="C160" s="277">
        <v>70</v>
      </c>
      <c r="D160" s="277" t="s">
        <v>1111</v>
      </c>
      <c r="E160" s="276" t="str">
        <f>VLOOKUP(D160, 'S17 Work Stations'!$A$2:$B$45, 2, 0)</f>
        <v>TEMP-A01-202</v>
      </c>
      <c r="F160" s="277">
        <v>300</v>
      </c>
      <c r="G160" s="3">
        <v>200</v>
      </c>
    </row>
    <row r="161" spans="1:7" s="257" customFormat="1">
      <c r="A161" s="317" t="str">
        <f t="shared" si="2"/>
        <v>I-022-10</v>
      </c>
      <c r="B161" s="277" t="s">
        <v>550</v>
      </c>
      <c r="C161" s="277">
        <v>10</v>
      </c>
      <c r="D161" s="277" t="s">
        <v>1112</v>
      </c>
      <c r="E161" s="276" t="str">
        <f>VLOOKUP(D161, 'S17 Work Stations'!$A$2:$B$45, 2, 0)</f>
        <v>RAW-MAT-INV</v>
      </c>
      <c r="F161" s="277">
        <v>0</v>
      </c>
      <c r="G161" s="3">
        <v>200</v>
      </c>
    </row>
    <row r="162" spans="1:7" s="257" customFormat="1">
      <c r="A162" s="317" t="str">
        <f t="shared" si="2"/>
        <v>I-022-80</v>
      </c>
      <c r="B162" s="277" t="s">
        <v>550</v>
      </c>
      <c r="C162" s="277">
        <v>80</v>
      </c>
      <c r="D162" s="277" t="s">
        <v>1113</v>
      </c>
      <c r="E162" s="276" t="str">
        <f>VLOOKUP(D162, 'S17 Work Stations'!$A$2:$B$45, 2, 0)</f>
        <v>FIN-GOOD-INV</v>
      </c>
      <c r="F162" s="277">
        <v>0</v>
      </c>
      <c r="G162" s="3">
        <v>200</v>
      </c>
    </row>
    <row r="163" spans="1:7" s="257" customFormat="1">
      <c r="A163" s="317" t="str">
        <f t="shared" si="2"/>
        <v>I-023-30</v>
      </c>
      <c r="B163" s="277" t="s">
        <v>552</v>
      </c>
      <c r="C163" s="277">
        <v>30</v>
      </c>
      <c r="D163" s="277" t="s">
        <v>1061</v>
      </c>
      <c r="E163" s="276" t="str">
        <f>VLOOKUP(D163, 'S17 Work Stations'!$A$2:$B$45, 2, 0)</f>
        <v>TUR-6-Sp3-408</v>
      </c>
      <c r="F163" s="277">
        <v>240</v>
      </c>
      <c r="G163" s="3">
        <v>200</v>
      </c>
    </row>
    <row r="164" spans="1:7" s="257" customFormat="1">
      <c r="A164" s="317" t="str">
        <f t="shared" si="2"/>
        <v>I-023-40</v>
      </c>
      <c r="B164" s="277" t="s">
        <v>552</v>
      </c>
      <c r="C164" s="277">
        <v>40</v>
      </c>
      <c r="D164" s="277" t="s">
        <v>1085</v>
      </c>
      <c r="E164" s="276" t="str">
        <f>VLOOKUP(D164, 'S17 Work Stations'!$A$2:$B$45, 2, 0)</f>
        <v>DR-T3-204</v>
      </c>
      <c r="F164" s="277">
        <v>300</v>
      </c>
      <c r="G164" s="3">
        <v>200</v>
      </c>
    </row>
    <row r="165" spans="1:7" s="257" customFormat="1">
      <c r="A165" s="317" t="str">
        <f t="shared" si="2"/>
        <v>I-023-20</v>
      </c>
      <c r="B165" s="277" t="s">
        <v>552</v>
      </c>
      <c r="C165" s="277">
        <v>20</v>
      </c>
      <c r="D165" s="277" t="s">
        <v>1109</v>
      </c>
      <c r="E165" s="276" t="str">
        <f>VLOOKUP(D165, 'S17 Work Stations'!$A$2:$B$45, 2, 0)</f>
        <v>SAW-CNC-60-425</v>
      </c>
      <c r="F165" s="277">
        <v>60</v>
      </c>
      <c r="G165" s="3">
        <v>200</v>
      </c>
    </row>
    <row r="166" spans="1:7" s="257" customFormat="1">
      <c r="A166" s="317" t="str">
        <f t="shared" si="2"/>
        <v>I-023-10</v>
      </c>
      <c r="B166" s="277" t="s">
        <v>552</v>
      </c>
      <c r="C166" s="277">
        <v>10</v>
      </c>
      <c r="D166" s="277" t="s">
        <v>1112</v>
      </c>
      <c r="E166" s="276" t="str">
        <f>VLOOKUP(D166, 'S17 Work Stations'!$A$2:$B$45, 2, 0)</f>
        <v>RAW-MAT-INV</v>
      </c>
      <c r="F166" s="277">
        <v>0</v>
      </c>
      <c r="G166" s="3">
        <v>200</v>
      </c>
    </row>
    <row r="167" spans="1:7" s="257" customFormat="1">
      <c r="A167" s="317" t="str">
        <f t="shared" si="2"/>
        <v>I-023-50</v>
      </c>
      <c r="B167" s="277" t="s">
        <v>552</v>
      </c>
      <c r="C167" s="277">
        <v>50</v>
      </c>
      <c r="D167" s="277" t="s">
        <v>1113</v>
      </c>
      <c r="E167" s="276" t="str">
        <f>VLOOKUP(D167, 'S17 Work Stations'!$A$2:$B$45, 2, 0)</f>
        <v>FIN-GOOD-INV</v>
      </c>
      <c r="F167" s="277">
        <v>0</v>
      </c>
      <c r="G167" s="3">
        <v>200</v>
      </c>
    </row>
    <row r="168" spans="1:7" s="257" customFormat="1">
      <c r="A168" s="317" t="str">
        <f t="shared" si="2"/>
        <v>I-024-30</v>
      </c>
      <c r="B168" s="277" t="s">
        <v>554</v>
      </c>
      <c r="C168" s="277">
        <v>30</v>
      </c>
      <c r="D168" s="277" t="s">
        <v>1061</v>
      </c>
      <c r="E168" s="276" t="str">
        <f>VLOOKUP(D168, 'S17 Work Stations'!$A$2:$B$45, 2, 0)</f>
        <v>TUR-6-Sp3-408</v>
      </c>
      <c r="F168" s="277">
        <v>360</v>
      </c>
      <c r="G168" s="3">
        <v>200</v>
      </c>
    </row>
    <row r="169" spans="1:7" s="257" customFormat="1">
      <c r="A169" s="317" t="str">
        <f t="shared" si="2"/>
        <v>I-024-40</v>
      </c>
      <c r="B169" s="277" t="s">
        <v>554</v>
      </c>
      <c r="C169" s="277">
        <v>40</v>
      </c>
      <c r="D169" s="277" t="s">
        <v>1085</v>
      </c>
      <c r="E169" s="276" t="str">
        <f>VLOOKUP(D169, 'S17 Work Stations'!$A$2:$B$45, 2, 0)</f>
        <v>DR-T3-204</v>
      </c>
      <c r="F169" s="277">
        <v>300</v>
      </c>
      <c r="G169" s="3">
        <v>200</v>
      </c>
    </row>
    <row r="170" spans="1:7" s="257" customFormat="1">
      <c r="A170" s="317" t="str">
        <f t="shared" si="2"/>
        <v>I-024-20</v>
      </c>
      <c r="B170" s="277" t="s">
        <v>554</v>
      </c>
      <c r="C170" s="277">
        <v>20</v>
      </c>
      <c r="D170" s="277" t="s">
        <v>1109</v>
      </c>
      <c r="E170" s="276" t="str">
        <f>VLOOKUP(D170, 'S17 Work Stations'!$A$2:$B$45, 2, 0)</f>
        <v>SAW-CNC-60-425</v>
      </c>
      <c r="F170" s="277">
        <v>60</v>
      </c>
      <c r="G170" s="3">
        <v>200</v>
      </c>
    </row>
    <row r="171" spans="1:7" s="257" customFormat="1">
      <c r="A171" s="317" t="str">
        <f t="shared" si="2"/>
        <v>I-024-10</v>
      </c>
      <c r="B171" s="277" t="s">
        <v>554</v>
      </c>
      <c r="C171" s="277">
        <v>10</v>
      </c>
      <c r="D171" s="277" t="s">
        <v>1112</v>
      </c>
      <c r="E171" s="276" t="str">
        <f>VLOOKUP(D171, 'S17 Work Stations'!$A$2:$B$45, 2, 0)</f>
        <v>RAW-MAT-INV</v>
      </c>
      <c r="F171" s="277">
        <v>0</v>
      </c>
      <c r="G171" s="3">
        <v>200</v>
      </c>
    </row>
    <row r="172" spans="1:7" s="257" customFormat="1">
      <c r="A172" s="317" t="str">
        <f t="shared" si="2"/>
        <v>I-024-50</v>
      </c>
      <c r="B172" s="277" t="s">
        <v>554</v>
      </c>
      <c r="C172" s="277">
        <v>50</v>
      </c>
      <c r="D172" s="277" t="s">
        <v>1113</v>
      </c>
      <c r="E172" s="276" t="str">
        <f>VLOOKUP(D172, 'S17 Work Stations'!$A$2:$B$45, 2, 0)</f>
        <v>FIN-GOOD-INV</v>
      </c>
      <c r="F172" s="277">
        <v>0</v>
      </c>
      <c r="G172" s="3">
        <v>200</v>
      </c>
    </row>
    <row r="173" spans="1:7" s="257" customFormat="1">
      <c r="A173" s="317" t="str">
        <f t="shared" si="2"/>
        <v>I-025-30</v>
      </c>
      <c r="B173" s="277" t="s">
        <v>556</v>
      </c>
      <c r="C173" s="277">
        <v>30</v>
      </c>
      <c r="D173" s="277" t="s">
        <v>1061</v>
      </c>
      <c r="E173" s="276" t="str">
        <f>VLOOKUP(D173, 'S17 Work Stations'!$A$2:$B$45, 2, 0)</f>
        <v>TUR-6-Sp3-408</v>
      </c>
      <c r="F173" s="277">
        <v>240</v>
      </c>
      <c r="G173" s="3">
        <v>200</v>
      </c>
    </row>
    <row r="174" spans="1:7" s="257" customFormat="1">
      <c r="A174" s="317" t="str">
        <f t="shared" si="2"/>
        <v>I-025-40</v>
      </c>
      <c r="B174" s="277" t="s">
        <v>556</v>
      </c>
      <c r="C174" s="277">
        <v>40</v>
      </c>
      <c r="D174" s="277" t="s">
        <v>1087</v>
      </c>
      <c r="E174" s="276" t="str">
        <f>VLOOKUP(D174, 'S17 Work Stations'!$A$2:$B$45, 2, 0)</f>
        <v>GR-T11-250</v>
      </c>
      <c r="F174" s="277">
        <v>300</v>
      </c>
      <c r="G174" s="3">
        <v>200</v>
      </c>
    </row>
    <row r="175" spans="1:7" s="257" customFormat="1">
      <c r="A175" s="317" t="str">
        <f t="shared" si="2"/>
        <v>I-025-20</v>
      </c>
      <c r="B175" s="277" t="s">
        <v>556</v>
      </c>
      <c r="C175" s="277">
        <v>20</v>
      </c>
      <c r="D175" s="277" t="s">
        <v>1109</v>
      </c>
      <c r="E175" s="276" t="str">
        <f>VLOOKUP(D175, 'S17 Work Stations'!$A$2:$B$45, 2, 0)</f>
        <v>SAW-CNC-60-425</v>
      </c>
      <c r="F175" s="277">
        <v>60</v>
      </c>
      <c r="G175" s="3">
        <v>200</v>
      </c>
    </row>
    <row r="176" spans="1:7" s="257" customFormat="1">
      <c r="A176" s="317" t="str">
        <f t="shared" si="2"/>
        <v>I-025-10</v>
      </c>
      <c r="B176" s="277" t="s">
        <v>556</v>
      </c>
      <c r="C176" s="277">
        <v>10</v>
      </c>
      <c r="D176" s="277" t="s">
        <v>1112</v>
      </c>
      <c r="E176" s="276" t="str">
        <f>VLOOKUP(D176, 'S17 Work Stations'!$A$2:$B$45, 2, 0)</f>
        <v>RAW-MAT-INV</v>
      </c>
      <c r="F176" s="277">
        <v>0</v>
      </c>
      <c r="G176" s="3">
        <v>200</v>
      </c>
    </row>
    <row r="177" spans="1:7" s="257" customFormat="1">
      <c r="A177" s="317" t="str">
        <f t="shared" si="2"/>
        <v>I-025-50</v>
      </c>
      <c r="B177" s="277" t="s">
        <v>556</v>
      </c>
      <c r="C177" s="277">
        <v>50</v>
      </c>
      <c r="D177" s="277" t="s">
        <v>1113</v>
      </c>
      <c r="E177" s="276" t="str">
        <f>VLOOKUP(D177, 'S17 Work Stations'!$A$2:$B$45, 2, 0)</f>
        <v>FIN-GOOD-INV</v>
      </c>
      <c r="F177" s="277">
        <v>0</v>
      </c>
      <c r="G177" s="3">
        <v>200</v>
      </c>
    </row>
    <row r="178" spans="1:7" s="257" customFormat="1">
      <c r="A178" s="317" t="str">
        <f t="shared" si="2"/>
        <v>I-026-30</v>
      </c>
      <c r="B178" s="277" t="s">
        <v>558</v>
      </c>
      <c r="C178" s="277">
        <v>30</v>
      </c>
      <c r="D178" s="277" t="s">
        <v>1061</v>
      </c>
      <c r="E178" s="276" t="str">
        <f>VLOOKUP(D178, 'S17 Work Stations'!$A$2:$B$45, 2, 0)</f>
        <v>TUR-6-Sp3-408</v>
      </c>
      <c r="F178" s="277">
        <v>300</v>
      </c>
      <c r="G178" s="3">
        <v>200</v>
      </c>
    </row>
    <row r="179" spans="1:7" s="257" customFormat="1">
      <c r="A179" s="317" t="str">
        <f t="shared" si="2"/>
        <v>I-026-40</v>
      </c>
      <c r="B179" s="277" t="s">
        <v>558</v>
      </c>
      <c r="C179" s="277">
        <v>40</v>
      </c>
      <c r="D179" s="277" t="s">
        <v>1087</v>
      </c>
      <c r="E179" s="276" t="str">
        <f>VLOOKUP(D179, 'S17 Work Stations'!$A$2:$B$45, 2, 0)</f>
        <v>GR-T11-250</v>
      </c>
      <c r="F179" s="277">
        <v>300</v>
      </c>
      <c r="G179" s="3">
        <v>200</v>
      </c>
    </row>
    <row r="180" spans="1:7" s="257" customFormat="1">
      <c r="A180" s="317" t="str">
        <f t="shared" si="2"/>
        <v>I-026-20</v>
      </c>
      <c r="B180" s="277" t="s">
        <v>558</v>
      </c>
      <c r="C180" s="277">
        <v>20</v>
      </c>
      <c r="D180" s="277" t="s">
        <v>1109</v>
      </c>
      <c r="E180" s="276" t="str">
        <f>VLOOKUP(D180, 'S17 Work Stations'!$A$2:$B$45, 2, 0)</f>
        <v>SAW-CNC-60-425</v>
      </c>
      <c r="F180" s="277">
        <v>60</v>
      </c>
      <c r="G180" s="3">
        <v>200</v>
      </c>
    </row>
    <row r="181" spans="1:7" s="257" customFormat="1">
      <c r="A181" s="317" t="str">
        <f t="shared" si="2"/>
        <v>I-026-10</v>
      </c>
      <c r="B181" s="277" t="s">
        <v>558</v>
      </c>
      <c r="C181" s="277">
        <v>10</v>
      </c>
      <c r="D181" s="277" t="s">
        <v>1112</v>
      </c>
      <c r="E181" s="276" t="str">
        <f>VLOOKUP(D181, 'S17 Work Stations'!$A$2:$B$45, 2, 0)</f>
        <v>RAW-MAT-INV</v>
      </c>
      <c r="F181" s="277">
        <v>0</v>
      </c>
      <c r="G181" s="3">
        <v>200</v>
      </c>
    </row>
    <row r="182" spans="1:7" s="257" customFormat="1">
      <c r="A182" s="317" t="str">
        <f t="shared" si="2"/>
        <v>I-026-50</v>
      </c>
      <c r="B182" s="277" t="s">
        <v>558</v>
      </c>
      <c r="C182" s="277">
        <v>50</v>
      </c>
      <c r="D182" s="277" t="s">
        <v>1113</v>
      </c>
      <c r="E182" s="276" t="str">
        <f>VLOOKUP(D182, 'S17 Work Stations'!$A$2:$B$45, 2, 0)</f>
        <v>FIN-GOOD-INV</v>
      </c>
      <c r="F182" s="277">
        <v>0</v>
      </c>
      <c r="G182" s="3">
        <v>200</v>
      </c>
    </row>
    <row r="183" spans="1:7" s="257" customFormat="1">
      <c r="A183" s="317" t="str">
        <f t="shared" si="2"/>
        <v>I-027-30</v>
      </c>
      <c r="B183" s="277" t="s">
        <v>560</v>
      </c>
      <c r="C183" s="277">
        <v>30</v>
      </c>
      <c r="D183" s="277" t="s">
        <v>1061</v>
      </c>
      <c r="E183" s="276" t="str">
        <f>VLOOKUP(D183, 'S17 Work Stations'!$A$2:$B$45, 2, 0)</f>
        <v>TUR-6-Sp3-408</v>
      </c>
      <c r="F183" s="277">
        <v>300</v>
      </c>
      <c r="G183" s="3">
        <v>200</v>
      </c>
    </row>
    <row r="184" spans="1:7" s="257" customFormat="1">
      <c r="A184" s="317" t="str">
        <f t="shared" si="2"/>
        <v>I-027-40</v>
      </c>
      <c r="B184" s="277" t="s">
        <v>560</v>
      </c>
      <c r="C184" s="277">
        <v>40</v>
      </c>
      <c r="D184" s="277" t="s">
        <v>1087</v>
      </c>
      <c r="E184" s="276" t="str">
        <f>VLOOKUP(D184, 'S17 Work Stations'!$A$2:$B$45, 2, 0)</f>
        <v>GR-T11-250</v>
      </c>
      <c r="F184" s="277">
        <v>360</v>
      </c>
      <c r="G184" s="3">
        <v>200</v>
      </c>
    </row>
    <row r="185" spans="1:7" s="257" customFormat="1">
      <c r="A185" s="317" t="str">
        <f t="shared" si="2"/>
        <v>I-027-20</v>
      </c>
      <c r="B185" s="277" t="s">
        <v>560</v>
      </c>
      <c r="C185" s="277">
        <v>20</v>
      </c>
      <c r="D185" s="277" t="s">
        <v>1109</v>
      </c>
      <c r="E185" s="276" t="str">
        <f>VLOOKUP(D185, 'S17 Work Stations'!$A$2:$B$45, 2, 0)</f>
        <v>SAW-CNC-60-425</v>
      </c>
      <c r="F185" s="277">
        <v>120</v>
      </c>
      <c r="G185" s="3">
        <v>200</v>
      </c>
    </row>
    <row r="186" spans="1:7" s="257" customFormat="1">
      <c r="A186" s="317" t="str">
        <f t="shared" si="2"/>
        <v>I-027-10</v>
      </c>
      <c r="B186" s="277" t="s">
        <v>560</v>
      </c>
      <c r="C186" s="277">
        <v>10</v>
      </c>
      <c r="D186" s="277" t="s">
        <v>1112</v>
      </c>
      <c r="E186" s="276" t="str">
        <f>VLOOKUP(D186, 'S17 Work Stations'!$A$2:$B$45, 2, 0)</f>
        <v>RAW-MAT-INV</v>
      </c>
      <c r="F186" s="277">
        <v>0</v>
      </c>
      <c r="G186" s="3">
        <v>200</v>
      </c>
    </row>
    <row r="187" spans="1:7" s="257" customFormat="1">
      <c r="A187" s="317" t="str">
        <f t="shared" si="2"/>
        <v>I-027-50</v>
      </c>
      <c r="B187" s="277" t="s">
        <v>560</v>
      </c>
      <c r="C187" s="277">
        <v>50</v>
      </c>
      <c r="D187" s="277" t="s">
        <v>1113</v>
      </c>
      <c r="E187" s="276" t="str">
        <f>VLOOKUP(D187, 'S17 Work Stations'!$A$2:$B$45, 2, 0)</f>
        <v>FIN-GOOD-INV</v>
      </c>
      <c r="F187" s="277">
        <v>0</v>
      </c>
      <c r="G187" s="3">
        <v>200</v>
      </c>
    </row>
    <row r="188" spans="1:7" s="257" customFormat="1">
      <c r="A188" s="317" t="str">
        <f t="shared" si="2"/>
        <v>I-028-30</v>
      </c>
      <c r="B188" s="277" t="s">
        <v>562</v>
      </c>
      <c r="C188" s="277">
        <v>30</v>
      </c>
      <c r="D188" s="277" t="s">
        <v>1061</v>
      </c>
      <c r="E188" s="276" t="str">
        <f>VLOOKUP(D188, 'S17 Work Stations'!$A$2:$B$45, 2, 0)</f>
        <v>TUR-6-Sp3-408</v>
      </c>
      <c r="F188" s="277">
        <v>360</v>
      </c>
      <c r="G188" s="3">
        <v>200</v>
      </c>
    </row>
    <row r="189" spans="1:7" s="257" customFormat="1">
      <c r="A189" s="317" t="str">
        <f t="shared" si="2"/>
        <v>I-028-50</v>
      </c>
      <c r="B189" s="277" t="s">
        <v>562</v>
      </c>
      <c r="C189" s="277">
        <v>50</v>
      </c>
      <c r="D189" s="277" t="s">
        <v>1080</v>
      </c>
      <c r="E189" s="276" t="str">
        <f>VLOOKUP(D189, 'S17 Work Stations'!$A$2:$B$45, 2, 0)</f>
        <v>DR-2A-201</v>
      </c>
      <c r="F189" s="277">
        <v>780</v>
      </c>
      <c r="G189" s="3">
        <v>200</v>
      </c>
    </row>
    <row r="190" spans="1:7" s="257" customFormat="1">
      <c r="A190" s="317" t="str">
        <f t="shared" si="2"/>
        <v>I-028-40</v>
      </c>
      <c r="B190" s="277" t="s">
        <v>562</v>
      </c>
      <c r="C190" s="277">
        <v>40</v>
      </c>
      <c r="D190" s="277" t="s">
        <v>1087</v>
      </c>
      <c r="E190" s="276" t="str">
        <f>VLOOKUP(D190, 'S17 Work Stations'!$A$2:$B$45, 2, 0)</f>
        <v>GR-T11-250</v>
      </c>
      <c r="F190" s="277">
        <v>360</v>
      </c>
      <c r="G190" s="3">
        <v>200</v>
      </c>
    </row>
    <row r="191" spans="1:7" s="257" customFormat="1">
      <c r="A191" s="317" t="str">
        <f t="shared" si="2"/>
        <v>I-028-20</v>
      </c>
      <c r="B191" s="277" t="s">
        <v>562</v>
      </c>
      <c r="C191" s="277">
        <v>20</v>
      </c>
      <c r="D191" s="277" t="s">
        <v>1109</v>
      </c>
      <c r="E191" s="276" t="str">
        <f>VLOOKUP(D191, 'S17 Work Stations'!$A$2:$B$45, 2, 0)</f>
        <v>SAW-CNC-60-425</v>
      </c>
      <c r="F191" s="277">
        <v>60</v>
      </c>
      <c r="G191" s="3">
        <v>200</v>
      </c>
    </row>
    <row r="192" spans="1:7" s="257" customFormat="1">
      <c r="A192" s="317" t="str">
        <f t="shared" si="2"/>
        <v>I-028-10</v>
      </c>
      <c r="B192" s="277" t="s">
        <v>562</v>
      </c>
      <c r="C192" s="277">
        <v>10</v>
      </c>
      <c r="D192" s="277" t="s">
        <v>1112</v>
      </c>
      <c r="E192" s="276" t="str">
        <f>VLOOKUP(D192, 'S17 Work Stations'!$A$2:$B$45, 2, 0)</f>
        <v>RAW-MAT-INV</v>
      </c>
      <c r="F192" s="277">
        <v>0</v>
      </c>
      <c r="G192" s="3">
        <v>200</v>
      </c>
    </row>
    <row r="193" spans="1:7" s="257" customFormat="1">
      <c r="A193" s="317" t="str">
        <f t="shared" si="2"/>
        <v>I-028-60</v>
      </c>
      <c r="B193" s="277" t="s">
        <v>562</v>
      </c>
      <c r="C193" s="277">
        <v>60</v>
      </c>
      <c r="D193" s="277" t="s">
        <v>1113</v>
      </c>
      <c r="E193" s="276" t="str">
        <f>VLOOKUP(D193, 'S17 Work Stations'!$A$2:$B$45, 2, 0)</f>
        <v>FIN-GOOD-INV</v>
      </c>
      <c r="F193" s="277">
        <v>0</v>
      </c>
      <c r="G193" s="3">
        <v>200</v>
      </c>
    </row>
    <row r="194" spans="1:7" s="257" customFormat="1">
      <c r="A194" s="317" t="str">
        <f t="shared" ref="A194:A257" si="3">B194&amp;"-"&amp;C194</f>
        <v>I-029-30</v>
      </c>
      <c r="B194" s="277" t="s">
        <v>564</v>
      </c>
      <c r="C194" s="277">
        <v>30</v>
      </c>
      <c r="D194" s="277" t="s">
        <v>1061</v>
      </c>
      <c r="E194" s="276" t="str">
        <f>VLOOKUP(D194, 'S17 Work Stations'!$A$2:$B$45, 2, 0)</f>
        <v>TUR-6-Sp3-408</v>
      </c>
      <c r="F194" s="277">
        <v>420</v>
      </c>
      <c r="G194" s="3">
        <v>200</v>
      </c>
    </row>
    <row r="195" spans="1:7" s="257" customFormat="1">
      <c r="A195" s="317" t="str">
        <f t="shared" si="3"/>
        <v>I-029-40</v>
      </c>
      <c r="B195" s="277" t="s">
        <v>564</v>
      </c>
      <c r="C195" s="277">
        <v>40</v>
      </c>
      <c r="D195" s="277" t="s">
        <v>1087</v>
      </c>
      <c r="E195" s="276" t="str">
        <f>VLOOKUP(D195, 'S17 Work Stations'!$A$2:$B$45, 2, 0)</f>
        <v>GR-T11-250</v>
      </c>
      <c r="F195" s="277">
        <v>360</v>
      </c>
      <c r="G195" s="3">
        <v>200</v>
      </c>
    </row>
    <row r="196" spans="1:7" s="257" customFormat="1">
      <c r="A196" s="317" t="str">
        <f t="shared" si="3"/>
        <v>I-029-20</v>
      </c>
      <c r="B196" s="277" t="s">
        <v>564</v>
      </c>
      <c r="C196" s="277">
        <v>20</v>
      </c>
      <c r="D196" s="277" t="s">
        <v>1109</v>
      </c>
      <c r="E196" s="276" t="str">
        <f>VLOOKUP(D196, 'S17 Work Stations'!$A$2:$B$45, 2, 0)</f>
        <v>SAW-CNC-60-425</v>
      </c>
      <c r="F196" s="277">
        <v>120</v>
      </c>
      <c r="G196" s="3">
        <v>200</v>
      </c>
    </row>
    <row r="197" spans="1:7" s="257" customFormat="1">
      <c r="A197" s="317" t="str">
        <f t="shared" si="3"/>
        <v>I-029-10</v>
      </c>
      <c r="B197" s="277" t="s">
        <v>564</v>
      </c>
      <c r="C197" s="277">
        <v>10</v>
      </c>
      <c r="D197" s="277" t="s">
        <v>1112</v>
      </c>
      <c r="E197" s="276" t="str">
        <f>VLOOKUP(D197, 'S17 Work Stations'!$A$2:$B$45, 2, 0)</f>
        <v>RAW-MAT-INV</v>
      </c>
      <c r="F197" s="277">
        <v>0</v>
      </c>
      <c r="G197" s="3">
        <v>200</v>
      </c>
    </row>
    <row r="198" spans="1:7" s="257" customFormat="1">
      <c r="A198" s="317" t="str">
        <f t="shared" si="3"/>
        <v>I-029-50</v>
      </c>
      <c r="B198" s="277" t="s">
        <v>564</v>
      </c>
      <c r="C198" s="277">
        <v>50</v>
      </c>
      <c r="D198" s="277" t="s">
        <v>1113</v>
      </c>
      <c r="E198" s="276" t="str">
        <f>VLOOKUP(D198, 'S17 Work Stations'!$A$2:$B$45, 2, 0)</f>
        <v>FIN-GOOD-INV</v>
      </c>
      <c r="F198" s="277">
        <v>0</v>
      </c>
      <c r="G198" s="3">
        <v>200</v>
      </c>
    </row>
    <row r="199" spans="1:7" s="257" customFormat="1">
      <c r="A199" s="317" t="str">
        <f t="shared" si="3"/>
        <v>I-030-30</v>
      </c>
      <c r="B199" s="277" t="s">
        <v>566</v>
      </c>
      <c r="C199" s="277">
        <v>30</v>
      </c>
      <c r="D199" s="277" t="s">
        <v>1055</v>
      </c>
      <c r="E199" s="276" t="str">
        <f>VLOOKUP(D199, 'S17 Work Stations'!$A$2:$B$45, 2, 0)</f>
        <v>TUR-15-250-405</v>
      </c>
      <c r="F199" s="277">
        <v>420</v>
      </c>
      <c r="G199" s="3">
        <v>200</v>
      </c>
    </row>
    <row r="200" spans="1:7" s="257" customFormat="1">
      <c r="A200" s="317" t="str">
        <f t="shared" si="3"/>
        <v>I-030-40</v>
      </c>
      <c r="B200" s="277" t="s">
        <v>566</v>
      </c>
      <c r="C200" s="277">
        <v>40</v>
      </c>
      <c r="D200" s="277" t="s">
        <v>1085</v>
      </c>
      <c r="E200" s="276" t="str">
        <f>VLOOKUP(D200, 'S17 Work Stations'!$A$2:$B$45, 2, 0)</f>
        <v>DR-T3-204</v>
      </c>
      <c r="F200" s="277">
        <v>300</v>
      </c>
      <c r="G200" s="3">
        <v>200</v>
      </c>
    </row>
    <row r="201" spans="1:7" s="257" customFormat="1">
      <c r="A201" s="317" t="str">
        <f t="shared" si="3"/>
        <v>I-030-20</v>
      </c>
      <c r="B201" s="277" t="s">
        <v>566</v>
      </c>
      <c r="C201" s="277">
        <v>20</v>
      </c>
      <c r="D201" s="277" t="s">
        <v>1109</v>
      </c>
      <c r="E201" s="276" t="str">
        <f>VLOOKUP(D201, 'S17 Work Stations'!$A$2:$B$45, 2, 0)</f>
        <v>SAW-CNC-60-425</v>
      </c>
      <c r="F201" s="277">
        <v>60</v>
      </c>
      <c r="G201" s="3">
        <v>200</v>
      </c>
    </row>
    <row r="202" spans="1:7" s="257" customFormat="1">
      <c r="A202" s="317" t="str">
        <f t="shared" si="3"/>
        <v>I-030-10</v>
      </c>
      <c r="B202" s="277" t="s">
        <v>566</v>
      </c>
      <c r="C202" s="277">
        <v>10</v>
      </c>
      <c r="D202" s="277" t="s">
        <v>1112</v>
      </c>
      <c r="E202" s="276" t="str">
        <f>VLOOKUP(D202, 'S17 Work Stations'!$A$2:$B$45, 2, 0)</f>
        <v>RAW-MAT-INV</v>
      </c>
      <c r="F202" s="277">
        <v>0</v>
      </c>
      <c r="G202" s="3">
        <v>200</v>
      </c>
    </row>
    <row r="203" spans="1:7" s="257" customFormat="1">
      <c r="A203" s="317" t="str">
        <f t="shared" si="3"/>
        <v>I-030-50</v>
      </c>
      <c r="B203" s="277" t="s">
        <v>566</v>
      </c>
      <c r="C203" s="277">
        <v>50</v>
      </c>
      <c r="D203" s="277" t="s">
        <v>1113</v>
      </c>
      <c r="E203" s="276" t="str">
        <f>VLOOKUP(D203, 'S17 Work Stations'!$A$2:$B$45, 2, 0)</f>
        <v>FIN-GOOD-INV</v>
      </c>
      <c r="F203" s="277">
        <v>0</v>
      </c>
      <c r="G203" s="3">
        <v>200</v>
      </c>
    </row>
    <row r="204" spans="1:7" s="257" customFormat="1">
      <c r="A204" s="317" t="str">
        <f t="shared" si="3"/>
        <v>I-031-30</v>
      </c>
      <c r="B204" s="277" t="s">
        <v>568</v>
      </c>
      <c r="C204" s="277">
        <v>30</v>
      </c>
      <c r="D204" s="277" t="s">
        <v>1061</v>
      </c>
      <c r="E204" s="276" t="str">
        <f>VLOOKUP(D204, 'S17 Work Stations'!$A$2:$B$45, 2, 0)</f>
        <v>TUR-6-Sp3-408</v>
      </c>
      <c r="F204" s="277">
        <v>480</v>
      </c>
      <c r="G204" s="3">
        <v>200</v>
      </c>
    </row>
    <row r="205" spans="1:7" s="257" customFormat="1">
      <c r="A205" s="317" t="str">
        <f t="shared" si="3"/>
        <v>I-031-50</v>
      </c>
      <c r="B205" s="277" t="s">
        <v>568</v>
      </c>
      <c r="C205" s="277">
        <v>50</v>
      </c>
      <c r="D205" s="277" t="s">
        <v>1080</v>
      </c>
      <c r="E205" s="276" t="str">
        <f>VLOOKUP(D205, 'S17 Work Stations'!$A$2:$B$45, 2, 0)</f>
        <v>DR-2A-201</v>
      </c>
      <c r="F205" s="277">
        <v>780</v>
      </c>
      <c r="G205" s="3">
        <v>200</v>
      </c>
    </row>
    <row r="206" spans="1:7" s="257" customFormat="1">
      <c r="A206" s="317" t="str">
        <f t="shared" si="3"/>
        <v>I-031-40</v>
      </c>
      <c r="B206" s="277" t="s">
        <v>568</v>
      </c>
      <c r="C206" s="277">
        <v>40</v>
      </c>
      <c r="D206" s="277" t="s">
        <v>1087</v>
      </c>
      <c r="E206" s="276" t="str">
        <f>VLOOKUP(D206, 'S17 Work Stations'!$A$2:$B$45, 2, 0)</f>
        <v>GR-T11-250</v>
      </c>
      <c r="F206" s="277">
        <v>300</v>
      </c>
      <c r="G206" s="3">
        <v>200</v>
      </c>
    </row>
    <row r="207" spans="1:7" s="257" customFormat="1">
      <c r="A207" s="317" t="str">
        <f t="shared" si="3"/>
        <v>I-031-20</v>
      </c>
      <c r="B207" s="277" t="s">
        <v>568</v>
      </c>
      <c r="C207" s="277">
        <v>20</v>
      </c>
      <c r="D207" s="277" t="s">
        <v>1109</v>
      </c>
      <c r="E207" s="276" t="str">
        <f>VLOOKUP(D207, 'S17 Work Stations'!$A$2:$B$45, 2, 0)</f>
        <v>SAW-CNC-60-425</v>
      </c>
      <c r="F207" s="277">
        <v>60</v>
      </c>
      <c r="G207" s="3">
        <v>200</v>
      </c>
    </row>
    <row r="208" spans="1:7" s="257" customFormat="1">
      <c r="A208" s="317" t="str">
        <f t="shared" si="3"/>
        <v>I-031-60</v>
      </c>
      <c r="B208" s="277" t="s">
        <v>568</v>
      </c>
      <c r="C208" s="277">
        <v>60</v>
      </c>
      <c r="D208" s="277" t="s">
        <v>1111</v>
      </c>
      <c r="E208" s="276" t="str">
        <f>VLOOKUP(D208, 'S17 Work Stations'!$A$2:$B$45, 2, 0)</f>
        <v>TEMP-A01-202</v>
      </c>
      <c r="F208" s="277">
        <v>300</v>
      </c>
      <c r="G208" s="3">
        <v>200</v>
      </c>
    </row>
    <row r="209" spans="1:7" s="257" customFormat="1">
      <c r="A209" s="317" t="str">
        <f t="shared" si="3"/>
        <v>I-031-10</v>
      </c>
      <c r="B209" s="277" t="s">
        <v>568</v>
      </c>
      <c r="C209" s="277">
        <v>10</v>
      </c>
      <c r="D209" s="277" t="s">
        <v>1112</v>
      </c>
      <c r="E209" s="276" t="str">
        <f>VLOOKUP(D209, 'S17 Work Stations'!$A$2:$B$45, 2, 0)</f>
        <v>RAW-MAT-INV</v>
      </c>
      <c r="F209" s="277">
        <v>0</v>
      </c>
      <c r="G209" s="3">
        <v>200</v>
      </c>
    </row>
    <row r="210" spans="1:7" s="257" customFormat="1">
      <c r="A210" s="317" t="str">
        <f t="shared" si="3"/>
        <v>I-031-70</v>
      </c>
      <c r="B210" s="277" t="s">
        <v>568</v>
      </c>
      <c r="C210" s="277">
        <v>70</v>
      </c>
      <c r="D210" s="277" t="s">
        <v>1113</v>
      </c>
      <c r="E210" s="276" t="str">
        <f>VLOOKUP(D210, 'S17 Work Stations'!$A$2:$B$45, 2, 0)</f>
        <v>FIN-GOOD-INV</v>
      </c>
      <c r="F210" s="277">
        <v>0</v>
      </c>
      <c r="G210" s="3">
        <v>200</v>
      </c>
    </row>
    <row r="211" spans="1:7" s="257" customFormat="1">
      <c r="A211" s="317" t="str">
        <f t="shared" si="3"/>
        <v>I-032-30</v>
      </c>
      <c r="B211" s="277" t="s">
        <v>570</v>
      </c>
      <c r="C211" s="277">
        <v>30</v>
      </c>
      <c r="D211" s="277" t="s">
        <v>1061</v>
      </c>
      <c r="E211" s="276" t="str">
        <f>VLOOKUP(D211, 'S17 Work Stations'!$A$2:$B$45, 2, 0)</f>
        <v>TUR-6-Sp3-408</v>
      </c>
      <c r="F211" s="277">
        <v>180</v>
      </c>
      <c r="G211" s="3">
        <v>200</v>
      </c>
    </row>
    <row r="212" spans="1:7" s="257" customFormat="1">
      <c r="A212" s="317" t="str">
        <f t="shared" si="3"/>
        <v>I-032-40</v>
      </c>
      <c r="B212" s="277" t="s">
        <v>570</v>
      </c>
      <c r="C212" s="277">
        <v>40</v>
      </c>
      <c r="D212" s="277" t="s">
        <v>1083</v>
      </c>
      <c r="E212" s="276" t="str">
        <f>VLOOKUP(D212, 'S17 Work Stations'!$A$2:$B$45, 2, 0)</f>
        <v>GR-T1-203</v>
      </c>
      <c r="F212" s="277">
        <v>360</v>
      </c>
      <c r="G212" s="3">
        <v>200</v>
      </c>
    </row>
    <row r="213" spans="1:7" s="257" customFormat="1">
      <c r="A213" s="317" t="str">
        <f t="shared" si="3"/>
        <v>I-032-20</v>
      </c>
      <c r="B213" s="277" t="s">
        <v>570</v>
      </c>
      <c r="C213" s="277">
        <v>20</v>
      </c>
      <c r="D213" s="277" t="s">
        <v>1109</v>
      </c>
      <c r="E213" s="276" t="str">
        <f>VLOOKUP(D213, 'S17 Work Stations'!$A$2:$B$45, 2, 0)</f>
        <v>SAW-CNC-60-425</v>
      </c>
      <c r="F213" s="277">
        <v>60</v>
      </c>
      <c r="G213" s="3">
        <v>200</v>
      </c>
    </row>
    <row r="214" spans="1:7" s="257" customFormat="1">
      <c r="A214" s="317" t="str">
        <f t="shared" si="3"/>
        <v>I-032-10</v>
      </c>
      <c r="B214" s="277" t="s">
        <v>570</v>
      </c>
      <c r="C214" s="277">
        <v>10</v>
      </c>
      <c r="D214" s="277" t="s">
        <v>1112</v>
      </c>
      <c r="E214" s="276" t="str">
        <f>VLOOKUP(D214, 'S17 Work Stations'!$A$2:$B$45, 2, 0)</f>
        <v>RAW-MAT-INV</v>
      </c>
      <c r="F214" s="277">
        <v>0</v>
      </c>
      <c r="G214" s="3">
        <v>200</v>
      </c>
    </row>
    <row r="215" spans="1:7" s="257" customFormat="1">
      <c r="A215" s="317" t="str">
        <f t="shared" si="3"/>
        <v>I-032-50</v>
      </c>
      <c r="B215" s="277" t="s">
        <v>570</v>
      </c>
      <c r="C215" s="277">
        <v>50</v>
      </c>
      <c r="D215" s="277" t="s">
        <v>1113</v>
      </c>
      <c r="E215" s="276" t="str">
        <f>VLOOKUP(D215, 'S17 Work Stations'!$A$2:$B$45, 2, 0)</f>
        <v>FIN-GOOD-INV</v>
      </c>
      <c r="F215" s="277">
        <v>0</v>
      </c>
      <c r="G215" s="3">
        <v>200</v>
      </c>
    </row>
    <row r="216" spans="1:7" s="257" customFormat="1">
      <c r="A216" s="317" t="str">
        <f t="shared" si="3"/>
        <v>I-033-30</v>
      </c>
      <c r="B216" s="277" t="s">
        <v>572</v>
      </c>
      <c r="C216" s="277">
        <v>30</v>
      </c>
      <c r="D216" s="277" t="s">
        <v>1063</v>
      </c>
      <c r="E216" s="276" t="str">
        <f>VLOOKUP(D216, 'S17 Work Stations'!$A$2:$B$45, 2, 0)</f>
        <v>TUR-6-Sp4-409</v>
      </c>
      <c r="F216" s="277">
        <v>540</v>
      </c>
      <c r="G216" s="3">
        <v>200</v>
      </c>
    </row>
    <row r="217" spans="1:7" s="257" customFormat="1">
      <c r="A217" s="317" t="str">
        <f t="shared" si="3"/>
        <v>I-033-50</v>
      </c>
      <c r="B217" s="277" t="s">
        <v>572</v>
      </c>
      <c r="C217" s="277">
        <v>50</v>
      </c>
      <c r="D217" s="277" t="s">
        <v>1080</v>
      </c>
      <c r="E217" s="276" t="str">
        <f>VLOOKUP(D217, 'S17 Work Stations'!$A$2:$B$45, 2, 0)</f>
        <v>DR-2A-201</v>
      </c>
      <c r="F217" s="277">
        <v>480</v>
      </c>
      <c r="G217" s="3">
        <v>200</v>
      </c>
    </row>
    <row r="218" spans="1:7" s="257" customFormat="1">
      <c r="A218" s="317" t="str">
        <f t="shared" si="3"/>
        <v>I-033-40</v>
      </c>
      <c r="B218" s="277" t="s">
        <v>572</v>
      </c>
      <c r="C218" s="277">
        <v>40</v>
      </c>
      <c r="D218" s="277" t="s">
        <v>1083</v>
      </c>
      <c r="E218" s="276" t="str">
        <f>VLOOKUP(D218, 'S17 Work Stations'!$A$2:$B$45, 2, 0)</f>
        <v>GR-T1-203</v>
      </c>
      <c r="F218" s="277">
        <v>360</v>
      </c>
      <c r="G218" s="3">
        <v>200</v>
      </c>
    </row>
    <row r="219" spans="1:7" s="257" customFormat="1">
      <c r="A219" s="317" t="str">
        <f t="shared" si="3"/>
        <v>I-033-20</v>
      </c>
      <c r="B219" s="277" t="s">
        <v>572</v>
      </c>
      <c r="C219" s="277">
        <v>20</v>
      </c>
      <c r="D219" s="277" t="s">
        <v>1109</v>
      </c>
      <c r="E219" s="276" t="str">
        <f>VLOOKUP(D219, 'S17 Work Stations'!$A$2:$B$45, 2, 0)</f>
        <v>SAW-CNC-60-425</v>
      </c>
      <c r="F219" s="277">
        <v>60</v>
      </c>
      <c r="G219" s="3">
        <v>200</v>
      </c>
    </row>
    <row r="220" spans="1:7" s="257" customFormat="1">
      <c r="A220" s="317" t="str">
        <f t="shared" si="3"/>
        <v>I-033-60</v>
      </c>
      <c r="B220" s="277" t="s">
        <v>572</v>
      </c>
      <c r="C220" s="277">
        <v>60</v>
      </c>
      <c r="D220" s="277" t="s">
        <v>1111</v>
      </c>
      <c r="E220" s="276" t="str">
        <f>VLOOKUP(D220, 'S17 Work Stations'!$A$2:$B$45, 2, 0)</f>
        <v>TEMP-A01-202</v>
      </c>
      <c r="F220" s="277">
        <v>300</v>
      </c>
      <c r="G220" s="3">
        <v>200</v>
      </c>
    </row>
    <row r="221" spans="1:7" s="257" customFormat="1">
      <c r="A221" s="317" t="str">
        <f t="shared" si="3"/>
        <v>I-033-10</v>
      </c>
      <c r="B221" s="277" t="s">
        <v>572</v>
      </c>
      <c r="C221" s="277">
        <v>10</v>
      </c>
      <c r="D221" s="277" t="s">
        <v>1112</v>
      </c>
      <c r="E221" s="276" t="str">
        <f>VLOOKUP(D221, 'S17 Work Stations'!$A$2:$B$45, 2, 0)</f>
        <v>RAW-MAT-INV</v>
      </c>
      <c r="F221" s="277">
        <v>0</v>
      </c>
      <c r="G221" s="3">
        <v>200</v>
      </c>
    </row>
    <row r="222" spans="1:7" s="257" customFormat="1">
      <c r="A222" s="317" t="str">
        <f t="shared" si="3"/>
        <v>I-033-70</v>
      </c>
      <c r="B222" s="277" t="s">
        <v>572</v>
      </c>
      <c r="C222" s="277">
        <v>70</v>
      </c>
      <c r="D222" s="277" t="s">
        <v>1113</v>
      </c>
      <c r="E222" s="276" t="str">
        <f>VLOOKUP(D222, 'S17 Work Stations'!$A$2:$B$45, 2, 0)</f>
        <v>FIN-GOOD-INV</v>
      </c>
      <c r="F222" s="277">
        <v>0</v>
      </c>
      <c r="G222" s="3">
        <v>200</v>
      </c>
    </row>
    <row r="223" spans="1:7" s="257" customFormat="1">
      <c r="A223" s="317" t="str">
        <f t="shared" si="3"/>
        <v>I-034-30</v>
      </c>
      <c r="B223" s="277" t="s">
        <v>574</v>
      </c>
      <c r="C223" s="277">
        <v>30</v>
      </c>
      <c r="D223" s="277" t="s">
        <v>1063</v>
      </c>
      <c r="E223" s="276" t="str">
        <f>VLOOKUP(D223, 'S17 Work Stations'!$A$2:$B$45, 2, 0)</f>
        <v>TUR-6-Sp4-409</v>
      </c>
      <c r="F223" s="277">
        <v>540</v>
      </c>
      <c r="G223" s="3">
        <v>200</v>
      </c>
    </row>
    <row r="224" spans="1:7" s="257" customFormat="1">
      <c r="A224" s="317" t="str">
        <f t="shared" si="3"/>
        <v>I-034-40</v>
      </c>
      <c r="B224" s="277" t="s">
        <v>574</v>
      </c>
      <c r="C224" s="277">
        <v>40</v>
      </c>
      <c r="D224" s="277" t="s">
        <v>1083</v>
      </c>
      <c r="E224" s="276" t="str">
        <f>VLOOKUP(D224, 'S17 Work Stations'!$A$2:$B$45, 2, 0)</f>
        <v>GR-T1-203</v>
      </c>
      <c r="F224" s="277">
        <v>360</v>
      </c>
      <c r="G224" s="3">
        <v>200</v>
      </c>
    </row>
    <row r="225" spans="1:7" s="257" customFormat="1">
      <c r="A225" s="317" t="str">
        <f t="shared" si="3"/>
        <v>I-034-50</v>
      </c>
      <c r="B225" s="277" t="s">
        <v>574</v>
      </c>
      <c r="C225" s="277">
        <v>50</v>
      </c>
      <c r="D225" s="277" t="s">
        <v>1098</v>
      </c>
      <c r="E225" s="276" t="str">
        <f>VLOOKUP(D225, 'S17 Work Stations'!$A$2:$B$45, 2, 0)</f>
        <v>SAW-35-100-254</v>
      </c>
      <c r="F225" s="277">
        <v>720</v>
      </c>
      <c r="G225" s="3">
        <v>200</v>
      </c>
    </row>
    <row r="226" spans="1:7" s="257" customFormat="1">
      <c r="A226" s="317" t="str">
        <f t="shared" si="3"/>
        <v>I-034-20</v>
      </c>
      <c r="B226" s="277" t="s">
        <v>574</v>
      </c>
      <c r="C226" s="277">
        <v>20</v>
      </c>
      <c r="D226" s="277" t="s">
        <v>1109</v>
      </c>
      <c r="E226" s="276" t="str">
        <f>VLOOKUP(D226, 'S17 Work Stations'!$A$2:$B$45, 2, 0)</f>
        <v>SAW-CNC-60-425</v>
      </c>
      <c r="F226" s="277">
        <v>60</v>
      </c>
      <c r="G226" s="3">
        <v>200</v>
      </c>
    </row>
    <row r="227" spans="1:7" s="257" customFormat="1">
      <c r="A227" s="317" t="str">
        <f t="shared" si="3"/>
        <v>I-034-60</v>
      </c>
      <c r="B227" s="277" t="s">
        <v>574</v>
      </c>
      <c r="C227" s="277">
        <v>60</v>
      </c>
      <c r="D227" s="277" t="s">
        <v>1111</v>
      </c>
      <c r="E227" s="276" t="str">
        <f>VLOOKUP(D227, 'S17 Work Stations'!$A$2:$B$45, 2, 0)</f>
        <v>TEMP-A01-202</v>
      </c>
      <c r="F227" s="277">
        <v>300</v>
      </c>
      <c r="G227" s="3">
        <v>200</v>
      </c>
    </row>
    <row r="228" spans="1:7" s="257" customFormat="1">
      <c r="A228" s="317" t="str">
        <f t="shared" si="3"/>
        <v>I-034-10</v>
      </c>
      <c r="B228" s="277" t="s">
        <v>574</v>
      </c>
      <c r="C228" s="277">
        <v>10</v>
      </c>
      <c r="D228" s="277" t="s">
        <v>1112</v>
      </c>
      <c r="E228" s="276" t="str">
        <f>VLOOKUP(D228, 'S17 Work Stations'!$A$2:$B$45, 2, 0)</f>
        <v>RAW-MAT-INV</v>
      </c>
      <c r="F228" s="277">
        <v>0</v>
      </c>
      <c r="G228" s="3">
        <v>200</v>
      </c>
    </row>
    <row r="229" spans="1:7" s="257" customFormat="1">
      <c r="A229" s="317" t="str">
        <f t="shared" si="3"/>
        <v>I-034-70</v>
      </c>
      <c r="B229" s="277" t="s">
        <v>574</v>
      </c>
      <c r="C229" s="277">
        <v>70</v>
      </c>
      <c r="D229" s="277" t="s">
        <v>1113</v>
      </c>
      <c r="E229" s="276" t="str">
        <f>VLOOKUP(D229, 'S17 Work Stations'!$A$2:$B$45, 2, 0)</f>
        <v>FIN-GOOD-INV</v>
      </c>
      <c r="F229" s="277">
        <v>0</v>
      </c>
      <c r="G229" s="3">
        <v>200</v>
      </c>
    </row>
    <row r="230" spans="1:7" s="257" customFormat="1">
      <c r="A230" s="317" t="str">
        <f t="shared" si="3"/>
        <v>I-035-30</v>
      </c>
      <c r="B230" s="277" t="s">
        <v>576</v>
      </c>
      <c r="C230" s="277">
        <v>30</v>
      </c>
      <c r="D230" s="277" t="s">
        <v>1046</v>
      </c>
      <c r="E230" s="276" t="str">
        <f>VLOOKUP(D230, 'S17 Work Stations'!$A$2:$B$45, 2, 0)</f>
        <v>TUR-C2-367</v>
      </c>
      <c r="F230" s="277">
        <v>420</v>
      </c>
      <c r="G230" s="3">
        <v>200</v>
      </c>
    </row>
    <row r="231" spans="1:7" s="257" customFormat="1">
      <c r="A231" s="317" t="str">
        <f t="shared" si="3"/>
        <v>I-035-40</v>
      </c>
      <c r="B231" s="277" t="s">
        <v>576</v>
      </c>
      <c r="C231" s="277">
        <v>40</v>
      </c>
      <c r="D231" s="277" t="s">
        <v>1080</v>
      </c>
      <c r="E231" s="276" t="str">
        <f>VLOOKUP(D231, 'S17 Work Stations'!$A$2:$B$45, 2, 0)</f>
        <v>DR-2A-201</v>
      </c>
      <c r="F231" s="277">
        <v>480</v>
      </c>
      <c r="G231" s="3">
        <v>200</v>
      </c>
    </row>
    <row r="232" spans="1:7" s="257" customFormat="1">
      <c r="A232" s="317" t="str">
        <f t="shared" si="3"/>
        <v>I-035-50</v>
      </c>
      <c r="B232" s="277" t="s">
        <v>576</v>
      </c>
      <c r="C232" s="277">
        <v>50</v>
      </c>
      <c r="D232" s="277" t="s">
        <v>1098</v>
      </c>
      <c r="E232" s="276" t="str">
        <f>VLOOKUP(D232, 'S17 Work Stations'!$A$2:$B$45, 2, 0)</f>
        <v>SAW-35-100-254</v>
      </c>
      <c r="F232" s="277">
        <v>720</v>
      </c>
      <c r="G232" s="3">
        <v>200</v>
      </c>
    </row>
    <row r="233" spans="1:7" s="257" customFormat="1">
      <c r="A233" s="317" t="str">
        <f t="shared" si="3"/>
        <v>I-035-20</v>
      </c>
      <c r="B233" s="277" t="s">
        <v>576</v>
      </c>
      <c r="C233" s="277">
        <v>20</v>
      </c>
      <c r="D233" s="277" t="s">
        <v>1103</v>
      </c>
      <c r="E233" s="276" t="str">
        <f>VLOOKUP(D233, 'S17 Work Stations'!$A$2:$B$45, 2, 0)</f>
        <v>SAW-150-423</v>
      </c>
      <c r="F233" s="277">
        <v>120</v>
      </c>
      <c r="G233" s="3">
        <v>200</v>
      </c>
    </row>
    <row r="234" spans="1:7" s="257" customFormat="1">
      <c r="A234" s="317" t="str">
        <f t="shared" si="3"/>
        <v>I-035-10</v>
      </c>
      <c r="B234" s="277" t="s">
        <v>576</v>
      </c>
      <c r="C234" s="277">
        <v>10</v>
      </c>
      <c r="D234" s="277" t="s">
        <v>1112</v>
      </c>
      <c r="E234" s="276" t="str">
        <f>VLOOKUP(D234, 'S17 Work Stations'!$A$2:$B$45, 2, 0)</f>
        <v>RAW-MAT-INV</v>
      </c>
      <c r="F234" s="277">
        <v>0</v>
      </c>
      <c r="G234" s="3">
        <v>200</v>
      </c>
    </row>
    <row r="235" spans="1:7" s="257" customFormat="1">
      <c r="A235" s="317" t="str">
        <f t="shared" si="3"/>
        <v>I-035-60</v>
      </c>
      <c r="B235" s="277" t="s">
        <v>576</v>
      </c>
      <c r="C235" s="277">
        <v>60</v>
      </c>
      <c r="D235" s="277" t="s">
        <v>1113</v>
      </c>
      <c r="E235" s="276" t="str">
        <f>VLOOKUP(D235, 'S17 Work Stations'!$A$2:$B$45, 2, 0)</f>
        <v>FIN-GOOD-INV</v>
      </c>
      <c r="F235" s="277">
        <v>0</v>
      </c>
      <c r="G235" s="3">
        <v>200</v>
      </c>
    </row>
    <row r="236" spans="1:7" s="257" customFormat="1">
      <c r="A236" s="317" t="str">
        <f t="shared" si="3"/>
        <v>I-036-30</v>
      </c>
      <c r="B236" s="277" t="s">
        <v>578</v>
      </c>
      <c r="C236" s="277">
        <v>30</v>
      </c>
      <c r="D236" s="277" t="s">
        <v>1046</v>
      </c>
      <c r="E236" s="276" t="str">
        <f>VLOOKUP(D236, 'S17 Work Stations'!$A$2:$B$45, 2, 0)</f>
        <v>TUR-C2-367</v>
      </c>
      <c r="F236" s="277">
        <v>240</v>
      </c>
      <c r="G236" s="3">
        <v>200</v>
      </c>
    </row>
    <row r="237" spans="1:7" s="257" customFormat="1">
      <c r="A237" s="317" t="str">
        <f t="shared" si="3"/>
        <v>I-036-40</v>
      </c>
      <c r="B237" s="277" t="s">
        <v>578</v>
      </c>
      <c r="C237" s="277">
        <v>40</v>
      </c>
      <c r="D237" s="277" t="s">
        <v>1091</v>
      </c>
      <c r="E237" s="276" t="str">
        <f>VLOOKUP(D237, 'S17 Work Stations'!$A$2:$B$45, 2, 0)</f>
        <v>DR-3AW-207</v>
      </c>
      <c r="F237" s="277">
        <v>240</v>
      </c>
      <c r="G237" s="3">
        <v>200</v>
      </c>
    </row>
    <row r="238" spans="1:7" s="257" customFormat="1">
      <c r="A238" s="317" t="str">
        <f t="shared" si="3"/>
        <v>I-036-20</v>
      </c>
      <c r="B238" s="277" t="s">
        <v>578</v>
      </c>
      <c r="C238" s="277">
        <v>20</v>
      </c>
      <c r="D238" s="277" t="s">
        <v>1103</v>
      </c>
      <c r="E238" s="276" t="str">
        <f>VLOOKUP(D238, 'S17 Work Stations'!$A$2:$B$45, 2, 0)</f>
        <v>SAW-150-423</v>
      </c>
      <c r="F238" s="277">
        <v>120</v>
      </c>
      <c r="G238" s="3">
        <v>200</v>
      </c>
    </row>
    <row r="239" spans="1:7" s="257" customFormat="1">
      <c r="A239" s="317" t="str">
        <f t="shared" si="3"/>
        <v>I-036-10</v>
      </c>
      <c r="B239" s="277" t="s">
        <v>578</v>
      </c>
      <c r="C239" s="277">
        <v>10</v>
      </c>
      <c r="D239" s="277" t="s">
        <v>1112</v>
      </c>
      <c r="E239" s="276" t="str">
        <f>VLOOKUP(D239, 'S17 Work Stations'!$A$2:$B$45, 2, 0)</f>
        <v>RAW-MAT-INV</v>
      </c>
      <c r="F239" s="277">
        <v>0</v>
      </c>
      <c r="G239" s="3">
        <v>200</v>
      </c>
    </row>
    <row r="240" spans="1:7" s="257" customFormat="1">
      <c r="A240" s="317" t="str">
        <f t="shared" si="3"/>
        <v>I-036-50</v>
      </c>
      <c r="B240" s="277" t="s">
        <v>578</v>
      </c>
      <c r="C240" s="277">
        <v>50</v>
      </c>
      <c r="D240" s="277" t="s">
        <v>1113</v>
      </c>
      <c r="E240" s="276" t="str">
        <f>VLOOKUP(D240, 'S17 Work Stations'!$A$2:$B$45, 2, 0)</f>
        <v>FIN-GOOD-INV</v>
      </c>
      <c r="F240" s="277">
        <v>0</v>
      </c>
      <c r="G240" s="3">
        <v>200</v>
      </c>
    </row>
    <row r="241" spans="1:7" s="257" customFormat="1">
      <c r="A241" s="317" t="str">
        <f t="shared" si="3"/>
        <v>I-037-30</v>
      </c>
      <c r="B241" s="277" t="s">
        <v>580</v>
      </c>
      <c r="C241" s="277">
        <v>30</v>
      </c>
      <c r="D241" s="277" t="s">
        <v>1046</v>
      </c>
      <c r="E241" s="276" t="str">
        <f>VLOOKUP(D241, 'S17 Work Stations'!$A$2:$B$45, 2, 0)</f>
        <v>TUR-C2-367</v>
      </c>
      <c r="F241" s="277">
        <v>300</v>
      </c>
      <c r="G241" s="3">
        <v>200</v>
      </c>
    </row>
    <row r="242" spans="1:7" s="257" customFormat="1">
      <c r="A242" s="317" t="str">
        <f t="shared" si="3"/>
        <v>I-037-40</v>
      </c>
      <c r="B242" s="277" t="s">
        <v>580</v>
      </c>
      <c r="C242" s="277">
        <v>40</v>
      </c>
      <c r="D242" s="277" t="s">
        <v>1072</v>
      </c>
      <c r="E242" s="276" t="str">
        <f>VLOOKUP(D242, 'S17 Work Stations'!$A$2:$B$45, 2, 0)</f>
        <v>MIL-U1-605</v>
      </c>
      <c r="F242" s="277">
        <v>300</v>
      </c>
      <c r="G242" s="3">
        <v>200</v>
      </c>
    </row>
    <row r="243" spans="1:7" s="257" customFormat="1">
      <c r="A243" s="317" t="str">
        <f t="shared" si="3"/>
        <v>I-037-60</v>
      </c>
      <c r="B243" s="277" t="s">
        <v>580</v>
      </c>
      <c r="C243" s="277">
        <v>60</v>
      </c>
      <c r="D243" s="277" t="s">
        <v>1083</v>
      </c>
      <c r="E243" s="276" t="str">
        <f>VLOOKUP(D243, 'S17 Work Stations'!$A$2:$B$45, 2, 0)</f>
        <v>GR-T1-203</v>
      </c>
      <c r="F243" s="277">
        <v>300</v>
      </c>
      <c r="G243" s="3">
        <v>200</v>
      </c>
    </row>
    <row r="244" spans="1:7" s="257" customFormat="1">
      <c r="A244" s="317" t="str">
        <f t="shared" si="3"/>
        <v>I-037-50</v>
      </c>
      <c r="B244" s="277" t="s">
        <v>580</v>
      </c>
      <c r="C244" s="277">
        <v>50</v>
      </c>
      <c r="D244" s="277" t="s">
        <v>1085</v>
      </c>
      <c r="E244" s="276" t="str">
        <f>VLOOKUP(D244, 'S17 Work Stations'!$A$2:$B$45, 2, 0)</f>
        <v>DR-T3-204</v>
      </c>
      <c r="F244" s="277">
        <v>480</v>
      </c>
      <c r="G244" s="3">
        <v>200</v>
      </c>
    </row>
    <row r="245" spans="1:7" s="257" customFormat="1">
      <c r="A245" s="317" t="str">
        <f t="shared" si="3"/>
        <v>I-037-70</v>
      </c>
      <c r="B245" s="277" t="s">
        <v>580</v>
      </c>
      <c r="C245" s="277">
        <v>70</v>
      </c>
      <c r="D245" s="277" t="s">
        <v>1093</v>
      </c>
      <c r="E245" s="276" t="str">
        <f>VLOOKUP(D245, 'S17 Work Stations'!$A$2:$B$45, 2, 0)</f>
        <v>SAW-30-150-251</v>
      </c>
      <c r="F245" s="277">
        <v>480</v>
      </c>
      <c r="G245" s="3">
        <v>200</v>
      </c>
    </row>
    <row r="246" spans="1:7" s="257" customFormat="1">
      <c r="A246" s="317" t="str">
        <f t="shared" si="3"/>
        <v>I-037-20</v>
      </c>
      <c r="B246" s="277" t="s">
        <v>580</v>
      </c>
      <c r="C246" s="277">
        <v>20</v>
      </c>
      <c r="D246" s="277" t="s">
        <v>1103</v>
      </c>
      <c r="E246" s="276" t="str">
        <f>VLOOKUP(D246, 'S17 Work Stations'!$A$2:$B$45, 2, 0)</f>
        <v>SAW-150-423</v>
      </c>
      <c r="F246" s="277">
        <v>120</v>
      </c>
      <c r="G246" s="3">
        <v>200</v>
      </c>
    </row>
    <row r="247" spans="1:7" s="257" customFormat="1">
      <c r="A247" s="317" t="str">
        <f t="shared" si="3"/>
        <v>I-037-10</v>
      </c>
      <c r="B247" s="277" t="s">
        <v>580</v>
      </c>
      <c r="C247" s="277">
        <v>10</v>
      </c>
      <c r="D247" s="277" t="s">
        <v>1112</v>
      </c>
      <c r="E247" s="276" t="str">
        <f>VLOOKUP(D247, 'S17 Work Stations'!$A$2:$B$45, 2, 0)</f>
        <v>RAW-MAT-INV</v>
      </c>
      <c r="F247" s="277">
        <v>0</v>
      </c>
      <c r="G247" s="3">
        <v>200</v>
      </c>
    </row>
    <row r="248" spans="1:7" s="257" customFormat="1">
      <c r="A248" s="317" t="str">
        <f t="shared" si="3"/>
        <v>I-037-80</v>
      </c>
      <c r="B248" s="277" t="s">
        <v>580</v>
      </c>
      <c r="C248" s="277">
        <v>80</v>
      </c>
      <c r="D248" s="277" t="s">
        <v>1113</v>
      </c>
      <c r="E248" s="276" t="str">
        <f>VLOOKUP(D248, 'S17 Work Stations'!$A$2:$B$45, 2, 0)</f>
        <v>FIN-GOOD-INV</v>
      </c>
      <c r="F248" s="277">
        <v>0</v>
      </c>
      <c r="G248" s="3">
        <v>200</v>
      </c>
    </row>
    <row r="249" spans="1:7" s="257" customFormat="1">
      <c r="A249" s="317" t="str">
        <f t="shared" si="3"/>
        <v>I-038-30</v>
      </c>
      <c r="B249" s="277" t="s">
        <v>582</v>
      </c>
      <c r="C249" s="277">
        <v>30</v>
      </c>
      <c r="D249" s="277" t="s">
        <v>1046</v>
      </c>
      <c r="E249" s="276" t="str">
        <f>VLOOKUP(D249, 'S17 Work Stations'!$A$2:$B$45, 2, 0)</f>
        <v>TUR-C2-367</v>
      </c>
      <c r="F249" s="277">
        <v>360</v>
      </c>
      <c r="G249" s="3">
        <v>200</v>
      </c>
    </row>
    <row r="250" spans="1:7" s="257" customFormat="1">
      <c r="A250" s="317" t="str">
        <f t="shared" si="3"/>
        <v>I-038-40</v>
      </c>
      <c r="B250" s="277" t="s">
        <v>582</v>
      </c>
      <c r="C250" s="277">
        <v>40</v>
      </c>
      <c r="D250" s="277" t="s">
        <v>1091</v>
      </c>
      <c r="E250" s="276" t="str">
        <f>VLOOKUP(D250, 'S17 Work Stations'!$A$2:$B$45, 2, 0)</f>
        <v>DR-3AW-207</v>
      </c>
      <c r="F250" s="277">
        <v>360</v>
      </c>
      <c r="G250" s="3">
        <v>200</v>
      </c>
    </row>
    <row r="251" spans="1:7" s="257" customFormat="1">
      <c r="A251" s="317" t="str">
        <f t="shared" si="3"/>
        <v>I-038-50</v>
      </c>
      <c r="B251" s="277" t="s">
        <v>582</v>
      </c>
      <c r="C251" s="277">
        <v>50</v>
      </c>
      <c r="D251" s="277" t="s">
        <v>1098</v>
      </c>
      <c r="E251" s="276" t="str">
        <f>VLOOKUP(D251, 'S17 Work Stations'!$A$2:$B$45, 2, 0)</f>
        <v>SAW-35-100-254</v>
      </c>
      <c r="F251" s="277">
        <v>720</v>
      </c>
      <c r="G251" s="3">
        <v>200</v>
      </c>
    </row>
    <row r="252" spans="1:7" s="257" customFormat="1">
      <c r="A252" s="317" t="str">
        <f t="shared" si="3"/>
        <v>I-038-20</v>
      </c>
      <c r="B252" s="277" t="s">
        <v>582</v>
      </c>
      <c r="C252" s="277">
        <v>20</v>
      </c>
      <c r="D252" s="277" t="s">
        <v>1103</v>
      </c>
      <c r="E252" s="276" t="str">
        <f>VLOOKUP(D252, 'S17 Work Stations'!$A$2:$B$45, 2, 0)</f>
        <v>SAW-150-423</v>
      </c>
      <c r="F252" s="277">
        <v>120</v>
      </c>
      <c r="G252" s="3">
        <v>200</v>
      </c>
    </row>
    <row r="253" spans="1:7" s="257" customFormat="1">
      <c r="A253" s="317" t="str">
        <f t="shared" si="3"/>
        <v>I-038-10</v>
      </c>
      <c r="B253" s="277" t="s">
        <v>582</v>
      </c>
      <c r="C253" s="277">
        <v>10</v>
      </c>
      <c r="D253" s="277" t="s">
        <v>1112</v>
      </c>
      <c r="E253" s="276" t="str">
        <f>VLOOKUP(D253, 'S17 Work Stations'!$A$2:$B$45, 2, 0)</f>
        <v>RAW-MAT-INV</v>
      </c>
      <c r="F253" s="277">
        <v>0</v>
      </c>
      <c r="G253" s="3">
        <v>200</v>
      </c>
    </row>
    <row r="254" spans="1:7" s="257" customFormat="1">
      <c r="A254" s="317" t="str">
        <f t="shared" si="3"/>
        <v>I-038-60</v>
      </c>
      <c r="B254" s="277" t="s">
        <v>582</v>
      </c>
      <c r="C254" s="277">
        <v>60</v>
      </c>
      <c r="D254" s="277" t="s">
        <v>1113</v>
      </c>
      <c r="E254" s="276" t="str">
        <f>VLOOKUP(D254, 'S17 Work Stations'!$A$2:$B$45, 2, 0)</f>
        <v>FIN-GOOD-INV</v>
      </c>
      <c r="F254" s="277">
        <v>0</v>
      </c>
      <c r="G254" s="3">
        <v>200</v>
      </c>
    </row>
    <row r="255" spans="1:7" s="257" customFormat="1">
      <c r="A255" s="317" t="str">
        <f t="shared" si="3"/>
        <v>I-039-30</v>
      </c>
      <c r="B255" s="277" t="s">
        <v>584</v>
      </c>
      <c r="C255" s="277">
        <v>30</v>
      </c>
      <c r="D255" s="277" t="s">
        <v>1044</v>
      </c>
      <c r="E255" s="276" t="str">
        <f>VLOOKUP(D255, 'S17 Work Stations'!$A$2:$B$45, 2, 0)</f>
        <v>TUR-C1-366</v>
      </c>
      <c r="F255" s="277">
        <v>180</v>
      </c>
      <c r="G255" s="3">
        <v>200</v>
      </c>
    </row>
    <row r="256" spans="1:7" s="257" customFormat="1">
      <c r="A256" s="317" t="str">
        <f t="shared" si="3"/>
        <v>I-039-40</v>
      </c>
      <c r="B256" s="277" t="s">
        <v>584</v>
      </c>
      <c r="C256" s="277">
        <v>40</v>
      </c>
      <c r="D256" s="277" t="s">
        <v>1091</v>
      </c>
      <c r="E256" s="276" t="str">
        <f>VLOOKUP(D256, 'S17 Work Stations'!$A$2:$B$45, 2, 0)</f>
        <v>DR-3AW-207</v>
      </c>
      <c r="F256" s="277">
        <v>360</v>
      </c>
      <c r="G256" s="3">
        <v>200</v>
      </c>
    </row>
    <row r="257" spans="1:7" s="257" customFormat="1">
      <c r="A257" s="317" t="str">
        <f t="shared" si="3"/>
        <v>I-039-50</v>
      </c>
      <c r="B257" s="277" t="s">
        <v>584</v>
      </c>
      <c r="C257" s="277">
        <v>50</v>
      </c>
      <c r="D257" s="277" t="s">
        <v>1094</v>
      </c>
      <c r="E257" s="276" t="str">
        <f>VLOOKUP(D257, 'S17 Work Stations'!$A$2:$B$45, 2, 0)</f>
        <v>SAW-50-150-252</v>
      </c>
      <c r="F257" s="277">
        <v>180</v>
      </c>
      <c r="G257" s="3">
        <v>200</v>
      </c>
    </row>
    <row r="258" spans="1:7" s="257" customFormat="1">
      <c r="A258" s="317" t="str">
        <f t="shared" ref="A258:A321" si="4">B258&amp;"-"&amp;C258</f>
        <v>I-039-20</v>
      </c>
      <c r="B258" s="277" t="s">
        <v>584</v>
      </c>
      <c r="C258" s="277">
        <v>20</v>
      </c>
      <c r="D258" s="277" t="s">
        <v>1103</v>
      </c>
      <c r="E258" s="276" t="str">
        <f>VLOOKUP(D258, 'S17 Work Stations'!$A$2:$B$45, 2, 0)</f>
        <v>SAW-150-423</v>
      </c>
      <c r="F258" s="277">
        <v>120</v>
      </c>
      <c r="G258" s="3">
        <v>200</v>
      </c>
    </row>
    <row r="259" spans="1:7" s="257" customFormat="1">
      <c r="A259" s="317" t="str">
        <f t="shared" si="4"/>
        <v>I-039-10</v>
      </c>
      <c r="B259" s="277" t="s">
        <v>584</v>
      </c>
      <c r="C259" s="277">
        <v>10</v>
      </c>
      <c r="D259" s="277" t="s">
        <v>1112</v>
      </c>
      <c r="E259" s="276" t="str">
        <f>VLOOKUP(D259, 'S17 Work Stations'!$A$2:$B$45, 2, 0)</f>
        <v>RAW-MAT-INV</v>
      </c>
      <c r="F259" s="277">
        <v>0</v>
      </c>
      <c r="G259" s="3">
        <v>200</v>
      </c>
    </row>
    <row r="260" spans="1:7" s="257" customFormat="1">
      <c r="A260" s="317" t="str">
        <f t="shared" si="4"/>
        <v>I-039-60</v>
      </c>
      <c r="B260" s="277" t="s">
        <v>584</v>
      </c>
      <c r="C260" s="277">
        <v>60</v>
      </c>
      <c r="D260" s="277" t="s">
        <v>1113</v>
      </c>
      <c r="E260" s="276" t="str">
        <f>VLOOKUP(D260, 'S17 Work Stations'!$A$2:$B$45, 2, 0)</f>
        <v>FIN-GOOD-INV</v>
      </c>
      <c r="F260" s="277">
        <v>0</v>
      </c>
      <c r="G260" s="3">
        <v>200</v>
      </c>
    </row>
    <row r="261" spans="1:7" s="257" customFormat="1">
      <c r="A261" s="317" t="str">
        <f t="shared" si="4"/>
        <v>I-040-30</v>
      </c>
      <c r="B261" s="277" t="s">
        <v>586</v>
      </c>
      <c r="C261" s="277">
        <v>30</v>
      </c>
      <c r="D261" s="277" t="s">
        <v>1044</v>
      </c>
      <c r="E261" s="276" t="str">
        <f>VLOOKUP(D261, 'S17 Work Stations'!$A$2:$B$45, 2, 0)</f>
        <v>TUR-C1-366</v>
      </c>
      <c r="F261" s="277">
        <v>240</v>
      </c>
      <c r="G261" s="3">
        <v>200</v>
      </c>
    </row>
    <row r="262" spans="1:7" s="257" customFormat="1">
      <c r="A262" s="317" t="str">
        <f t="shared" si="4"/>
        <v>I-040-40</v>
      </c>
      <c r="B262" s="277" t="s">
        <v>586</v>
      </c>
      <c r="C262" s="277">
        <v>40</v>
      </c>
      <c r="D262" s="277" t="s">
        <v>1087</v>
      </c>
      <c r="E262" s="276" t="str">
        <f>VLOOKUP(D262, 'S17 Work Stations'!$A$2:$B$45, 2, 0)</f>
        <v>GR-T11-250</v>
      </c>
      <c r="F262" s="277">
        <v>420</v>
      </c>
      <c r="G262" s="3">
        <v>200</v>
      </c>
    </row>
    <row r="263" spans="1:7" s="257" customFormat="1">
      <c r="A263" s="317" t="str">
        <f t="shared" si="4"/>
        <v>I-040-50</v>
      </c>
      <c r="B263" s="277" t="s">
        <v>586</v>
      </c>
      <c r="C263" s="277">
        <v>50</v>
      </c>
      <c r="D263" s="277" t="s">
        <v>1094</v>
      </c>
      <c r="E263" s="276" t="str">
        <f>VLOOKUP(D263, 'S17 Work Stations'!$A$2:$B$45, 2, 0)</f>
        <v>SAW-50-150-252</v>
      </c>
      <c r="F263" s="277">
        <v>180</v>
      </c>
      <c r="G263" s="3">
        <v>200</v>
      </c>
    </row>
    <row r="264" spans="1:7" s="257" customFormat="1">
      <c r="A264" s="317" t="str">
        <f t="shared" si="4"/>
        <v>I-040-20</v>
      </c>
      <c r="B264" s="277" t="s">
        <v>586</v>
      </c>
      <c r="C264" s="277">
        <v>20</v>
      </c>
      <c r="D264" s="277" t="s">
        <v>1103</v>
      </c>
      <c r="E264" s="276" t="str">
        <f>VLOOKUP(D264, 'S17 Work Stations'!$A$2:$B$45, 2, 0)</f>
        <v>SAW-150-423</v>
      </c>
      <c r="F264" s="277">
        <v>120</v>
      </c>
      <c r="G264" s="3">
        <v>200</v>
      </c>
    </row>
    <row r="265" spans="1:7" s="257" customFormat="1">
      <c r="A265" s="317" t="str">
        <f t="shared" si="4"/>
        <v>I-040-10</v>
      </c>
      <c r="B265" s="277" t="s">
        <v>586</v>
      </c>
      <c r="C265" s="277">
        <v>10</v>
      </c>
      <c r="D265" s="277" t="s">
        <v>1112</v>
      </c>
      <c r="E265" s="276" t="str">
        <f>VLOOKUP(D265, 'S17 Work Stations'!$A$2:$B$45, 2, 0)</f>
        <v>RAW-MAT-INV</v>
      </c>
      <c r="F265" s="277">
        <v>0</v>
      </c>
      <c r="G265" s="3">
        <v>200</v>
      </c>
    </row>
    <row r="266" spans="1:7" s="257" customFormat="1">
      <c r="A266" s="317" t="str">
        <f t="shared" si="4"/>
        <v>I-040-60</v>
      </c>
      <c r="B266" s="277" t="s">
        <v>586</v>
      </c>
      <c r="C266" s="277">
        <v>60</v>
      </c>
      <c r="D266" s="277" t="s">
        <v>1113</v>
      </c>
      <c r="E266" s="276" t="str">
        <f>VLOOKUP(D266, 'S17 Work Stations'!$A$2:$B$45, 2, 0)</f>
        <v>FIN-GOOD-INV</v>
      </c>
      <c r="F266" s="277">
        <v>0</v>
      </c>
      <c r="G266" s="3">
        <v>200</v>
      </c>
    </row>
    <row r="267" spans="1:7" s="257" customFormat="1">
      <c r="A267" s="317" t="str">
        <f t="shared" si="4"/>
        <v>I-041-30</v>
      </c>
      <c r="B267" s="277" t="s">
        <v>588</v>
      </c>
      <c r="C267" s="277">
        <v>30</v>
      </c>
      <c r="D267" s="277" t="s">
        <v>1044</v>
      </c>
      <c r="E267" s="276" t="str">
        <f>VLOOKUP(D267, 'S17 Work Stations'!$A$2:$B$45, 2, 0)</f>
        <v>TUR-C1-366</v>
      </c>
      <c r="F267" s="277">
        <v>180</v>
      </c>
      <c r="G267" s="3">
        <v>200</v>
      </c>
    </row>
    <row r="268" spans="1:7" s="257" customFormat="1">
      <c r="A268" s="317" t="str">
        <f t="shared" si="4"/>
        <v>I-041-40</v>
      </c>
      <c r="B268" s="277" t="s">
        <v>588</v>
      </c>
      <c r="C268" s="277">
        <v>40</v>
      </c>
      <c r="D268" s="277" t="s">
        <v>1091</v>
      </c>
      <c r="E268" s="276" t="str">
        <f>VLOOKUP(D268, 'S17 Work Stations'!$A$2:$B$45, 2, 0)</f>
        <v>DR-3AW-207</v>
      </c>
      <c r="F268" s="277">
        <v>300</v>
      </c>
      <c r="G268" s="3">
        <v>200</v>
      </c>
    </row>
    <row r="269" spans="1:7" s="257" customFormat="1">
      <c r="A269" s="317" t="str">
        <f t="shared" si="4"/>
        <v>I-041-50</v>
      </c>
      <c r="B269" s="277" t="s">
        <v>588</v>
      </c>
      <c r="C269" s="277">
        <v>50</v>
      </c>
      <c r="D269" s="277" t="s">
        <v>1094</v>
      </c>
      <c r="E269" s="276" t="str">
        <f>VLOOKUP(D269, 'S17 Work Stations'!$A$2:$B$45, 2, 0)</f>
        <v>SAW-50-150-252</v>
      </c>
      <c r="F269" s="277">
        <v>180</v>
      </c>
      <c r="G269" s="3">
        <v>200</v>
      </c>
    </row>
    <row r="270" spans="1:7" s="257" customFormat="1">
      <c r="A270" s="317" t="str">
        <f t="shared" si="4"/>
        <v>I-041-20</v>
      </c>
      <c r="B270" s="277" t="s">
        <v>588</v>
      </c>
      <c r="C270" s="277">
        <v>20</v>
      </c>
      <c r="D270" s="277" t="s">
        <v>1103</v>
      </c>
      <c r="E270" s="276" t="str">
        <f>VLOOKUP(D270, 'S17 Work Stations'!$A$2:$B$45, 2, 0)</f>
        <v>SAW-150-423</v>
      </c>
      <c r="F270" s="277">
        <v>120</v>
      </c>
      <c r="G270" s="3">
        <v>200</v>
      </c>
    </row>
    <row r="271" spans="1:7" s="257" customFormat="1">
      <c r="A271" s="317" t="str">
        <f t="shared" si="4"/>
        <v>I-041-10</v>
      </c>
      <c r="B271" s="277" t="s">
        <v>588</v>
      </c>
      <c r="C271" s="277">
        <v>10</v>
      </c>
      <c r="D271" s="277" t="s">
        <v>1112</v>
      </c>
      <c r="E271" s="276" t="str">
        <f>VLOOKUP(D271, 'S17 Work Stations'!$A$2:$B$45, 2, 0)</f>
        <v>RAW-MAT-INV</v>
      </c>
      <c r="F271" s="277">
        <v>0</v>
      </c>
      <c r="G271" s="3">
        <v>200</v>
      </c>
    </row>
    <row r="272" spans="1:7" s="257" customFormat="1">
      <c r="A272" s="317" t="str">
        <f t="shared" si="4"/>
        <v>I-041-60</v>
      </c>
      <c r="B272" s="277" t="s">
        <v>588</v>
      </c>
      <c r="C272" s="277">
        <v>60</v>
      </c>
      <c r="D272" s="277" t="s">
        <v>1113</v>
      </c>
      <c r="E272" s="276" t="str">
        <f>VLOOKUP(D272, 'S17 Work Stations'!$A$2:$B$45, 2, 0)</f>
        <v>FIN-GOOD-INV</v>
      </c>
      <c r="F272" s="277">
        <v>0</v>
      </c>
      <c r="G272" s="3">
        <v>200</v>
      </c>
    </row>
    <row r="273" spans="1:7" s="257" customFormat="1">
      <c r="A273" s="317" t="str">
        <f t="shared" si="4"/>
        <v>I-042-30</v>
      </c>
      <c r="B273" s="277" t="s">
        <v>590</v>
      </c>
      <c r="C273" s="277">
        <v>30</v>
      </c>
      <c r="D273" s="277" t="s">
        <v>1044</v>
      </c>
      <c r="E273" s="276" t="str">
        <f>VLOOKUP(D273, 'S17 Work Stations'!$A$2:$B$45, 2, 0)</f>
        <v>TUR-C1-366</v>
      </c>
      <c r="F273" s="277">
        <v>180</v>
      </c>
      <c r="G273" s="3">
        <v>200</v>
      </c>
    </row>
    <row r="274" spans="1:7" s="257" customFormat="1">
      <c r="A274" s="317" t="str">
        <f t="shared" si="4"/>
        <v>I-042-40</v>
      </c>
      <c r="B274" s="277" t="s">
        <v>590</v>
      </c>
      <c r="C274" s="277">
        <v>40</v>
      </c>
      <c r="D274" s="277" t="s">
        <v>1082</v>
      </c>
      <c r="E274" s="276" t="str">
        <f>VLOOKUP(D274, 'S17 Work Stations'!$A$2:$B$45, 2, 0)</f>
        <v>DR-2A2-202</v>
      </c>
      <c r="F274" s="277">
        <v>240</v>
      </c>
      <c r="G274" s="3">
        <v>200</v>
      </c>
    </row>
    <row r="275" spans="1:7" s="257" customFormat="1">
      <c r="A275" s="317" t="str">
        <f t="shared" si="4"/>
        <v>I-042-50</v>
      </c>
      <c r="B275" s="277" t="s">
        <v>590</v>
      </c>
      <c r="C275" s="277">
        <v>50</v>
      </c>
      <c r="D275" s="277" t="s">
        <v>1094</v>
      </c>
      <c r="E275" s="276" t="str">
        <f>VLOOKUP(D275, 'S17 Work Stations'!$A$2:$B$45, 2, 0)</f>
        <v>SAW-50-150-252</v>
      </c>
      <c r="F275" s="277">
        <v>180</v>
      </c>
      <c r="G275" s="3">
        <v>200</v>
      </c>
    </row>
    <row r="276" spans="1:7" s="257" customFormat="1">
      <c r="A276" s="317" t="str">
        <f t="shared" si="4"/>
        <v>I-042-20</v>
      </c>
      <c r="B276" s="277" t="s">
        <v>590</v>
      </c>
      <c r="C276" s="277">
        <v>20</v>
      </c>
      <c r="D276" s="277" t="s">
        <v>1103</v>
      </c>
      <c r="E276" s="276" t="str">
        <f>VLOOKUP(D276, 'S17 Work Stations'!$A$2:$B$45, 2, 0)</f>
        <v>SAW-150-423</v>
      </c>
      <c r="F276" s="277">
        <v>120</v>
      </c>
      <c r="G276" s="3">
        <v>200</v>
      </c>
    </row>
    <row r="277" spans="1:7" s="257" customFormat="1">
      <c r="A277" s="317" t="str">
        <f t="shared" si="4"/>
        <v>I-042-10</v>
      </c>
      <c r="B277" s="277" t="s">
        <v>590</v>
      </c>
      <c r="C277" s="277">
        <v>10</v>
      </c>
      <c r="D277" s="277" t="s">
        <v>1112</v>
      </c>
      <c r="E277" s="276" t="str">
        <f>VLOOKUP(D277, 'S17 Work Stations'!$A$2:$B$45, 2, 0)</f>
        <v>RAW-MAT-INV</v>
      </c>
      <c r="F277" s="277">
        <v>0</v>
      </c>
      <c r="G277" s="3">
        <v>200</v>
      </c>
    </row>
    <row r="278" spans="1:7" s="257" customFormat="1">
      <c r="A278" s="317" t="str">
        <f t="shared" si="4"/>
        <v>I-042-60</v>
      </c>
      <c r="B278" s="277" t="s">
        <v>590</v>
      </c>
      <c r="C278" s="277">
        <v>60</v>
      </c>
      <c r="D278" s="277" t="s">
        <v>1113</v>
      </c>
      <c r="E278" s="276" t="str">
        <f>VLOOKUP(D278, 'S17 Work Stations'!$A$2:$B$45, 2, 0)</f>
        <v>FIN-GOOD-INV</v>
      </c>
      <c r="F278" s="277">
        <v>0</v>
      </c>
      <c r="G278" s="3">
        <v>200</v>
      </c>
    </row>
    <row r="279" spans="1:7" s="257" customFormat="1">
      <c r="A279" s="317" t="str">
        <f t="shared" si="4"/>
        <v>I-043-30</v>
      </c>
      <c r="B279" s="277" t="s">
        <v>592</v>
      </c>
      <c r="C279" s="277">
        <v>30</v>
      </c>
      <c r="D279" s="277" t="s">
        <v>1044</v>
      </c>
      <c r="E279" s="276" t="str">
        <f>VLOOKUP(D279, 'S17 Work Stations'!$A$2:$B$45, 2, 0)</f>
        <v>TUR-C1-366</v>
      </c>
      <c r="F279" s="277">
        <v>240</v>
      </c>
      <c r="G279" s="3">
        <v>200</v>
      </c>
    </row>
    <row r="280" spans="1:7" s="257" customFormat="1">
      <c r="A280" s="317" t="str">
        <f t="shared" si="4"/>
        <v>I-043-30</v>
      </c>
      <c r="B280" s="277" t="s">
        <v>592</v>
      </c>
      <c r="C280" s="277">
        <v>30</v>
      </c>
      <c r="D280" s="277" t="s">
        <v>1046</v>
      </c>
      <c r="E280" s="276" t="str">
        <f>VLOOKUP(D280, 'S17 Work Stations'!$A$2:$B$45, 2, 0)</f>
        <v>TUR-C2-367</v>
      </c>
      <c r="F280" s="277">
        <v>240</v>
      </c>
      <c r="G280" s="3">
        <v>200</v>
      </c>
    </row>
    <row r="281" spans="1:7" s="257" customFormat="1">
      <c r="A281" s="317" t="str">
        <f t="shared" si="4"/>
        <v>I-043-40</v>
      </c>
      <c r="B281" s="277" t="s">
        <v>592</v>
      </c>
      <c r="C281" s="277">
        <v>40</v>
      </c>
      <c r="D281" s="277" t="s">
        <v>1072</v>
      </c>
      <c r="E281" s="276" t="str">
        <f>VLOOKUP(D281, 'S17 Work Stations'!$A$2:$B$45, 2, 0)</f>
        <v>MIL-U1-605</v>
      </c>
      <c r="F281" s="277">
        <v>240</v>
      </c>
      <c r="G281" s="3">
        <v>200</v>
      </c>
    </row>
    <row r="282" spans="1:7" s="257" customFormat="1">
      <c r="A282" s="317" t="str">
        <f t="shared" si="4"/>
        <v>I-043-60</v>
      </c>
      <c r="B282" s="277" t="s">
        <v>592</v>
      </c>
      <c r="C282" s="277">
        <v>60</v>
      </c>
      <c r="D282" s="277" t="s">
        <v>1083</v>
      </c>
      <c r="E282" s="276" t="str">
        <f>VLOOKUP(D282, 'S17 Work Stations'!$A$2:$B$45, 2, 0)</f>
        <v>GR-T1-203</v>
      </c>
      <c r="F282" s="277">
        <v>240</v>
      </c>
      <c r="G282" s="3">
        <v>200</v>
      </c>
    </row>
    <row r="283" spans="1:7" s="257" customFormat="1">
      <c r="A283" s="317" t="str">
        <f t="shared" si="4"/>
        <v>I-043-50</v>
      </c>
      <c r="B283" s="277" t="s">
        <v>592</v>
      </c>
      <c r="C283" s="277">
        <v>50</v>
      </c>
      <c r="D283" s="277" t="s">
        <v>1085</v>
      </c>
      <c r="E283" s="276" t="str">
        <f>VLOOKUP(D283, 'S17 Work Stations'!$A$2:$B$45, 2, 0)</f>
        <v>DR-T3-204</v>
      </c>
      <c r="F283" s="277">
        <v>120</v>
      </c>
      <c r="G283" s="3">
        <v>200</v>
      </c>
    </row>
    <row r="284" spans="1:7" s="257" customFormat="1">
      <c r="A284" s="317" t="str">
        <f t="shared" si="4"/>
        <v>I-043-70</v>
      </c>
      <c r="B284" s="277" t="s">
        <v>592</v>
      </c>
      <c r="C284" s="277">
        <v>70</v>
      </c>
      <c r="D284" s="277" t="s">
        <v>1093</v>
      </c>
      <c r="E284" s="276" t="str">
        <f>VLOOKUP(D284, 'S17 Work Stations'!$A$2:$B$45, 2, 0)</f>
        <v>SAW-30-150-251</v>
      </c>
      <c r="F284" s="277">
        <v>180</v>
      </c>
      <c r="G284" s="3">
        <v>200</v>
      </c>
    </row>
    <row r="285" spans="1:7" s="257" customFormat="1">
      <c r="A285" s="317" t="str">
        <f t="shared" si="4"/>
        <v>I-043-20</v>
      </c>
      <c r="B285" s="277" t="s">
        <v>592</v>
      </c>
      <c r="C285" s="277">
        <v>20</v>
      </c>
      <c r="D285" s="277" t="s">
        <v>1103</v>
      </c>
      <c r="E285" s="276" t="str">
        <f>VLOOKUP(D285, 'S17 Work Stations'!$A$2:$B$45, 2, 0)</f>
        <v>SAW-150-423</v>
      </c>
      <c r="F285" s="277">
        <v>120</v>
      </c>
      <c r="G285" s="3">
        <v>200</v>
      </c>
    </row>
    <row r="286" spans="1:7" s="257" customFormat="1">
      <c r="A286" s="317" t="str">
        <f t="shared" si="4"/>
        <v>I-043-10</v>
      </c>
      <c r="B286" s="277" t="s">
        <v>592</v>
      </c>
      <c r="C286" s="277">
        <v>10</v>
      </c>
      <c r="D286" s="277" t="s">
        <v>1112</v>
      </c>
      <c r="E286" s="276" t="str">
        <f>VLOOKUP(D286, 'S17 Work Stations'!$A$2:$B$45, 2, 0)</f>
        <v>RAW-MAT-INV</v>
      </c>
      <c r="F286" s="277">
        <v>0</v>
      </c>
      <c r="G286" s="3">
        <v>200</v>
      </c>
    </row>
    <row r="287" spans="1:7" s="257" customFormat="1">
      <c r="A287" s="317" t="str">
        <f t="shared" si="4"/>
        <v>I-043-80</v>
      </c>
      <c r="B287" s="277" t="s">
        <v>592</v>
      </c>
      <c r="C287" s="277">
        <v>80</v>
      </c>
      <c r="D287" s="277" t="s">
        <v>1113</v>
      </c>
      <c r="E287" s="276" t="str">
        <f>VLOOKUP(D287, 'S17 Work Stations'!$A$2:$B$45, 2, 0)</f>
        <v>FIN-GOOD-INV</v>
      </c>
      <c r="F287" s="277">
        <v>0</v>
      </c>
      <c r="G287" s="3">
        <v>200</v>
      </c>
    </row>
    <row r="288" spans="1:7" s="257" customFormat="1">
      <c r="A288" s="317" t="str">
        <f t="shared" si="4"/>
        <v>I-044-30</v>
      </c>
      <c r="B288" s="277" t="s">
        <v>594</v>
      </c>
      <c r="C288" s="277">
        <v>30</v>
      </c>
      <c r="D288" s="277" t="s">
        <v>1044</v>
      </c>
      <c r="E288" s="276" t="str">
        <f>VLOOKUP(D288, 'S17 Work Stations'!$A$2:$B$45, 2, 0)</f>
        <v>TUR-C1-366</v>
      </c>
      <c r="F288" s="277">
        <v>240</v>
      </c>
      <c r="G288" s="3">
        <v>200</v>
      </c>
    </row>
    <row r="289" spans="1:7" s="257" customFormat="1">
      <c r="A289" s="317" t="str">
        <f t="shared" si="4"/>
        <v>I-044-40</v>
      </c>
      <c r="B289" s="277" t="s">
        <v>594</v>
      </c>
      <c r="C289" s="277">
        <v>40</v>
      </c>
      <c r="D289" s="277" t="s">
        <v>1082</v>
      </c>
      <c r="E289" s="276" t="str">
        <f>VLOOKUP(D289, 'S17 Work Stations'!$A$2:$B$45, 2, 0)</f>
        <v>DR-2A2-202</v>
      </c>
      <c r="F289" s="277">
        <v>240</v>
      </c>
      <c r="G289" s="3">
        <v>200</v>
      </c>
    </row>
    <row r="290" spans="1:7" s="257" customFormat="1">
      <c r="A290" s="317" t="str">
        <f t="shared" si="4"/>
        <v>I-044-50</v>
      </c>
      <c r="B290" s="277" t="s">
        <v>594</v>
      </c>
      <c r="C290" s="277">
        <v>50</v>
      </c>
      <c r="D290" s="277" t="s">
        <v>1096</v>
      </c>
      <c r="E290" s="276" t="str">
        <f>VLOOKUP(D290, 'S17 Work Stations'!$A$2:$B$45, 2, 0)</f>
        <v>SAW-30-160-252</v>
      </c>
      <c r="F290" s="277">
        <v>180</v>
      </c>
      <c r="G290" s="3">
        <v>200</v>
      </c>
    </row>
    <row r="291" spans="1:7" s="257" customFormat="1">
      <c r="A291" s="317" t="str">
        <f t="shared" si="4"/>
        <v>I-044-20</v>
      </c>
      <c r="B291" s="277" t="s">
        <v>594</v>
      </c>
      <c r="C291" s="277">
        <v>20</v>
      </c>
      <c r="D291" s="277" t="s">
        <v>1103</v>
      </c>
      <c r="E291" s="276" t="str">
        <f>VLOOKUP(D291, 'S17 Work Stations'!$A$2:$B$45, 2, 0)</f>
        <v>SAW-150-423</v>
      </c>
      <c r="F291" s="277">
        <v>120</v>
      </c>
      <c r="G291" s="3">
        <v>200</v>
      </c>
    </row>
    <row r="292" spans="1:7" s="257" customFormat="1">
      <c r="A292" s="317" t="str">
        <f t="shared" si="4"/>
        <v>I-044-10</v>
      </c>
      <c r="B292" s="277" t="s">
        <v>594</v>
      </c>
      <c r="C292" s="277">
        <v>10</v>
      </c>
      <c r="D292" s="277" t="s">
        <v>1112</v>
      </c>
      <c r="E292" s="276" t="str">
        <f>VLOOKUP(D292, 'S17 Work Stations'!$A$2:$B$45, 2, 0)</f>
        <v>RAW-MAT-INV</v>
      </c>
      <c r="F292" s="277">
        <v>0</v>
      </c>
      <c r="G292" s="3">
        <v>200</v>
      </c>
    </row>
    <row r="293" spans="1:7" s="257" customFormat="1">
      <c r="A293" s="317" t="str">
        <f t="shared" si="4"/>
        <v>I-044-60</v>
      </c>
      <c r="B293" s="277" t="s">
        <v>594</v>
      </c>
      <c r="C293" s="277">
        <v>60</v>
      </c>
      <c r="D293" s="277" t="s">
        <v>1113</v>
      </c>
      <c r="E293" s="276" t="str">
        <f>VLOOKUP(D293, 'S17 Work Stations'!$A$2:$B$45, 2, 0)</f>
        <v>FIN-GOOD-INV</v>
      </c>
      <c r="F293" s="277">
        <v>0</v>
      </c>
      <c r="G293" s="3">
        <v>200</v>
      </c>
    </row>
    <row r="294" spans="1:7" s="257" customFormat="1">
      <c r="A294" s="317" t="str">
        <f t="shared" si="4"/>
        <v>I-045-30</v>
      </c>
      <c r="B294" s="277" t="s">
        <v>596</v>
      </c>
      <c r="C294" s="277">
        <v>30</v>
      </c>
      <c r="D294" s="277" t="s">
        <v>1044</v>
      </c>
      <c r="E294" s="276" t="str">
        <f>VLOOKUP(D294, 'S17 Work Stations'!$A$2:$B$45, 2, 0)</f>
        <v>TUR-C1-366</v>
      </c>
      <c r="F294" s="277">
        <v>540</v>
      </c>
      <c r="G294" s="3">
        <v>200</v>
      </c>
    </row>
    <row r="295" spans="1:7" s="257" customFormat="1">
      <c r="A295" s="317" t="str">
        <f t="shared" si="4"/>
        <v>I-045-40</v>
      </c>
      <c r="B295" s="277" t="s">
        <v>596</v>
      </c>
      <c r="C295" s="277">
        <v>40</v>
      </c>
      <c r="D295" s="277" t="s">
        <v>1082</v>
      </c>
      <c r="E295" s="276" t="str">
        <f>VLOOKUP(D295, 'S17 Work Stations'!$A$2:$B$45, 2, 0)</f>
        <v>DR-2A2-202</v>
      </c>
      <c r="F295" s="277">
        <v>180</v>
      </c>
      <c r="G295" s="3">
        <v>200</v>
      </c>
    </row>
    <row r="296" spans="1:7" s="257" customFormat="1">
      <c r="A296" s="317" t="str">
        <f t="shared" si="4"/>
        <v>I-045-50</v>
      </c>
      <c r="B296" s="277" t="s">
        <v>596</v>
      </c>
      <c r="C296" s="277">
        <v>50</v>
      </c>
      <c r="D296" s="277" t="s">
        <v>1096</v>
      </c>
      <c r="E296" s="276" t="str">
        <f>VLOOKUP(D296, 'S17 Work Stations'!$A$2:$B$45, 2, 0)</f>
        <v>SAW-30-160-252</v>
      </c>
      <c r="F296" s="277">
        <v>180</v>
      </c>
      <c r="G296" s="3">
        <v>200</v>
      </c>
    </row>
    <row r="297" spans="1:7" s="257" customFormat="1">
      <c r="A297" s="317" t="str">
        <f t="shared" si="4"/>
        <v>I-045-20</v>
      </c>
      <c r="B297" s="277" t="s">
        <v>596</v>
      </c>
      <c r="C297" s="277">
        <v>20</v>
      </c>
      <c r="D297" s="277" t="s">
        <v>1103</v>
      </c>
      <c r="E297" s="276" t="str">
        <f>VLOOKUP(D297, 'S17 Work Stations'!$A$2:$B$45, 2, 0)</f>
        <v>SAW-150-423</v>
      </c>
      <c r="F297" s="277">
        <v>120</v>
      </c>
      <c r="G297" s="3">
        <v>200</v>
      </c>
    </row>
    <row r="298" spans="1:7" s="257" customFormat="1">
      <c r="A298" s="317" t="str">
        <f t="shared" si="4"/>
        <v>I-045-10</v>
      </c>
      <c r="B298" s="277" t="s">
        <v>596</v>
      </c>
      <c r="C298" s="277">
        <v>10</v>
      </c>
      <c r="D298" s="277" t="s">
        <v>1112</v>
      </c>
      <c r="E298" s="276" t="str">
        <f>VLOOKUP(D298, 'S17 Work Stations'!$A$2:$B$45, 2, 0)</f>
        <v>RAW-MAT-INV</v>
      </c>
      <c r="F298" s="277">
        <v>0</v>
      </c>
      <c r="G298" s="3">
        <v>200</v>
      </c>
    </row>
    <row r="299" spans="1:7" s="257" customFormat="1">
      <c r="A299" s="317" t="str">
        <f t="shared" si="4"/>
        <v>I-045-60</v>
      </c>
      <c r="B299" s="277" t="s">
        <v>596</v>
      </c>
      <c r="C299" s="277">
        <v>60</v>
      </c>
      <c r="D299" s="277" t="s">
        <v>1113</v>
      </c>
      <c r="E299" s="276" t="str">
        <f>VLOOKUP(D299, 'S17 Work Stations'!$A$2:$B$45, 2, 0)</f>
        <v>FIN-GOOD-INV</v>
      </c>
      <c r="F299" s="277">
        <v>0</v>
      </c>
      <c r="G299" s="3">
        <v>200</v>
      </c>
    </row>
    <row r="300" spans="1:7" s="257" customFormat="1">
      <c r="A300" s="317" t="str">
        <f t="shared" si="4"/>
        <v>I-046-30</v>
      </c>
      <c r="B300" s="277" t="s">
        <v>598</v>
      </c>
      <c r="C300" s="277">
        <v>30</v>
      </c>
      <c r="D300" s="277" t="s">
        <v>1044</v>
      </c>
      <c r="E300" s="276" t="str">
        <f>VLOOKUP(D300, 'S17 Work Stations'!$A$2:$B$45, 2, 0)</f>
        <v>TUR-C1-366</v>
      </c>
      <c r="F300" s="277">
        <v>480</v>
      </c>
      <c r="G300" s="3">
        <v>200</v>
      </c>
    </row>
    <row r="301" spans="1:7" s="257" customFormat="1">
      <c r="A301" s="317" t="str">
        <f t="shared" si="4"/>
        <v>I-046-40</v>
      </c>
      <c r="B301" s="277" t="s">
        <v>598</v>
      </c>
      <c r="C301" s="277">
        <v>40</v>
      </c>
      <c r="D301" s="277" t="s">
        <v>1082</v>
      </c>
      <c r="E301" s="276" t="str">
        <f>VLOOKUP(D301, 'S17 Work Stations'!$A$2:$B$45, 2, 0)</f>
        <v>DR-2A2-202</v>
      </c>
      <c r="F301" s="277">
        <v>180</v>
      </c>
      <c r="G301" s="3">
        <v>200</v>
      </c>
    </row>
    <row r="302" spans="1:7" s="257" customFormat="1">
      <c r="A302" s="317" t="str">
        <f t="shared" si="4"/>
        <v>I-046-50</v>
      </c>
      <c r="B302" s="277" t="s">
        <v>598</v>
      </c>
      <c r="C302" s="277">
        <v>50</v>
      </c>
      <c r="D302" s="277" t="s">
        <v>1096</v>
      </c>
      <c r="E302" s="276" t="str">
        <f>VLOOKUP(D302, 'S17 Work Stations'!$A$2:$B$45, 2, 0)</f>
        <v>SAW-30-160-252</v>
      </c>
      <c r="F302" s="277">
        <v>180</v>
      </c>
      <c r="G302" s="3">
        <v>200</v>
      </c>
    </row>
    <row r="303" spans="1:7" s="257" customFormat="1">
      <c r="A303" s="317" t="str">
        <f t="shared" si="4"/>
        <v>I-046-20</v>
      </c>
      <c r="B303" s="277" t="s">
        <v>598</v>
      </c>
      <c r="C303" s="277">
        <v>20</v>
      </c>
      <c r="D303" s="277" t="s">
        <v>1105</v>
      </c>
      <c r="E303" s="276" t="str">
        <f>VLOOKUP(D303, 'S17 Work Stations'!$A$2:$B$45, 2, 0)</f>
        <v>SAW-400-424</v>
      </c>
      <c r="F303" s="277">
        <v>120</v>
      </c>
      <c r="G303" s="3">
        <v>200</v>
      </c>
    </row>
    <row r="304" spans="1:7" s="257" customFormat="1">
      <c r="A304" s="317" t="str">
        <f t="shared" si="4"/>
        <v>I-046-10</v>
      </c>
      <c r="B304" s="277" t="s">
        <v>598</v>
      </c>
      <c r="C304" s="277">
        <v>10</v>
      </c>
      <c r="D304" s="277" t="s">
        <v>1112</v>
      </c>
      <c r="E304" s="276" t="str">
        <f>VLOOKUP(D304, 'S17 Work Stations'!$A$2:$B$45, 2, 0)</f>
        <v>RAW-MAT-INV</v>
      </c>
      <c r="F304" s="277">
        <v>0</v>
      </c>
      <c r="G304" s="3">
        <v>200</v>
      </c>
    </row>
    <row r="305" spans="1:7" s="257" customFormat="1">
      <c r="A305" s="317" t="str">
        <f t="shared" si="4"/>
        <v>I-046-60</v>
      </c>
      <c r="B305" s="277" t="s">
        <v>598</v>
      </c>
      <c r="C305" s="277">
        <v>60</v>
      </c>
      <c r="D305" s="277" t="s">
        <v>1113</v>
      </c>
      <c r="E305" s="276" t="str">
        <f>VLOOKUP(D305, 'S17 Work Stations'!$A$2:$B$45, 2, 0)</f>
        <v>FIN-GOOD-INV</v>
      </c>
      <c r="F305" s="277">
        <v>0</v>
      </c>
      <c r="G305" s="3">
        <v>200</v>
      </c>
    </row>
    <row r="306" spans="1:7" s="257" customFormat="1">
      <c r="A306" s="317" t="str">
        <f t="shared" si="4"/>
        <v>I-047-30</v>
      </c>
      <c r="B306" s="277" t="s">
        <v>600</v>
      </c>
      <c r="C306" s="277">
        <v>30</v>
      </c>
      <c r="D306" s="277" t="s">
        <v>1044</v>
      </c>
      <c r="E306" s="276" t="str">
        <f>VLOOKUP(D306, 'S17 Work Stations'!$A$2:$B$45, 2, 0)</f>
        <v>TUR-C1-366</v>
      </c>
      <c r="F306" s="277">
        <v>480</v>
      </c>
      <c r="G306" s="3">
        <v>200</v>
      </c>
    </row>
    <row r="307" spans="1:7" s="257" customFormat="1">
      <c r="A307" s="317" t="str">
        <f t="shared" si="4"/>
        <v>I-047-60</v>
      </c>
      <c r="B307" s="277" t="s">
        <v>600</v>
      </c>
      <c r="C307" s="277">
        <v>60</v>
      </c>
      <c r="D307" s="277" t="s">
        <v>1076</v>
      </c>
      <c r="E307" s="276" t="str">
        <f>VLOOKUP(D307, 'S17 Work Stations'!$A$2:$B$45, 2, 0)</f>
        <v>MIL-U2-607</v>
      </c>
      <c r="F307" s="277">
        <v>180</v>
      </c>
      <c r="G307" s="3">
        <v>200</v>
      </c>
    </row>
    <row r="308" spans="1:7" s="257" customFormat="1">
      <c r="A308" s="317" t="str">
        <f t="shared" si="4"/>
        <v>I-047-40</v>
      </c>
      <c r="B308" s="277" t="s">
        <v>600</v>
      </c>
      <c r="C308" s="277">
        <v>40</v>
      </c>
      <c r="D308" s="277" t="s">
        <v>1082</v>
      </c>
      <c r="E308" s="276" t="str">
        <f>VLOOKUP(D308, 'S17 Work Stations'!$A$2:$B$45, 2, 0)</f>
        <v>DR-2A2-202</v>
      </c>
      <c r="F308" s="277">
        <v>120</v>
      </c>
      <c r="G308" s="3">
        <v>200</v>
      </c>
    </row>
    <row r="309" spans="1:7" s="257" customFormat="1">
      <c r="A309" s="317" t="str">
        <f t="shared" si="4"/>
        <v>I-047-50</v>
      </c>
      <c r="B309" s="277" t="s">
        <v>600</v>
      </c>
      <c r="C309" s="277">
        <v>50</v>
      </c>
      <c r="D309" s="277" t="s">
        <v>1094</v>
      </c>
      <c r="E309" s="276" t="str">
        <f>VLOOKUP(D309, 'S17 Work Stations'!$A$2:$B$45, 2, 0)</f>
        <v>SAW-50-150-252</v>
      </c>
      <c r="F309" s="277">
        <v>360</v>
      </c>
      <c r="G309" s="3">
        <v>200</v>
      </c>
    </row>
    <row r="310" spans="1:7" s="257" customFormat="1">
      <c r="A310" s="317" t="str">
        <f t="shared" si="4"/>
        <v>I-047-20</v>
      </c>
      <c r="B310" s="277" t="s">
        <v>600</v>
      </c>
      <c r="C310" s="277">
        <v>20</v>
      </c>
      <c r="D310" s="277" t="s">
        <v>1105</v>
      </c>
      <c r="E310" s="276" t="str">
        <f>VLOOKUP(D310, 'S17 Work Stations'!$A$2:$B$45, 2, 0)</f>
        <v>SAW-400-424</v>
      </c>
      <c r="F310" s="277">
        <v>120</v>
      </c>
      <c r="G310" s="3">
        <v>200</v>
      </c>
    </row>
    <row r="311" spans="1:7" s="257" customFormat="1">
      <c r="A311" s="317" t="str">
        <f t="shared" si="4"/>
        <v>I-047-10</v>
      </c>
      <c r="B311" s="277" t="s">
        <v>600</v>
      </c>
      <c r="C311" s="277">
        <v>10</v>
      </c>
      <c r="D311" s="277" t="s">
        <v>1112</v>
      </c>
      <c r="E311" s="276" t="str">
        <f>VLOOKUP(D311, 'S17 Work Stations'!$A$2:$B$45, 2, 0)</f>
        <v>RAW-MAT-INV</v>
      </c>
      <c r="F311" s="277">
        <v>0</v>
      </c>
      <c r="G311" s="3">
        <v>200</v>
      </c>
    </row>
    <row r="312" spans="1:7" s="257" customFormat="1">
      <c r="A312" s="317" t="str">
        <f t="shared" si="4"/>
        <v>I-047-70</v>
      </c>
      <c r="B312" s="277" t="s">
        <v>600</v>
      </c>
      <c r="C312" s="277">
        <v>70</v>
      </c>
      <c r="D312" s="277" t="s">
        <v>1113</v>
      </c>
      <c r="E312" s="276" t="str">
        <f>VLOOKUP(D312, 'S17 Work Stations'!$A$2:$B$45, 2, 0)</f>
        <v>FIN-GOOD-INV</v>
      </c>
      <c r="F312" s="277">
        <v>0</v>
      </c>
      <c r="G312" s="3">
        <v>200</v>
      </c>
    </row>
    <row r="313" spans="1:7" s="257" customFormat="1">
      <c r="A313" s="317" t="str">
        <f t="shared" si="4"/>
        <v>I-048-30</v>
      </c>
      <c r="B313" s="277" t="s">
        <v>602</v>
      </c>
      <c r="C313" s="277">
        <v>30</v>
      </c>
      <c r="D313" s="277" t="s">
        <v>1044</v>
      </c>
      <c r="E313" s="276" t="str">
        <f>VLOOKUP(D313, 'S17 Work Stations'!$A$2:$B$45, 2, 0)</f>
        <v>TUR-C1-366</v>
      </c>
      <c r="F313" s="277">
        <v>360</v>
      </c>
      <c r="G313" s="3">
        <v>200</v>
      </c>
    </row>
    <row r="314" spans="1:7" s="257" customFormat="1">
      <c r="A314" s="317" t="str">
        <f t="shared" si="4"/>
        <v>I-048-60</v>
      </c>
      <c r="B314" s="277" t="s">
        <v>602</v>
      </c>
      <c r="C314" s="277">
        <v>60</v>
      </c>
      <c r="D314" s="277" t="s">
        <v>1080</v>
      </c>
      <c r="E314" s="276" t="str">
        <f>VLOOKUP(D314, 'S17 Work Stations'!$A$2:$B$45, 2, 0)</f>
        <v>DR-2A-201</v>
      </c>
      <c r="F314" s="277">
        <v>1440</v>
      </c>
      <c r="G314" s="3">
        <v>200</v>
      </c>
    </row>
    <row r="315" spans="1:7" s="257" customFormat="1">
      <c r="A315" s="317" t="str">
        <f t="shared" si="4"/>
        <v>I-048-40</v>
      </c>
      <c r="B315" s="277" t="s">
        <v>602</v>
      </c>
      <c r="C315" s="277">
        <v>40</v>
      </c>
      <c r="D315" s="277" t="s">
        <v>1089</v>
      </c>
      <c r="E315" s="276" t="str">
        <f>VLOOKUP(D315, 'S17 Work Stations'!$A$2:$B$45, 2, 0)</f>
        <v>DR-3A-206</v>
      </c>
      <c r="F315" s="277">
        <v>300</v>
      </c>
      <c r="G315" s="3">
        <v>200</v>
      </c>
    </row>
    <row r="316" spans="1:7" s="257" customFormat="1">
      <c r="A316" s="317" t="str">
        <f t="shared" si="4"/>
        <v>I-048-50</v>
      </c>
      <c r="B316" s="277" t="s">
        <v>602</v>
      </c>
      <c r="C316" s="277">
        <v>50</v>
      </c>
      <c r="D316" s="277" t="s">
        <v>1094</v>
      </c>
      <c r="E316" s="276" t="str">
        <f>VLOOKUP(D316, 'S17 Work Stations'!$A$2:$B$45, 2, 0)</f>
        <v>SAW-50-150-252</v>
      </c>
      <c r="F316" s="277">
        <v>420</v>
      </c>
      <c r="G316" s="3">
        <v>200</v>
      </c>
    </row>
    <row r="317" spans="1:7" s="257" customFormat="1">
      <c r="A317" s="317" t="str">
        <f t="shared" si="4"/>
        <v>I-048-20</v>
      </c>
      <c r="B317" s="277" t="s">
        <v>602</v>
      </c>
      <c r="C317" s="277">
        <v>20</v>
      </c>
      <c r="D317" s="277" t="s">
        <v>1105</v>
      </c>
      <c r="E317" s="276" t="str">
        <f>VLOOKUP(D317, 'S17 Work Stations'!$A$2:$B$45, 2, 0)</f>
        <v>SAW-400-424</v>
      </c>
      <c r="F317" s="277">
        <v>120</v>
      </c>
      <c r="G317" s="3">
        <v>200</v>
      </c>
    </row>
    <row r="318" spans="1:7" s="257" customFormat="1">
      <c r="A318" s="317" t="str">
        <f t="shared" si="4"/>
        <v>I-048-10</v>
      </c>
      <c r="B318" s="277" t="s">
        <v>602</v>
      </c>
      <c r="C318" s="277">
        <v>10</v>
      </c>
      <c r="D318" s="277" t="s">
        <v>1112</v>
      </c>
      <c r="E318" s="276" t="str">
        <f>VLOOKUP(D318, 'S17 Work Stations'!$A$2:$B$45, 2, 0)</f>
        <v>RAW-MAT-INV</v>
      </c>
      <c r="F318" s="277">
        <v>0</v>
      </c>
      <c r="G318" s="3">
        <v>200</v>
      </c>
    </row>
    <row r="319" spans="1:7" s="257" customFormat="1">
      <c r="A319" s="317" t="str">
        <f t="shared" si="4"/>
        <v>I-048-70</v>
      </c>
      <c r="B319" s="277" t="s">
        <v>602</v>
      </c>
      <c r="C319" s="277">
        <v>70</v>
      </c>
      <c r="D319" s="277" t="s">
        <v>1113</v>
      </c>
      <c r="E319" s="276" t="str">
        <f>VLOOKUP(D319, 'S17 Work Stations'!$A$2:$B$45, 2, 0)</f>
        <v>FIN-GOOD-INV</v>
      </c>
      <c r="F319" s="277">
        <v>0</v>
      </c>
      <c r="G319" s="3">
        <v>200</v>
      </c>
    </row>
    <row r="320" spans="1:7" s="257" customFormat="1">
      <c r="A320" s="317" t="str">
        <f t="shared" si="4"/>
        <v>I-049-30</v>
      </c>
      <c r="B320" s="277" t="s">
        <v>604</v>
      </c>
      <c r="C320" s="277">
        <v>30</v>
      </c>
      <c r="D320" s="277" t="s">
        <v>1044</v>
      </c>
      <c r="E320" s="276" t="str">
        <f>VLOOKUP(D320, 'S17 Work Stations'!$A$2:$B$45, 2, 0)</f>
        <v>TUR-C1-366</v>
      </c>
      <c r="F320" s="277">
        <v>360</v>
      </c>
      <c r="G320" s="3">
        <v>200</v>
      </c>
    </row>
    <row r="321" spans="1:7" s="257" customFormat="1">
      <c r="A321" s="317" t="str">
        <f t="shared" si="4"/>
        <v>I-049-60</v>
      </c>
      <c r="B321" s="277" t="s">
        <v>604</v>
      </c>
      <c r="C321" s="277">
        <v>60</v>
      </c>
      <c r="D321" s="277" t="s">
        <v>1076</v>
      </c>
      <c r="E321" s="276" t="str">
        <f>VLOOKUP(D321, 'S17 Work Stations'!$A$2:$B$45, 2, 0)</f>
        <v>MIL-U2-607</v>
      </c>
      <c r="F321" s="277">
        <v>180</v>
      </c>
      <c r="G321" s="3">
        <v>200</v>
      </c>
    </row>
    <row r="322" spans="1:7" s="257" customFormat="1">
      <c r="A322" s="317" t="str">
        <f t="shared" ref="A322:A385" si="5">B322&amp;"-"&amp;C322</f>
        <v>I-049-40</v>
      </c>
      <c r="B322" s="277" t="s">
        <v>604</v>
      </c>
      <c r="C322" s="277">
        <v>40</v>
      </c>
      <c r="D322" s="277" t="s">
        <v>1089</v>
      </c>
      <c r="E322" s="276" t="str">
        <f>VLOOKUP(D322, 'S17 Work Stations'!$A$2:$B$45, 2, 0)</f>
        <v>DR-3A-206</v>
      </c>
      <c r="F322" s="277">
        <v>300</v>
      </c>
      <c r="G322" s="3">
        <v>200</v>
      </c>
    </row>
    <row r="323" spans="1:7" s="257" customFormat="1">
      <c r="A323" s="317" t="str">
        <f t="shared" si="5"/>
        <v>I-049-50</v>
      </c>
      <c r="B323" s="277" t="s">
        <v>604</v>
      </c>
      <c r="C323" s="277">
        <v>50</v>
      </c>
      <c r="D323" s="277" t="s">
        <v>1098</v>
      </c>
      <c r="E323" s="276" t="str">
        <f>VLOOKUP(D323, 'S17 Work Stations'!$A$2:$B$45, 2, 0)</f>
        <v>SAW-35-100-254</v>
      </c>
      <c r="F323" s="277">
        <v>480</v>
      </c>
      <c r="G323" s="3">
        <v>200</v>
      </c>
    </row>
    <row r="324" spans="1:7" s="257" customFormat="1">
      <c r="A324" s="317" t="str">
        <f t="shared" si="5"/>
        <v>I-049-20</v>
      </c>
      <c r="B324" s="277" t="s">
        <v>604</v>
      </c>
      <c r="C324" s="277">
        <v>20</v>
      </c>
      <c r="D324" s="277" t="s">
        <v>1105</v>
      </c>
      <c r="E324" s="276" t="str">
        <f>VLOOKUP(D324, 'S17 Work Stations'!$A$2:$B$45, 2, 0)</f>
        <v>SAW-400-424</v>
      </c>
      <c r="F324" s="277">
        <v>120</v>
      </c>
      <c r="G324" s="3">
        <v>200</v>
      </c>
    </row>
    <row r="325" spans="1:7" s="257" customFormat="1">
      <c r="A325" s="317" t="str">
        <f t="shared" si="5"/>
        <v>I-049-10</v>
      </c>
      <c r="B325" s="277" t="s">
        <v>604</v>
      </c>
      <c r="C325" s="277">
        <v>10</v>
      </c>
      <c r="D325" s="277" t="s">
        <v>1112</v>
      </c>
      <c r="E325" s="276" t="str">
        <f>VLOOKUP(D325, 'S17 Work Stations'!$A$2:$B$45, 2, 0)</f>
        <v>RAW-MAT-INV</v>
      </c>
      <c r="F325" s="277">
        <v>0</v>
      </c>
      <c r="G325" s="3">
        <v>200</v>
      </c>
    </row>
    <row r="326" spans="1:7" s="257" customFormat="1">
      <c r="A326" s="317" t="str">
        <f t="shared" si="5"/>
        <v>I-049-70</v>
      </c>
      <c r="B326" s="277" t="s">
        <v>604</v>
      </c>
      <c r="C326" s="277">
        <v>70</v>
      </c>
      <c r="D326" s="277" t="s">
        <v>1113</v>
      </c>
      <c r="E326" s="276" t="str">
        <f>VLOOKUP(D326, 'S17 Work Stations'!$A$2:$B$45, 2, 0)</f>
        <v>FIN-GOOD-INV</v>
      </c>
      <c r="F326" s="277">
        <v>0</v>
      </c>
      <c r="G326" s="3">
        <v>200</v>
      </c>
    </row>
    <row r="327" spans="1:7" s="257" customFormat="1">
      <c r="A327" s="317" t="str">
        <f t="shared" si="5"/>
        <v>I-050-30</v>
      </c>
      <c r="B327" s="277" t="s">
        <v>606</v>
      </c>
      <c r="C327" s="277">
        <v>30</v>
      </c>
      <c r="D327" s="277" t="s">
        <v>1046</v>
      </c>
      <c r="E327" s="276" t="str">
        <f>VLOOKUP(D327, 'S17 Work Stations'!$A$2:$B$45, 2, 0)</f>
        <v>TUR-C2-367</v>
      </c>
      <c r="F327" s="277">
        <v>300</v>
      </c>
      <c r="G327" s="3">
        <v>200</v>
      </c>
    </row>
    <row r="328" spans="1:7" s="257" customFormat="1">
      <c r="A328" s="317" t="str">
        <f t="shared" si="5"/>
        <v>I-050-60</v>
      </c>
      <c r="B328" s="277" t="s">
        <v>606</v>
      </c>
      <c r="C328" s="277">
        <v>60</v>
      </c>
      <c r="D328" s="277" t="s">
        <v>1080</v>
      </c>
      <c r="E328" s="276" t="str">
        <f>VLOOKUP(D328, 'S17 Work Stations'!$A$2:$B$45, 2, 0)</f>
        <v>DR-2A-201</v>
      </c>
      <c r="F328" s="277">
        <v>420</v>
      </c>
      <c r="G328" s="3">
        <v>200</v>
      </c>
    </row>
    <row r="329" spans="1:7" s="257" customFormat="1">
      <c r="A329" s="317" t="str">
        <f t="shared" si="5"/>
        <v>I-050-40</v>
      </c>
      <c r="B329" s="277" t="s">
        <v>606</v>
      </c>
      <c r="C329" s="277">
        <v>40</v>
      </c>
      <c r="D329" s="277" t="s">
        <v>1089</v>
      </c>
      <c r="E329" s="276" t="str">
        <f>VLOOKUP(D329, 'S17 Work Stations'!$A$2:$B$45, 2, 0)</f>
        <v>DR-3A-206</v>
      </c>
      <c r="F329" s="277">
        <v>300</v>
      </c>
      <c r="G329" s="3">
        <v>200</v>
      </c>
    </row>
    <row r="330" spans="1:7" s="257" customFormat="1">
      <c r="A330" s="317" t="str">
        <f t="shared" si="5"/>
        <v>I-050-50</v>
      </c>
      <c r="B330" s="277" t="s">
        <v>606</v>
      </c>
      <c r="C330" s="277">
        <v>50</v>
      </c>
      <c r="D330" s="277" t="s">
        <v>1098</v>
      </c>
      <c r="E330" s="276" t="str">
        <f>VLOOKUP(D330, 'S17 Work Stations'!$A$2:$B$45, 2, 0)</f>
        <v>SAW-35-100-254</v>
      </c>
      <c r="F330" s="277">
        <v>180</v>
      </c>
      <c r="G330" s="3">
        <v>200</v>
      </c>
    </row>
    <row r="331" spans="1:7" s="257" customFormat="1">
      <c r="A331" s="317" t="str">
        <f t="shared" si="5"/>
        <v>I-050-20</v>
      </c>
      <c r="B331" s="277" t="s">
        <v>606</v>
      </c>
      <c r="C331" s="277">
        <v>20</v>
      </c>
      <c r="D331" s="277" t="s">
        <v>1105</v>
      </c>
      <c r="E331" s="276" t="str">
        <f>VLOOKUP(D331, 'S17 Work Stations'!$A$2:$B$45, 2, 0)</f>
        <v>SAW-400-424</v>
      </c>
      <c r="F331" s="277">
        <v>120</v>
      </c>
      <c r="G331" s="3">
        <v>200</v>
      </c>
    </row>
    <row r="332" spans="1:7" s="257" customFormat="1">
      <c r="A332" s="317" t="str">
        <f t="shared" si="5"/>
        <v>I-050-10</v>
      </c>
      <c r="B332" s="277" t="s">
        <v>606</v>
      </c>
      <c r="C332" s="277">
        <v>10</v>
      </c>
      <c r="D332" s="277" t="s">
        <v>1112</v>
      </c>
      <c r="E332" s="276" t="str">
        <f>VLOOKUP(D332, 'S17 Work Stations'!$A$2:$B$45, 2, 0)</f>
        <v>RAW-MAT-INV</v>
      </c>
      <c r="F332" s="277">
        <v>0</v>
      </c>
      <c r="G332" s="3">
        <v>200</v>
      </c>
    </row>
    <row r="333" spans="1:7" s="257" customFormat="1">
      <c r="A333" s="317" t="str">
        <f t="shared" si="5"/>
        <v>I-050-70</v>
      </c>
      <c r="B333" s="277" t="s">
        <v>606</v>
      </c>
      <c r="C333" s="277">
        <v>70</v>
      </c>
      <c r="D333" s="277" t="s">
        <v>1113</v>
      </c>
      <c r="E333" s="276" t="str">
        <f>VLOOKUP(D333, 'S17 Work Stations'!$A$2:$B$45, 2, 0)</f>
        <v>FIN-GOOD-INV</v>
      </c>
      <c r="F333" s="277">
        <v>0</v>
      </c>
      <c r="G333" s="3">
        <v>200</v>
      </c>
    </row>
    <row r="334" spans="1:7" s="257" customFormat="1">
      <c r="A334" s="317" t="str">
        <f t="shared" si="5"/>
        <v>I-051-30</v>
      </c>
      <c r="B334" s="277" t="s">
        <v>608</v>
      </c>
      <c r="C334" s="277">
        <v>30</v>
      </c>
      <c r="D334" s="277" t="s">
        <v>1046</v>
      </c>
      <c r="E334" s="276" t="str">
        <f>VLOOKUP(D334, 'S17 Work Stations'!$A$2:$B$45, 2, 0)</f>
        <v>TUR-C2-367</v>
      </c>
      <c r="F334" s="277">
        <v>420</v>
      </c>
      <c r="G334" s="3">
        <v>200</v>
      </c>
    </row>
    <row r="335" spans="1:7" s="257" customFormat="1">
      <c r="A335" s="317" t="str">
        <f t="shared" si="5"/>
        <v>I-051-20</v>
      </c>
      <c r="B335" s="277" t="s">
        <v>608</v>
      </c>
      <c r="C335" s="277">
        <v>20</v>
      </c>
      <c r="D335" s="277" t="s">
        <v>1107</v>
      </c>
      <c r="E335" s="276" t="str">
        <f>VLOOKUP(D335, 'S17 Work Stations'!$A$2:$B$45, 2, 0)</f>
        <v>SAW-CNC-40-425</v>
      </c>
      <c r="F335" s="277">
        <v>120</v>
      </c>
      <c r="G335" s="3">
        <v>200</v>
      </c>
    </row>
    <row r="336" spans="1:7" s="257" customFormat="1">
      <c r="A336" s="317" t="str">
        <f t="shared" si="5"/>
        <v>I-051-10</v>
      </c>
      <c r="B336" s="277" t="s">
        <v>608</v>
      </c>
      <c r="C336" s="277">
        <v>10</v>
      </c>
      <c r="D336" s="277" t="s">
        <v>1112</v>
      </c>
      <c r="E336" s="276" t="str">
        <f>VLOOKUP(D336, 'S17 Work Stations'!$A$2:$B$45, 2, 0)</f>
        <v>RAW-MAT-INV</v>
      </c>
      <c r="F336" s="277">
        <v>0</v>
      </c>
      <c r="G336" s="3">
        <v>200</v>
      </c>
    </row>
    <row r="337" spans="1:7" s="257" customFormat="1">
      <c r="A337" s="317" t="str">
        <f t="shared" si="5"/>
        <v>I-051-40</v>
      </c>
      <c r="B337" s="277" t="s">
        <v>608</v>
      </c>
      <c r="C337" s="277">
        <v>40</v>
      </c>
      <c r="D337" s="277" t="s">
        <v>1113</v>
      </c>
      <c r="E337" s="276" t="str">
        <f>VLOOKUP(D337, 'S17 Work Stations'!$A$2:$B$45, 2, 0)</f>
        <v>FIN-GOOD-INV</v>
      </c>
      <c r="F337" s="277">
        <v>0</v>
      </c>
      <c r="G337" s="3">
        <v>200</v>
      </c>
    </row>
    <row r="338" spans="1:7" s="257" customFormat="1">
      <c r="A338" s="317" t="str">
        <f t="shared" si="5"/>
        <v>I-052-30</v>
      </c>
      <c r="B338" s="277" t="s">
        <v>610</v>
      </c>
      <c r="C338" s="277">
        <v>30</v>
      </c>
      <c r="D338" s="277" t="s">
        <v>1046</v>
      </c>
      <c r="E338" s="276" t="str">
        <f>VLOOKUP(D338, 'S17 Work Stations'!$A$2:$B$45, 2, 0)</f>
        <v>TUR-C2-367</v>
      </c>
      <c r="F338" s="277">
        <v>420</v>
      </c>
      <c r="G338" s="3">
        <v>200</v>
      </c>
    </row>
    <row r="339" spans="1:7" s="257" customFormat="1">
      <c r="A339" s="317" t="str">
        <f t="shared" si="5"/>
        <v>I-052-40</v>
      </c>
      <c r="B339" s="277" t="s">
        <v>610</v>
      </c>
      <c r="C339" s="277">
        <v>40</v>
      </c>
      <c r="D339" s="277" t="s">
        <v>1048</v>
      </c>
      <c r="E339" s="276" t="str">
        <f>VLOOKUP(D339, 'S17 Work Stations'!$A$2:$B$45, 2, 0)</f>
        <v>MIL-10-150-401</v>
      </c>
      <c r="F339" s="277">
        <v>480</v>
      </c>
      <c r="G339" s="3">
        <v>200</v>
      </c>
    </row>
    <row r="340" spans="1:7" s="257" customFormat="1">
      <c r="A340" s="317" t="str">
        <f t="shared" si="5"/>
        <v>I-052-50</v>
      </c>
      <c r="B340" s="277" t="s">
        <v>610</v>
      </c>
      <c r="C340" s="277">
        <v>50</v>
      </c>
      <c r="D340" s="277" t="s">
        <v>1071</v>
      </c>
      <c r="E340" s="276" t="str">
        <f>VLOOKUP(D340, 'S17 Work Stations'!$A$2:$B$45, 2, 0)</f>
        <v>MIL-H21-604</v>
      </c>
      <c r="F340" s="277">
        <v>180</v>
      </c>
      <c r="G340" s="3">
        <v>200</v>
      </c>
    </row>
    <row r="341" spans="1:7" s="257" customFormat="1">
      <c r="A341" s="317" t="str">
        <f t="shared" si="5"/>
        <v>I-052-60</v>
      </c>
      <c r="B341" s="277" t="s">
        <v>610</v>
      </c>
      <c r="C341" s="277">
        <v>60</v>
      </c>
      <c r="D341" s="277" t="s">
        <v>1082</v>
      </c>
      <c r="E341" s="276" t="str">
        <f>VLOOKUP(D341, 'S17 Work Stations'!$A$2:$B$45, 2, 0)</f>
        <v>DR-2A2-202</v>
      </c>
      <c r="F341" s="277">
        <v>180</v>
      </c>
      <c r="G341" s="3">
        <v>200</v>
      </c>
    </row>
    <row r="342" spans="1:7" s="257" customFormat="1">
      <c r="A342" s="317" t="str">
        <f t="shared" si="5"/>
        <v>I-052-70</v>
      </c>
      <c r="B342" s="277" t="s">
        <v>610</v>
      </c>
      <c r="C342" s="277">
        <v>70</v>
      </c>
      <c r="D342" s="277" t="s">
        <v>1093</v>
      </c>
      <c r="E342" s="276" t="str">
        <f>VLOOKUP(D342, 'S17 Work Stations'!$A$2:$B$45, 2, 0)</f>
        <v>SAW-30-150-251</v>
      </c>
      <c r="F342" s="277">
        <v>180</v>
      </c>
      <c r="G342" s="3">
        <v>200</v>
      </c>
    </row>
    <row r="343" spans="1:7" s="257" customFormat="1">
      <c r="A343" s="317" t="str">
        <f t="shared" si="5"/>
        <v>I-052-20</v>
      </c>
      <c r="B343" s="277" t="s">
        <v>610</v>
      </c>
      <c r="C343" s="277">
        <v>20</v>
      </c>
      <c r="D343" s="277" t="s">
        <v>1107</v>
      </c>
      <c r="E343" s="276" t="str">
        <f>VLOOKUP(D343, 'S17 Work Stations'!$A$2:$B$45, 2, 0)</f>
        <v>SAW-CNC-40-425</v>
      </c>
      <c r="F343" s="277">
        <v>120</v>
      </c>
      <c r="G343" s="3">
        <v>200</v>
      </c>
    </row>
    <row r="344" spans="1:7" s="257" customFormat="1">
      <c r="A344" s="317" t="str">
        <f t="shared" si="5"/>
        <v>I-052-10</v>
      </c>
      <c r="B344" s="277" t="s">
        <v>610</v>
      </c>
      <c r="C344" s="277">
        <v>10</v>
      </c>
      <c r="D344" s="277" t="s">
        <v>1112</v>
      </c>
      <c r="E344" s="276" t="str">
        <f>VLOOKUP(D344, 'S17 Work Stations'!$A$2:$B$45, 2, 0)</f>
        <v>RAW-MAT-INV</v>
      </c>
      <c r="F344" s="277">
        <v>0</v>
      </c>
      <c r="G344" s="3">
        <v>200</v>
      </c>
    </row>
    <row r="345" spans="1:7" s="257" customFormat="1">
      <c r="A345" s="317" t="str">
        <f t="shared" si="5"/>
        <v>I-052-80</v>
      </c>
      <c r="B345" s="277" t="s">
        <v>610</v>
      </c>
      <c r="C345" s="277">
        <v>80</v>
      </c>
      <c r="D345" s="277" t="s">
        <v>1113</v>
      </c>
      <c r="E345" s="276" t="str">
        <f>VLOOKUP(D345, 'S17 Work Stations'!$A$2:$B$45, 2, 0)</f>
        <v>FIN-GOOD-INV</v>
      </c>
      <c r="F345" s="277">
        <v>0</v>
      </c>
      <c r="G345" s="3">
        <v>200</v>
      </c>
    </row>
    <row r="346" spans="1:7" s="257" customFormat="1">
      <c r="A346" s="317" t="str">
        <f t="shared" si="5"/>
        <v>I-053-40</v>
      </c>
      <c r="B346" s="277" t="s">
        <v>612</v>
      </c>
      <c r="C346" s="277">
        <v>40</v>
      </c>
      <c r="D346" s="277" t="s">
        <v>1038</v>
      </c>
      <c r="E346" s="276" t="str">
        <f>VLOOKUP(D346, 'S17 Work Stations'!$A$2:$B$45, 2, 0)</f>
        <v>MIL-A31-363</v>
      </c>
      <c r="F346" s="277">
        <v>420</v>
      </c>
      <c r="G346" s="3">
        <v>200</v>
      </c>
    </row>
    <row r="347" spans="1:7" s="257" customFormat="1">
      <c r="A347" s="317" t="str">
        <f t="shared" si="5"/>
        <v>I-053-30</v>
      </c>
      <c r="B347" s="277" t="s">
        <v>612</v>
      </c>
      <c r="C347" s="277">
        <v>30</v>
      </c>
      <c r="D347" s="277" t="s">
        <v>1040</v>
      </c>
      <c r="E347" s="276" t="str">
        <f>VLOOKUP(D347, 'S17 Work Stations'!$A$2:$B$45, 2, 0)</f>
        <v>TUR-A4-364</v>
      </c>
      <c r="F347" s="277">
        <v>180</v>
      </c>
      <c r="G347" s="3">
        <v>200</v>
      </c>
    </row>
    <row r="348" spans="1:7" s="257" customFormat="1">
      <c r="A348" s="317" t="str">
        <f t="shared" si="5"/>
        <v>I-053-50</v>
      </c>
      <c r="B348" s="277" t="s">
        <v>612</v>
      </c>
      <c r="C348" s="277">
        <v>50</v>
      </c>
      <c r="D348" s="277" t="s">
        <v>1076</v>
      </c>
      <c r="E348" s="276" t="str">
        <f>VLOOKUP(D348, 'S17 Work Stations'!$A$2:$B$45, 2, 0)</f>
        <v>MIL-U2-607</v>
      </c>
      <c r="F348" s="277">
        <v>420</v>
      </c>
      <c r="G348" s="3">
        <v>200</v>
      </c>
    </row>
    <row r="349" spans="1:7" s="257" customFormat="1">
      <c r="A349" s="317" t="str">
        <f t="shared" si="5"/>
        <v>I-053-60</v>
      </c>
      <c r="B349" s="277" t="s">
        <v>612</v>
      </c>
      <c r="C349" s="277">
        <v>60</v>
      </c>
      <c r="D349" s="277" t="s">
        <v>1091</v>
      </c>
      <c r="E349" s="276" t="str">
        <f>VLOOKUP(D349, 'S17 Work Stations'!$A$2:$B$45, 2, 0)</f>
        <v>DR-3AW-207</v>
      </c>
      <c r="F349" s="277">
        <v>180</v>
      </c>
      <c r="G349" s="3">
        <v>200</v>
      </c>
    </row>
    <row r="350" spans="1:7" s="257" customFormat="1">
      <c r="A350" s="317" t="str">
        <f t="shared" si="5"/>
        <v>I-053-70</v>
      </c>
      <c r="B350" s="277" t="s">
        <v>612</v>
      </c>
      <c r="C350" s="277">
        <v>70</v>
      </c>
      <c r="D350" s="277" t="s">
        <v>1093</v>
      </c>
      <c r="E350" s="276" t="str">
        <f>VLOOKUP(D350, 'S17 Work Stations'!$A$2:$B$45, 2, 0)</f>
        <v>SAW-30-150-251</v>
      </c>
      <c r="F350" s="277">
        <v>180</v>
      </c>
      <c r="G350" s="3">
        <v>200</v>
      </c>
    </row>
    <row r="351" spans="1:7" s="257" customFormat="1">
      <c r="A351" s="317" t="str">
        <f t="shared" si="5"/>
        <v>I-053-20</v>
      </c>
      <c r="B351" s="277" t="s">
        <v>612</v>
      </c>
      <c r="C351" s="277">
        <v>20</v>
      </c>
      <c r="D351" s="277" t="s">
        <v>1107</v>
      </c>
      <c r="E351" s="276" t="str">
        <f>VLOOKUP(D351, 'S17 Work Stations'!$A$2:$B$45, 2, 0)</f>
        <v>SAW-CNC-40-425</v>
      </c>
      <c r="F351" s="277">
        <v>180</v>
      </c>
      <c r="G351" s="3">
        <v>200</v>
      </c>
    </row>
    <row r="352" spans="1:7" s="257" customFormat="1">
      <c r="A352" s="317" t="str">
        <f t="shared" si="5"/>
        <v>I-053-10</v>
      </c>
      <c r="B352" s="277" t="s">
        <v>612</v>
      </c>
      <c r="C352" s="277">
        <v>10</v>
      </c>
      <c r="D352" s="277" t="s">
        <v>1112</v>
      </c>
      <c r="E352" s="276" t="str">
        <f>VLOOKUP(D352, 'S17 Work Stations'!$A$2:$B$45, 2, 0)</f>
        <v>RAW-MAT-INV</v>
      </c>
      <c r="F352" s="277">
        <v>0</v>
      </c>
      <c r="G352" s="3">
        <v>200</v>
      </c>
    </row>
    <row r="353" spans="1:7" s="257" customFormat="1">
      <c r="A353" s="317" t="str">
        <f t="shared" si="5"/>
        <v>I-053-80</v>
      </c>
      <c r="B353" s="277" t="s">
        <v>612</v>
      </c>
      <c r="C353" s="277">
        <v>80</v>
      </c>
      <c r="D353" s="277" t="s">
        <v>1113</v>
      </c>
      <c r="E353" s="276" t="str">
        <f>VLOOKUP(D353, 'S17 Work Stations'!$A$2:$B$45, 2, 0)</f>
        <v>FIN-GOOD-INV</v>
      </c>
      <c r="F353" s="277">
        <v>0</v>
      </c>
      <c r="G353" s="3">
        <v>200</v>
      </c>
    </row>
    <row r="354" spans="1:7" s="257" customFormat="1">
      <c r="A354" s="317" t="str">
        <f t="shared" si="5"/>
        <v>I-054-40</v>
      </c>
      <c r="B354" s="277" t="s">
        <v>614</v>
      </c>
      <c r="C354" s="277">
        <v>40</v>
      </c>
      <c r="D354" s="277" t="s">
        <v>1038</v>
      </c>
      <c r="E354" s="276" t="str">
        <f>VLOOKUP(D354, 'S17 Work Stations'!$A$2:$B$45, 2, 0)</f>
        <v>MIL-A31-363</v>
      </c>
      <c r="F354" s="277">
        <v>120</v>
      </c>
      <c r="G354" s="3">
        <v>200</v>
      </c>
    </row>
    <row r="355" spans="1:7" s="257" customFormat="1">
      <c r="A355" s="317" t="str">
        <f t="shared" si="5"/>
        <v>I-054-30</v>
      </c>
      <c r="B355" s="277" t="s">
        <v>614</v>
      </c>
      <c r="C355" s="277">
        <v>30</v>
      </c>
      <c r="D355" s="277" t="s">
        <v>1040</v>
      </c>
      <c r="E355" s="276" t="str">
        <f>VLOOKUP(D355, 'S17 Work Stations'!$A$2:$B$45, 2, 0)</f>
        <v>TUR-A4-364</v>
      </c>
      <c r="F355" s="277">
        <v>420</v>
      </c>
      <c r="G355" s="3">
        <v>200</v>
      </c>
    </row>
    <row r="356" spans="1:7" s="257" customFormat="1">
      <c r="A356" s="317" t="str">
        <f t="shared" si="5"/>
        <v>I-054-50</v>
      </c>
      <c r="B356" s="277" t="s">
        <v>614</v>
      </c>
      <c r="C356" s="277">
        <v>50</v>
      </c>
      <c r="D356" s="277" t="s">
        <v>1076</v>
      </c>
      <c r="E356" s="276" t="str">
        <f>VLOOKUP(D356, 'S17 Work Stations'!$A$2:$B$45, 2, 0)</f>
        <v>MIL-U2-607</v>
      </c>
      <c r="F356" s="277">
        <v>120</v>
      </c>
      <c r="G356" s="3">
        <v>200</v>
      </c>
    </row>
    <row r="357" spans="1:7" s="257" customFormat="1">
      <c r="A357" s="317" t="str">
        <f t="shared" si="5"/>
        <v>I-054-60</v>
      </c>
      <c r="B357" s="277" t="s">
        <v>614</v>
      </c>
      <c r="C357" s="277">
        <v>60</v>
      </c>
      <c r="D357" s="277" t="s">
        <v>1091</v>
      </c>
      <c r="E357" s="276" t="str">
        <f>VLOOKUP(D357, 'S17 Work Stations'!$A$2:$B$45, 2, 0)</f>
        <v>DR-3AW-207</v>
      </c>
      <c r="F357" s="277">
        <v>360</v>
      </c>
      <c r="G357" s="3">
        <v>200</v>
      </c>
    </row>
    <row r="358" spans="1:7" s="257" customFormat="1">
      <c r="A358" s="317" t="str">
        <f t="shared" si="5"/>
        <v>I-054-70</v>
      </c>
      <c r="B358" s="277" t="s">
        <v>614</v>
      </c>
      <c r="C358" s="277">
        <v>70</v>
      </c>
      <c r="D358" s="277" t="s">
        <v>1093</v>
      </c>
      <c r="E358" s="276" t="str">
        <f>VLOOKUP(D358, 'S17 Work Stations'!$A$2:$B$45, 2, 0)</f>
        <v>SAW-30-150-251</v>
      </c>
      <c r="F358" s="277">
        <v>120</v>
      </c>
      <c r="G358" s="3">
        <v>200</v>
      </c>
    </row>
    <row r="359" spans="1:7" s="257" customFormat="1">
      <c r="A359" s="317" t="str">
        <f t="shared" si="5"/>
        <v>I-054-20</v>
      </c>
      <c r="B359" s="277" t="s">
        <v>614</v>
      </c>
      <c r="C359" s="277">
        <v>20</v>
      </c>
      <c r="D359" s="277" t="s">
        <v>1107</v>
      </c>
      <c r="E359" s="276" t="str">
        <f>VLOOKUP(D359, 'S17 Work Stations'!$A$2:$B$45, 2, 0)</f>
        <v>SAW-CNC-40-425</v>
      </c>
      <c r="F359" s="277">
        <v>120</v>
      </c>
      <c r="G359" s="3">
        <v>200</v>
      </c>
    </row>
    <row r="360" spans="1:7" s="257" customFormat="1">
      <c r="A360" s="317" t="str">
        <f t="shared" si="5"/>
        <v>I-054-80</v>
      </c>
      <c r="B360" s="277" t="s">
        <v>614</v>
      </c>
      <c r="C360" s="277">
        <v>80</v>
      </c>
      <c r="D360" s="277" t="s">
        <v>1111</v>
      </c>
      <c r="E360" s="276" t="str">
        <f>VLOOKUP(D360, 'S17 Work Stations'!$A$2:$B$45, 2, 0)</f>
        <v>TEMP-A01-202</v>
      </c>
      <c r="F360" s="277">
        <v>360</v>
      </c>
      <c r="G360" s="3">
        <v>200</v>
      </c>
    </row>
    <row r="361" spans="1:7" s="257" customFormat="1">
      <c r="A361" s="317" t="str">
        <f t="shared" si="5"/>
        <v>I-054-10</v>
      </c>
      <c r="B361" s="277" t="s">
        <v>614</v>
      </c>
      <c r="C361" s="277">
        <v>10</v>
      </c>
      <c r="D361" s="277" t="s">
        <v>1112</v>
      </c>
      <c r="E361" s="276" t="str">
        <f>VLOOKUP(D361, 'S17 Work Stations'!$A$2:$B$45, 2, 0)</f>
        <v>RAW-MAT-INV</v>
      </c>
      <c r="F361" s="277">
        <v>0</v>
      </c>
      <c r="G361" s="3">
        <v>200</v>
      </c>
    </row>
    <row r="362" spans="1:7" s="257" customFormat="1">
      <c r="A362" s="317" t="str">
        <f t="shared" si="5"/>
        <v>I-054-90</v>
      </c>
      <c r="B362" s="277" t="s">
        <v>614</v>
      </c>
      <c r="C362" s="277">
        <v>90</v>
      </c>
      <c r="D362" s="277" t="s">
        <v>1113</v>
      </c>
      <c r="E362" s="276" t="str">
        <f>VLOOKUP(D362, 'S17 Work Stations'!$A$2:$B$45, 2, 0)</f>
        <v>FIN-GOOD-INV</v>
      </c>
      <c r="F362" s="277">
        <v>0</v>
      </c>
      <c r="G362" s="3">
        <v>200</v>
      </c>
    </row>
    <row r="363" spans="1:7" s="257" customFormat="1">
      <c r="A363" s="317" t="str">
        <f t="shared" si="5"/>
        <v>I-055-30</v>
      </c>
      <c r="B363" s="277" t="s">
        <v>616</v>
      </c>
      <c r="C363" s="277">
        <v>30</v>
      </c>
      <c r="D363" s="277" t="s">
        <v>1055</v>
      </c>
      <c r="E363" s="276" t="str">
        <f>VLOOKUP(D363, 'S17 Work Stations'!$A$2:$B$45, 2, 0)</f>
        <v>TUR-15-250-405</v>
      </c>
      <c r="F363" s="277">
        <v>540</v>
      </c>
      <c r="G363" s="3">
        <v>200</v>
      </c>
    </row>
    <row r="364" spans="1:7" s="257" customFormat="1">
      <c r="A364" s="317" t="str">
        <f t="shared" si="5"/>
        <v>I-055-40</v>
      </c>
      <c r="B364" s="277" t="s">
        <v>616</v>
      </c>
      <c r="C364" s="277">
        <v>40</v>
      </c>
      <c r="D364" s="277" t="s">
        <v>1082</v>
      </c>
      <c r="E364" s="276" t="str">
        <f>VLOOKUP(D364, 'S17 Work Stations'!$A$2:$B$45, 2, 0)</f>
        <v>DR-2A2-202</v>
      </c>
      <c r="F364" s="277">
        <v>360</v>
      </c>
      <c r="G364" s="3">
        <v>200</v>
      </c>
    </row>
    <row r="365" spans="1:7" s="257" customFormat="1">
      <c r="A365" s="317" t="str">
        <f t="shared" si="5"/>
        <v>I-055-20</v>
      </c>
      <c r="B365" s="277" t="s">
        <v>616</v>
      </c>
      <c r="C365" s="277">
        <v>20</v>
      </c>
      <c r="D365" s="277" t="s">
        <v>1107</v>
      </c>
      <c r="E365" s="276" t="str">
        <f>VLOOKUP(D365, 'S17 Work Stations'!$A$2:$B$45, 2, 0)</f>
        <v>SAW-CNC-40-425</v>
      </c>
      <c r="F365" s="277">
        <v>120</v>
      </c>
      <c r="G365" s="3">
        <v>200</v>
      </c>
    </row>
    <row r="366" spans="1:7" s="257" customFormat="1">
      <c r="A366" s="317" t="str">
        <f t="shared" si="5"/>
        <v>I-055-10</v>
      </c>
      <c r="B366" s="277" t="s">
        <v>616</v>
      </c>
      <c r="C366" s="277">
        <v>10</v>
      </c>
      <c r="D366" s="277" t="s">
        <v>1112</v>
      </c>
      <c r="E366" s="276" t="str">
        <f>VLOOKUP(D366, 'S17 Work Stations'!$A$2:$B$45, 2, 0)</f>
        <v>RAW-MAT-INV</v>
      </c>
      <c r="F366" s="277">
        <v>0</v>
      </c>
      <c r="G366" s="3">
        <v>200</v>
      </c>
    </row>
    <row r="367" spans="1:7" s="257" customFormat="1">
      <c r="A367" s="317" t="str">
        <f t="shared" si="5"/>
        <v>I-055-50</v>
      </c>
      <c r="B367" s="277" t="s">
        <v>616</v>
      </c>
      <c r="C367" s="277">
        <v>50</v>
      </c>
      <c r="D367" s="277" t="s">
        <v>1113</v>
      </c>
      <c r="E367" s="276" t="str">
        <f>VLOOKUP(D367, 'S17 Work Stations'!$A$2:$B$45, 2, 0)</f>
        <v>FIN-GOOD-INV</v>
      </c>
      <c r="F367" s="277">
        <v>0</v>
      </c>
      <c r="G367" s="3">
        <v>200</v>
      </c>
    </row>
    <row r="368" spans="1:7" s="257" customFormat="1">
      <c r="A368" s="317" t="str">
        <f t="shared" si="5"/>
        <v>I-056-30</v>
      </c>
      <c r="B368" s="277" t="s">
        <v>618</v>
      </c>
      <c r="C368" s="277">
        <v>30</v>
      </c>
      <c r="D368" s="277" t="s">
        <v>1055</v>
      </c>
      <c r="E368" s="276" t="str">
        <f>VLOOKUP(D368, 'S17 Work Stations'!$A$2:$B$45, 2, 0)</f>
        <v>TUR-15-250-405</v>
      </c>
      <c r="F368" s="277">
        <v>420</v>
      </c>
      <c r="G368" s="3">
        <v>200</v>
      </c>
    </row>
    <row r="369" spans="1:7" s="257" customFormat="1">
      <c r="A369" s="317" t="str">
        <f t="shared" si="5"/>
        <v>I-056-40</v>
      </c>
      <c r="B369" s="277" t="s">
        <v>618</v>
      </c>
      <c r="C369" s="277">
        <v>40</v>
      </c>
      <c r="D369" s="277" t="s">
        <v>1083</v>
      </c>
      <c r="E369" s="276" t="str">
        <f>VLOOKUP(D369, 'S17 Work Stations'!$A$2:$B$45, 2, 0)</f>
        <v>GR-T1-203</v>
      </c>
      <c r="F369" s="277">
        <v>300</v>
      </c>
      <c r="G369" s="3">
        <v>200</v>
      </c>
    </row>
    <row r="370" spans="1:7" s="257" customFormat="1">
      <c r="A370" s="317" t="str">
        <f t="shared" si="5"/>
        <v>I-056-20</v>
      </c>
      <c r="B370" s="277" t="s">
        <v>618</v>
      </c>
      <c r="C370" s="277">
        <v>20</v>
      </c>
      <c r="D370" s="277" t="s">
        <v>1107</v>
      </c>
      <c r="E370" s="276" t="str">
        <f>VLOOKUP(D370, 'S17 Work Stations'!$A$2:$B$45, 2, 0)</f>
        <v>SAW-CNC-40-425</v>
      </c>
      <c r="F370" s="277">
        <v>180</v>
      </c>
      <c r="G370" s="3">
        <v>200</v>
      </c>
    </row>
    <row r="371" spans="1:7" s="257" customFormat="1">
      <c r="A371" s="317" t="str">
        <f t="shared" si="5"/>
        <v>I-056-10</v>
      </c>
      <c r="B371" s="277" t="s">
        <v>618</v>
      </c>
      <c r="C371" s="277">
        <v>10</v>
      </c>
      <c r="D371" s="277" t="s">
        <v>1112</v>
      </c>
      <c r="E371" s="276" t="str">
        <f>VLOOKUP(D371, 'S17 Work Stations'!$A$2:$B$45, 2, 0)</f>
        <v>RAW-MAT-INV</v>
      </c>
      <c r="F371" s="277">
        <v>0</v>
      </c>
      <c r="G371" s="3">
        <v>200</v>
      </c>
    </row>
    <row r="372" spans="1:7" s="257" customFormat="1">
      <c r="A372" s="317" t="str">
        <f t="shared" si="5"/>
        <v>I-056-50</v>
      </c>
      <c r="B372" s="277" t="s">
        <v>618</v>
      </c>
      <c r="C372" s="277">
        <v>50</v>
      </c>
      <c r="D372" s="277" t="s">
        <v>1113</v>
      </c>
      <c r="E372" s="276" t="str">
        <f>VLOOKUP(D372, 'S17 Work Stations'!$A$2:$B$45, 2, 0)</f>
        <v>FIN-GOOD-INV</v>
      </c>
      <c r="F372" s="277">
        <v>0</v>
      </c>
      <c r="G372" s="3">
        <v>200</v>
      </c>
    </row>
    <row r="373" spans="1:7" s="257" customFormat="1">
      <c r="A373" s="317" t="str">
        <f t="shared" si="5"/>
        <v>I-057-30</v>
      </c>
      <c r="B373" s="277" t="s">
        <v>620</v>
      </c>
      <c r="C373" s="277">
        <v>30</v>
      </c>
      <c r="D373" s="277" t="s">
        <v>1055</v>
      </c>
      <c r="E373" s="276" t="str">
        <f>VLOOKUP(D373, 'S17 Work Stations'!$A$2:$B$45, 2, 0)</f>
        <v>TUR-15-250-405</v>
      </c>
      <c r="F373" s="277">
        <v>420</v>
      </c>
      <c r="G373" s="3">
        <v>200</v>
      </c>
    </row>
    <row r="374" spans="1:7" s="257" customFormat="1">
      <c r="A374" s="317" t="str">
        <f t="shared" si="5"/>
        <v>I-057-40</v>
      </c>
      <c r="B374" s="277" t="s">
        <v>620</v>
      </c>
      <c r="C374" s="277">
        <v>40</v>
      </c>
      <c r="D374" s="277" t="s">
        <v>1083</v>
      </c>
      <c r="E374" s="276" t="str">
        <f>VLOOKUP(D374, 'S17 Work Stations'!$A$2:$B$45, 2, 0)</f>
        <v>GR-T1-203</v>
      </c>
      <c r="F374" s="277">
        <v>300</v>
      </c>
      <c r="G374" s="3">
        <v>200</v>
      </c>
    </row>
    <row r="375" spans="1:7" s="257" customFormat="1">
      <c r="A375" s="317" t="str">
        <f t="shared" si="5"/>
        <v>I-057-20</v>
      </c>
      <c r="B375" s="277" t="s">
        <v>620</v>
      </c>
      <c r="C375" s="277">
        <v>20</v>
      </c>
      <c r="D375" s="277" t="s">
        <v>1107</v>
      </c>
      <c r="E375" s="276" t="str">
        <f>VLOOKUP(D375, 'S17 Work Stations'!$A$2:$B$45, 2, 0)</f>
        <v>SAW-CNC-40-425</v>
      </c>
      <c r="F375" s="277">
        <v>120</v>
      </c>
      <c r="G375" s="3">
        <v>200</v>
      </c>
    </row>
    <row r="376" spans="1:7" s="257" customFormat="1">
      <c r="A376" s="317" t="str">
        <f t="shared" si="5"/>
        <v>I-057-10</v>
      </c>
      <c r="B376" s="277" t="s">
        <v>620</v>
      </c>
      <c r="C376" s="277">
        <v>10</v>
      </c>
      <c r="D376" s="277" t="s">
        <v>1112</v>
      </c>
      <c r="E376" s="276" t="str">
        <f>VLOOKUP(D376, 'S17 Work Stations'!$A$2:$B$45, 2, 0)</f>
        <v>RAW-MAT-INV</v>
      </c>
      <c r="F376" s="277">
        <v>0</v>
      </c>
      <c r="G376" s="3">
        <v>200</v>
      </c>
    </row>
    <row r="377" spans="1:7" s="257" customFormat="1">
      <c r="A377" s="317" t="str">
        <f t="shared" si="5"/>
        <v>I-057-50</v>
      </c>
      <c r="B377" s="277" t="s">
        <v>620</v>
      </c>
      <c r="C377" s="277">
        <v>50</v>
      </c>
      <c r="D377" s="277" t="s">
        <v>1113</v>
      </c>
      <c r="E377" s="276" t="str">
        <f>VLOOKUP(D377, 'S17 Work Stations'!$A$2:$B$45, 2, 0)</f>
        <v>FIN-GOOD-INV</v>
      </c>
      <c r="F377" s="277">
        <v>0</v>
      </c>
      <c r="G377" s="3">
        <v>200</v>
      </c>
    </row>
    <row r="378" spans="1:7" s="257" customFormat="1">
      <c r="A378" s="317" t="str">
        <f t="shared" si="5"/>
        <v>I-058-30</v>
      </c>
      <c r="B378" s="277" t="s">
        <v>622</v>
      </c>
      <c r="C378" s="277">
        <v>30</v>
      </c>
      <c r="D378" s="277" t="s">
        <v>1055</v>
      </c>
      <c r="E378" s="276" t="str">
        <f>VLOOKUP(D378, 'S17 Work Stations'!$A$2:$B$45, 2, 0)</f>
        <v>TUR-15-250-405</v>
      </c>
      <c r="F378" s="277">
        <v>780</v>
      </c>
      <c r="G378" s="3">
        <v>200</v>
      </c>
    </row>
    <row r="379" spans="1:7" s="257" customFormat="1">
      <c r="A379" s="317" t="str">
        <f t="shared" si="5"/>
        <v>I-058-40</v>
      </c>
      <c r="B379" s="277" t="s">
        <v>622</v>
      </c>
      <c r="C379" s="277">
        <v>40</v>
      </c>
      <c r="D379" s="277" t="s">
        <v>1083</v>
      </c>
      <c r="E379" s="276" t="str">
        <f>VLOOKUP(D379, 'S17 Work Stations'!$A$2:$B$45, 2, 0)</f>
        <v>GR-T1-203</v>
      </c>
      <c r="F379" s="277">
        <v>240</v>
      </c>
      <c r="G379" s="3">
        <v>200</v>
      </c>
    </row>
    <row r="380" spans="1:7" s="257" customFormat="1">
      <c r="A380" s="317" t="str">
        <f t="shared" si="5"/>
        <v>I-058-20</v>
      </c>
      <c r="B380" s="277" t="s">
        <v>622</v>
      </c>
      <c r="C380" s="277">
        <v>20</v>
      </c>
      <c r="D380" s="277" t="s">
        <v>1107</v>
      </c>
      <c r="E380" s="276" t="str">
        <f>VLOOKUP(D380, 'S17 Work Stations'!$A$2:$B$45, 2, 0)</f>
        <v>SAW-CNC-40-425</v>
      </c>
      <c r="F380" s="277">
        <v>120</v>
      </c>
      <c r="G380" s="3">
        <v>200</v>
      </c>
    </row>
    <row r="381" spans="1:7" s="257" customFormat="1">
      <c r="A381" s="317" t="str">
        <f t="shared" si="5"/>
        <v>I-058-10</v>
      </c>
      <c r="B381" s="277" t="s">
        <v>622</v>
      </c>
      <c r="C381" s="277">
        <v>10</v>
      </c>
      <c r="D381" s="277" t="s">
        <v>1112</v>
      </c>
      <c r="E381" s="276" t="str">
        <f>VLOOKUP(D381, 'S17 Work Stations'!$A$2:$B$45, 2, 0)</f>
        <v>RAW-MAT-INV</v>
      </c>
      <c r="F381" s="277">
        <v>0</v>
      </c>
      <c r="G381" s="3">
        <v>200</v>
      </c>
    </row>
    <row r="382" spans="1:7" s="257" customFormat="1">
      <c r="A382" s="317" t="str">
        <f t="shared" si="5"/>
        <v>I-058-50</v>
      </c>
      <c r="B382" s="277" t="s">
        <v>622</v>
      </c>
      <c r="C382" s="277">
        <v>50</v>
      </c>
      <c r="D382" s="277" t="s">
        <v>1113</v>
      </c>
      <c r="E382" s="276" t="str">
        <f>VLOOKUP(D382, 'S17 Work Stations'!$A$2:$B$45, 2, 0)</f>
        <v>FIN-GOOD-INV</v>
      </c>
      <c r="F382" s="277">
        <v>0</v>
      </c>
      <c r="G382" s="3">
        <v>200</v>
      </c>
    </row>
    <row r="383" spans="1:7" s="257" customFormat="1">
      <c r="A383" s="317" t="str">
        <f t="shared" si="5"/>
        <v>I-059-30</v>
      </c>
      <c r="B383" s="277" t="s">
        <v>624</v>
      </c>
      <c r="C383" s="277">
        <v>30</v>
      </c>
      <c r="D383" s="277" t="s">
        <v>1055</v>
      </c>
      <c r="E383" s="276" t="str">
        <f>VLOOKUP(D383, 'S17 Work Stations'!$A$2:$B$45, 2, 0)</f>
        <v>TUR-15-250-405</v>
      </c>
      <c r="F383" s="277">
        <v>840</v>
      </c>
      <c r="G383" s="3">
        <v>200</v>
      </c>
    </row>
    <row r="384" spans="1:7" s="257" customFormat="1">
      <c r="A384" s="317" t="str">
        <f t="shared" si="5"/>
        <v>I-059-20</v>
      </c>
      <c r="B384" s="277" t="s">
        <v>624</v>
      </c>
      <c r="C384" s="277">
        <v>20</v>
      </c>
      <c r="D384" s="277" t="s">
        <v>1107</v>
      </c>
      <c r="E384" s="276" t="str">
        <f>VLOOKUP(D384, 'S17 Work Stations'!$A$2:$B$45, 2, 0)</f>
        <v>SAW-CNC-40-425</v>
      </c>
      <c r="F384" s="277">
        <v>180</v>
      </c>
      <c r="G384" s="3">
        <v>200</v>
      </c>
    </row>
    <row r="385" spans="1:7" s="257" customFormat="1">
      <c r="A385" s="317" t="str">
        <f t="shared" si="5"/>
        <v>I-059-10</v>
      </c>
      <c r="B385" s="277" t="s">
        <v>624</v>
      </c>
      <c r="C385" s="277">
        <v>10</v>
      </c>
      <c r="D385" s="277" t="s">
        <v>1112</v>
      </c>
      <c r="E385" s="276" t="str">
        <f>VLOOKUP(D385, 'S17 Work Stations'!$A$2:$B$45, 2, 0)</f>
        <v>RAW-MAT-INV</v>
      </c>
      <c r="F385" s="277">
        <v>0</v>
      </c>
      <c r="G385" s="3">
        <v>200</v>
      </c>
    </row>
    <row r="386" spans="1:7" s="257" customFormat="1">
      <c r="A386" s="317" t="str">
        <f t="shared" ref="A386:A449" si="6">B386&amp;"-"&amp;C386</f>
        <v>I-059-40</v>
      </c>
      <c r="B386" s="277" t="s">
        <v>624</v>
      </c>
      <c r="C386" s="277">
        <v>40</v>
      </c>
      <c r="D386" s="277" t="s">
        <v>1113</v>
      </c>
      <c r="E386" s="276" t="str">
        <f>VLOOKUP(D386, 'S17 Work Stations'!$A$2:$B$45, 2, 0)</f>
        <v>FIN-GOOD-INV</v>
      </c>
      <c r="F386" s="277">
        <v>0</v>
      </c>
      <c r="G386" s="3">
        <v>200</v>
      </c>
    </row>
    <row r="387" spans="1:7" s="257" customFormat="1">
      <c r="A387" s="317" t="str">
        <f t="shared" si="6"/>
        <v>I-060-30</v>
      </c>
      <c r="B387" s="277" t="s">
        <v>626</v>
      </c>
      <c r="C387" s="277">
        <v>30</v>
      </c>
      <c r="D387" s="277" t="s">
        <v>1053</v>
      </c>
      <c r="E387" s="276" t="str">
        <f>VLOOKUP(D387, 'S17 Work Stations'!$A$2:$B$45, 2, 0)</f>
        <v>TUR-40-100-404</v>
      </c>
      <c r="F387" s="277">
        <v>840</v>
      </c>
      <c r="G387" s="3">
        <v>200</v>
      </c>
    </row>
    <row r="388" spans="1:7" s="257" customFormat="1">
      <c r="A388" s="317" t="str">
        <f t="shared" si="6"/>
        <v>I-060-20</v>
      </c>
      <c r="B388" s="277" t="s">
        <v>626</v>
      </c>
      <c r="C388" s="277">
        <v>20</v>
      </c>
      <c r="D388" s="277" t="s">
        <v>1107</v>
      </c>
      <c r="E388" s="276" t="str">
        <f>VLOOKUP(D388, 'S17 Work Stations'!$A$2:$B$45, 2, 0)</f>
        <v>SAW-CNC-40-425</v>
      </c>
      <c r="F388" s="277">
        <v>120</v>
      </c>
      <c r="G388" s="3">
        <v>200</v>
      </c>
    </row>
    <row r="389" spans="1:7" s="257" customFormat="1">
      <c r="A389" s="317" t="str">
        <f t="shared" si="6"/>
        <v>I-060-10</v>
      </c>
      <c r="B389" s="277" t="s">
        <v>626</v>
      </c>
      <c r="C389" s="277">
        <v>10</v>
      </c>
      <c r="D389" s="277" t="s">
        <v>1112</v>
      </c>
      <c r="E389" s="276" t="str">
        <f>VLOOKUP(D389, 'S17 Work Stations'!$A$2:$B$45, 2, 0)</f>
        <v>RAW-MAT-INV</v>
      </c>
      <c r="F389" s="277">
        <v>0</v>
      </c>
      <c r="G389" s="3">
        <v>200</v>
      </c>
    </row>
    <row r="390" spans="1:7" s="257" customFormat="1">
      <c r="A390" s="317" t="str">
        <f t="shared" si="6"/>
        <v>I-060-40</v>
      </c>
      <c r="B390" s="277" t="s">
        <v>626</v>
      </c>
      <c r="C390" s="277">
        <v>40</v>
      </c>
      <c r="D390" s="277" t="s">
        <v>1113</v>
      </c>
      <c r="E390" s="276" t="str">
        <f>VLOOKUP(D390, 'S17 Work Stations'!$A$2:$B$45, 2, 0)</f>
        <v>FIN-GOOD-INV</v>
      </c>
      <c r="F390" s="277">
        <v>0</v>
      </c>
      <c r="G390" s="3">
        <v>200</v>
      </c>
    </row>
    <row r="391" spans="1:7" s="257" customFormat="1">
      <c r="A391" s="317" t="str">
        <f t="shared" si="6"/>
        <v>I-061-30</v>
      </c>
      <c r="B391" s="277" t="s">
        <v>628</v>
      </c>
      <c r="C391" s="277">
        <v>30</v>
      </c>
      <c r="D391" s="277" t="s">
        <v>1053</v>
      </c>
      <c r="E391" s="276" t="str">
        <f>VLOOKUP(D391, 'S17 Work Stations'!$A$2:$B$45, 2, 0)</f>
        <v>TUR-40-100-404</v>
      </c>
      <c r="F391" s="277">
        <v>1080</v>
      </c>
      <c r="G391" s="3">
        <v>200</v>
      </c>
    </row>
    <row r="392" spans="1:7" s="257" customFormat="1">
      <c r="A392" s="317" t="str">
        <f t="shared" si="6"/>
        <v>I-061-40</v>
      </c>
      <c r="B392" s="277" t="s">
        <v>628</v>
      </c>
      <c r="C392" s="277">
        <v>40</v>
      </c>
      <c r="D392" s="277" t="s">
        <v>1082</v>
      </c>
      <c r="E392" s="276" t="str">
        <f>VLOOKUP(D392, 'S17 Work Stations'!$A$2:$B$45, 2, 0)</f>
        <v>DR-2A2-202</v>
      </c>
      <c r="F392" s="277">
        <v>480</v>
      </c>
      <c r="G392" s="3">
        <v>200</v>
      </c>
    </row>
    <row r="393" spans="1:7" s="257" customFormat="1">
      <c r="A393" s="317" t="str">
        <f t="shared" si="6"/>
        <v>I-061-20</v>
      </c>
      <c r="B393" s="277" t="s">
        <v>628</v>
      </c>
      <c r="C393" s="277">
        <v>20</v>
      </c>
      <c r="D393" s="277" t="s">
        <v>1107</v>
      </c>
      <c r="E393" s="276" t="str">
        <f>VLOOKUP(D393, 'S17 Work Stations'!$A$2:$B$45, 2, 0)</f>
        <v>SAW-CNC-40-425</v>
      </c>
      <c r="F393" s="277">
        <v>120</v>
      </c>
      <c r="G393" s="3">
        <v>200</v>
      </c>
    </row>
    <row r="394" spans="1:7" s="257" customFormat="1">
      <c r="A394" s="317" t="str">
        <f t="shared" si="6"/>
        <v>I-061-10</v>
      </c>
      <c r="B394" s="277" t="s">
        <v>628</v>
      </c>
      <c r="C394" s="277">
        <v>10</v>
      </c>
      <c r="D394" s="277" t="s">
        <v>1112</v>
      </c>
      <c r="E394" s="276" t="str">
        <f>VLOOKUP(D394, 'S17 Work Stations'!$A$2:$B$45, 2, 0)</f>
        <v>RAW-MAT-INV</v>
      </c>
      <c r="F394" s="277">
        <v>0</v>
      </c>
      <c r="G394" s="3">
        <v>200</v>
      </c>
    </row>
    <row r="395" spans="1:7" s="257" customFormat="1">
      <c r="A395" s="317" t="str">
        <f t="shared" si="6"/>
        <v>I-061-50</v>
      </c>
      <c r="B395" s="277" t="s">
        <v>628</v>
      </c>
      <c r="C395" s="277">
        <v>50</v>
      </c>
      <c r="D395" s="277" t="s">
        <v>1113</v>
      </c>
      <c r="E395" s="276" t="str">
        <f>VLOOKUP(D395, 'S17 Work Stations'!$A$2:$B$45, 2, 0)</f>
        <v>FIN-GOOD-INV</v>
      </c>
      <c r="F395" s="277">
        <v>0</v>
      </c>
      <c r="G395" s="3">
        <v>200</v>
      </c>
    </row>
    <row r="396" spans="1:7" s="257" customFormat="1">
      <c r="A396" s="317" t="str">
        <f t="shared" si="6"/>
        <v>I-062-30</v>
      </c>
      <c r="B396" s="277" t="s">
        <v>630</v>
      </c>
      <c r="C396" s="277">
        <v>30</v>
      </c>
      <c r="D396" s="277" t="s">
        <v>1053</v>
      </c>
      <c r="E396" s="276" t="str">
        <f>VLOOKUP(D396, 'S17 Work Stations'!$A$2:$B$45, 2, 0)</f>
        <v>TUR-40-100-404</v>
      </c>
      <c r="F396" s="277">
        <v>1080</v>
      </c>
      <c r="G396" s="3">
        <v>200</v>
      </c>
    </row>
    <row r="397" spans="1:7" s="257" customFormat="1">
      <c r="A397" s="317" t="str">
        <f t="shared" si="6"/>
        <v>I-062-40</v>
      </c>
      <c r="B397" s="277" t="s">
        <v>630</v>
      </c>
      <c r="C397" s="277">
        <v>40</v>
      </c>
      <c r="D397" s="277" t="s">
        <v>1083</v>
      </c>
      <c r="E397" s="276" t="str">
        <f>VLOOKUP(D397, 'S17 Work Stations'!$A$2:$B$45, 2, 0)</f>
        <v>GR-T1-203</v>
      </c>
      <c r="F397" s="277">
        <v>360</v>
      </c>
      <c r="G397" s="3">
        <v>200</v>
      </c>
    </row>
    <row r="398" spans="1:7" s="257" customFormat="1">
      <c r="A398" s="317" t="str">
        <f t="shared" si="6"/>
        <v>I-062-50</v>
      </c>
      <c r="B398" s="277" t="s">
        <v>630</v>
      </c>
      <c r="C398" s="277">
        <v>50</v>
      </c>
      <c r="D398" s="277" t="s">
        <v>1096</v>
      </c>
      <c r="E398" s="276" t="str">
        <f>VLOOKUP(D398, 'S17 Work Stations'!$A$2:$B$45, 2, 0)</f>
        <v>SAW-30-160-252</v>
      </c>
      <c r="F398" s="277">
        <v>420</v>
      </c>
      <c r="G398" s="3">
        <v>200</v>
      </c>
    </row>
    <row r="399" spans="1:7" s="257" customFormat="1">
      <c r="A399" s="317" t="str">
        <f t="shared" si="6"/>
        <v>I-062-20</v>
      </c>
      <c r="B399" s="277" t="s">
        <v>630</v>
      </c>
      <c r="C399" s="277">
        <v>20</v>
      </c>
      <c r="D399" s="277" t="s">
        <v>1107</v>
      </c>
      <c r="E399" s="276" t="str">
        <f>VLOOKUP(D399, 'S17 Work Stations'!$A$2:$B$45, 2, 0)</f>
        <v>SAW-CNC-40-425</v>
      </c>
      <c r="F399" s="277">
        <v>180</v>
      </c>
      <c r="G399" s="3">
        <v>200</v>
      </c>
    </row>
    <row r="400" spans="1:7" s="257" customFormat="1">
      <c r="A400" s="317" t="str">
        <f t="shared" si="6"/>
        <v>I-062-10</v>
      </c>
      <c r="B400" s="277" t="s">
        <v>630</v>
      </c>
      <c r="C400" s="277">
        <v>10</v>
      </c>
      <c r="D400" s="277" t="s">
        <v>1112</v>
      </c>
      <c r="E400" s="276" t="str">
        <f>VLOOKUP(D400, 'S17 Work Stations'!$A$2:$B$45, 2, 0)</f>
        <v>RAW-MAT-INV</v>
      </c>
      <c r="F400" s="277">
        <v>0</v>
      </c>
      <c r="G400" s="3">
        <v>200</v>
      </c>
    </row>
    <row r="401" spans="1:7" s="257" customFormat="1">
      <c r="A401" s="317" t="str">
        <f t="shared" si="6"/>
        <v>I-062-60</v>
      </c>
      <c r="B401" s="277" t="s">
        <v>630</v>
      </c>
      <c r="C401" s="277">
        <v>60</v>
      </c>
      <c r="D401" s="277" t="s">
        <v>1113</v>
      </c>
      <c r="E401" s="276" t="str">
        <f>VLOOKUP(D401, 'S17 Work Stations'!$A$2:$B$45, 2, 0)</f>
        <v>FIN-GOOD-INV</v>
      </c>
      <c r="F401" s="277">
        <v>0</v>
      </c>
      <c r="G401" s="3">
        <v>200</v>
      </c>
    </row>
    <row r="402" spans="1:7" s="257" customFormat="1">
      <c r="A402" s="317" t="str">
        <f t="shared" si="6"/>
        <v>I-063-30</v>
      </c>
      <c r="B402" s="277" t="s">
        <v>632</v>
      </c>
      <c r="C402" s="277">
        <v>30</v>
      </c>
      <c r="D402" s="277" t="s">
        <v>1049</v>
      </c>
      <c r="E402" s="276" t="str">
        <f>VLOOKUP(D402, 'S17 Work Stations'!$A$2:$B$45, 2, 0)</f>
        <v>TUR-20-120-402</v>
      </c>
      <c r="F402" s="277">
        <v>1080</v>
      </c>
      <c r="G402" s="3">
        <v>200</v>
      </c>
    </row>
    <row r="403" spans="1:7" s="257" customFormat="1">
      <c r="A403" s="317" t="str">
        <f t="shared" si="6"/>
        <v>I-063-40</v>
      </c>
      <c r="B403" s="277" t="s">
        <v>632</v>
      </c>
      <c r="C403" s="277">
        <v>40</v>
      </c>
      <c r="D403" s="277" t="s">
        <v>1082</v>
      </c>
      <c r="E403" s="276" t="str">
        <f>VLOOKUP(D403, 'S17 Work Stations'!$A$2:$B$45, 2, 0)</f>
        <v>DR-2A2-202</v>
      </c>
      <c r="F403" s="277">
        <v>360</v>
      </c>
      <c r="G403" s="3">
        <v>200</v>
      </c>
    </row>
    <row r="404" spans="1:7" s="257" customFormat="1">
      <c r="A404" s="317" t="str">
        <f t="shared" si="6"/>
        <v>I-063-20</v>
      </c>
      <c r="B404" s="277" t="s">
        <v>632</v>
      </c>
      <c r="C404" s="277">
        <v>20</v>
      </c>
      <c r="D404" s="277" t="s">
        <v>1107</v>
      </c>
      <c r="E404" s="276" t="str">
        <f>VLOOKUP(D404, 'S17 Work Stations'!$A$2:$B$45, 2, 0)</f>
        <v>SAW-CNC-40-425</v>
      </c>
      <c r="F404" s="277">
        <v>120</v>
      </c>
      <c r="G404" s="3">
        <v>200</v>
      </c>
    </row>
    <row r="405" spans="1:7" s="257" customFormat="1">
      <c r="A405" s="317" t="str">
        <f t="shared" si="6"/>
        <v>I-063-10</v>
      </c>
      <c r="B405" s="277" t="s">
        <v>632</v>
      </c>
      <c r="C405" s="277">
        <v>10</v>
      </c>
      <c r="D405" s="277" t="s">
        <v>1112</v>
      </c>
      <c r="E405" s="276" t="str">
        <f>VLOOKUP(D405, 'S17 Work Stations'!$A$2:$B$45, 2, 0)</f>
        <v>RAW-MAT-INV</v>
      </c>
      <c r="F405" s="277">
        <v>0</v>
      </c>
      <c r="G405" s="3">
        <v>200</v>
      </c>
    </row>
    <row r="406" spans="1:7" s="257" customFormat="1">
      <c r="A406" s="317" t="str">
        <f t="shared" si="6"/>
        <v>I-063-50</v>
      </c>
      <c r="B406" s="277" t="s">
        <v>632</v>
      </c>
      <c r="C406" s="277">
        <v>50</v>
      </c>
      <c r="D406" s="277" t="s">
        <v>1113</v>
      </c>
      <c r="E406" s="276" t="str">
        <f>VLOOKUP(D406, 'S17 Work Stations'!$A$2:$B$45, 2, 0)</f>
        <v>FIN-GOOD-INV</v>
      </c>
      <c r="F406" s="277">
        <v>0</v>
      </c>
      <c r="G406" s="3">
        <v>200</v>
      </c>
    </row>
    <row r="407" spans="1:7" s="257" customFormat="1">
      <c r="A407" s="317" t="str">
        <f t="shared" si="6"/>
        <v>I-064-40</v>
      </c>
      <c r="B407" s="277" t="s">
        <v>634</v>
      </c>
      <c r="C407" s="277">
        <v>40</v>
      </c>
      <c r="D407" s="277" t="s">
        <v>1038</v>
      </c>
      <c r="E407" s="276" t="str">
        <f>VLOOKUP(D407, 'S17 Work Stations'!$A$2:$B$45, 2, 0)</f>
        <v>MIL-A31-363</v>
      </c>
      <c r="F407" s="277">
        <v>120</v>
      </c>
      <c r="G407" s="3">
        <v>200</v>
      </c>
    </row>
    <row r="408" spans="1:7" s="257" customFormat="1">
      <c r="A408" s="317" t="str">
        <f t="shared" si="6"/>
        <v>I-064-30</v>
      </c>
      <c r="B408" s="277" t="s">
        <v>634</v>
      </c>
      <c r="C408" s="277">
        <v>30</v>
      </c>
      <c r="D408" s="277" t="s">
        <v>1040</v>
      </c>
      <c r="E408" s="276" t="str">
        <f>VLOOKUP(D408, 'S17 Work Stations'!$A$2:$B$45, 2, 0)</f>
        <v>TUR-A4-364</v>
      </c>
      <c r="F408" s="277">
        <v>120</v>
      </c>
      <c r="G408" s="3">
        <v>200</v>
      </c>
    </row>
    <row r="409" spans="1:7" s="257" customFormat="1">
      <c r="A409" s="317" t="str">
        <f t="shared" si="6"/>
        <v>I-064-50</v>
      </c>
      <c r="B409" s="277" t="s">
        <v>634</v>
      </c>
      <c r="C409" s="277">
        <v>50</v>
      </c>
      <c r="D409" s="277" t="s">
        <v>1076</v>
      </c>
      <c r="E409" s="276" t="str">
        <f>VLOOKUP(D409, 'S17 Work Stations'!$A$2:$B$45, 2, 0)</f>
        <v>MIL-U2-607</v>
      </c>
      <c r="F409" s="277">
        <v>180</v>
      </c>
      <c r="G409" s="3">
        <v>200</v>
      </c>
    </row>
    <row r="410" spans="1:7" s="257" customFormat="1">
      <c r="A410" s="317" t="str">
        <f t="shared" si="6"/>
        <v>I-064-60</v>
      </c>
      <c r="B410" s="277" t="s">
        <v>634</v>
      </c>
      <c r="C410" s="277">
        <v>60</v>
      </c>
      <c r="D410" s="277" t="s">
        <v>1091</v>
      </c>
      <c r="E410" s="276" t="str">
        <f>VLOOKUP(D410, 'S17 Work Stations'!$A$2:$B$45, 2, 0)</f>
        <v>DR-3AW-207</v>
      </c>
      <c r="F410" s="277">
        <v>180</v>
      </c>
      <c r="G410" s="3">
        <v>200</v>
      </c>
    </row>
    <row r="411" spans="1:7" s="257" customFormat="1">
      <c r="A411" s="317" t="str">
        <f t="shared" si="6"/>
        <v>I-064-70</v>
      </c>
      <c r="B411" s="277" t="s">
        <v>634</v>
      </c>
      <c r="C411" s="277">
        <v>70</v>
      </c>
      <c r="D411" s="277" t="s">
        <v>1093</v>
      </c>
      <c r="E411" s="276" t="str">
        <f>VLOOKUP(D411, 'S17 Work Stations'!$A$2:$B$45, 2, 0)</f>
        <v>SAW-30-150-251</v>
      </c>
      <c r="F411" s="277">
        <v>780</v>
      </c>
      <c r="G411" s="3">
        <v>200</v>
      </c>
    </row>
    <row r="412" spans="1:7" s="257" customFormat="1">
      <c r="A412" s="317" t="str">
        <f t="shared" si="6"/>
        <v>I-064-20</v>
      </c>
      <c r="B412" s="277" t="s">
        <v>634</v>
      </c>
      <c r="C412" s="277">
        <v>20</v>
      </c>
      <c r="D412" s="277" t="s">
        <v>1107</v>
      </c>
      <c r="E412" s="276" t="str">
        <f>VLOOKUP(D412, 'S17 Work Stations'!$A$2:$B$45, 2, 0)</f>
        <v>SAW-CNC-40-425</v>
      </c>
      <c r="F412" s="277">
        <v>180</v>
      </c>
      <c r="G412" s="3">
        <v>200</v>
      </c>
    </row>
    <row r="413" spans="1:7" s="257" customFormat="1">
      <c r="A413" s="317" t="str">
        <f t="shared" si="6"/>
        <v>I-064-80</v>
      </c>
      <c r="B413" s="277" t="s">
        <v>634</v>
      </c>
      <c r="C413" s="277">
        <v>80</v>
      </c>
      <c r="D413" s="277" t="s">
        <v>1111</v>
      </c>
      <c r="E413" s="276" t="str">
        <f>VLOOKUP(D413, 'S17 Work Stations'!$A$2:$B$45, 2, 0)</f>
        <v>TEMP-A01-202</v>
      </c>
      <c r="F413" s="277">
        <v>300</v>
      </c>
      <c r="G413" s="3">
        <v>200</v>
      </c>
    </row>
    <row r="414" spans="1:7" s="257" customFormat="1">
      <c r="A414" s="317" t="str">
        <f t="shared" si="6"/>
        <v>I-064-10</v>
      </c>
      <c r="B414" s="277" t="s">
        <v>634</v>
      </c>
      <c r="C414" s="277">
        <v>10</v>
      </c>
      <c r="D414" s="277" t="s">
        <v>1112</v>
      </c>
      <c r="E414" s="276" t="str">
        <f>VLOOKUP(D414, 'S17 Work Stations'!$A$2:$B$45, 2, 0)</f>
        <v>RAW-MAT-INV</v>
      </c>
      <c r="F414" s="277">
        <v>0</v>
      </c>
      <c r="G414" s="3">
        <v>200</v>
      </c>
    </row>
    <row r="415" spans="1:7" s="257" customFormat="1">
      <c r="A415" s="317" t="str">
        <f t="shared" si="6"/>
        <v>I-064-90</v>
      </c>
      <c r="B415" s="277" t="s">
        <v>634</v>
      </c>
      <c r="C415" s="277">
        <v>90</v>
      </c>
      <c r="D415" s="277" t="s">
        <v>1113</v>
      </c>
      <c r="E415" s="276" t="str">
        <f>VLOOKUP(D415, 'S17 Work Stations'!$A$2:$B$45, 2, 0)</f>
        <v>FIN-GOOD-INV</v>
      </c>
      <c r="F415" s="277">
        <v>0</v>
      </c>
      <c r="G415" s="3">
        <v>200</v>
      </c>
    </row>
    <row r="416" spans="1:7" s="257" customFormat="1">
      <c r="A416" s="317" t="str">
        <f t="shared" si="6"/>
        <v>I-065-30</v>
      </c>
      <c r="B416" s="277" t="s">
        <v>636</v>
      </c>
      <c r="C416" s="277">
        <v>30</v>
      </c>
      <c r="D416" s="277" t="s">
        <v>1042</v>
      </c>
      <c r="E416" s="276" t="str">
        <f>VLOOKUP(D416, 'S17 Work Stations'!$A$2:$B$45, 2, 0)</f>
        <v>MIL-A2-365</v>
      </c>
      <c r="F416" s="277">
        <v>720</v>
      </c>
      <c r="G416" s="3">
        <v>200</v>
      </c>
    </row>
    <row r="417" spans="1:7" s="257" customFormat="1">
      <c r="A417" s="317" t="str">
        <f t="shared" si="6"/>
        <v>I-065-50</v>
      </c>
      <c r="B417" s="277" t="s">
        <v>636</v>
      </c>
      <c r="C417" s="277">
        <v>50</v>
      </c>
      <c r="D417" s="277" t="s">
        <v>1078</v>
      </c>
      <c r="E417" s="276" t="str">
        <f>VLOOKUP(D417, 'S17 Work Stations'!$A$2:$B$45, 2, 0)</f>
        <v>MIL-V5-608</v>
      </c>
      <c r="F417" s="277">
        <v>720</v>
      </c>
      <c r="G417" s="3">
        <v>200</v>
      </c>
    </row>
    <row r="418" spans="1:7" s="257" customFormat="1">
      <c r="A418" s="317" t="str">
        <f t="shared" si="6"/>
        <v>I-065-40</v>
      </c>
      <c r="B418" s="277" t="s">
        <v>636</v>
      </c>
      <c r="C418" s="277">
        <v>40</v>
      </c>
      <c r="D418" s="277" t="s">
        <v>1094</v>
      </c>
      <c r="E418" s="276" t="str">
        <f>VLOOKUP(D418, 'S17 Work Stations'!$A$2:$B$45, 2, 0)</f>
        <v>SAW-50-150-252</v>
      </c>
      <c r="F418" s="277">
        <v>120</v>
      </c>
      <c r="G418" s="3">
        <v>200</v>
      </c>
    </row>
    <row r="419" spans="1:7" s="257" customFormat="1">
      <c r="A419" s="317" t="str">
        <f t="shared" si="6"/>
        <v>I-065-20</v>
      </c>
      <c r="B419" s="277" t="s">
        <v>636</v>
      </c>
      <c r="C419" s="277">
        <v>20</v>
      </c>
      <c r="D419" s="277" t="s">
        <v>1100</v>
      </c>
      <c r="E419" s="276" t="str">
        <f>VLOOKUP(D419, 'S17 Work Stations'!$A$2:$B$45, 2, 0)</f>
        <v>SAW-10-421</v>
      </c>
      <c r="F419" s="277">
        <v>240</v>
      </c>
      <c r="G419" s="3">
        <v>200</v>
      </c>
    </row>
    <row r="420" spans="1:7" s="257" customFormat="1">
      <c r="A420" s="317" t="str">
        <f t="shared" si="6"/>
        <v>I-065-10</v>
      </c>
      <c r="B420" s="277" t="s">
        <v>636</v>
      </c>
      <c r="C420" s="277">
        <v>10</v>
      </c>
      <c r="D420" s="277" t="s">
        <v>1112</v>
      </c>
      <c r="E420" s="276" t="str">
        <f>VLOOKUP(D420, 'S17 Work Stations'!$A$2:$B$45, 2, 0)</f>
        <v>RAW-MAT-INV</v>
      </c>
      <c r="F420" s="277">
        <v>0</v>
      </c>
      <c r="G420" s="3">
        <v>200</v>
      </c>
    </row>
    <row r="421" spans="1:7" s="257" customFormat="1">
      <c r="A421" s="317" t="str">
        <f t="shared" si="6"/>
        <v>I-065-60</v>
      </c>
      <c r="B421" s="277" t="s">
        <v>636</v>
      </c>
      <c r="C421" s="277">
        <v>60</v>
      </c>
      <c r="D421" s="277" t="s">
        <v>1113</v>
      </c>
      <c r="E421" s="276" t="str">
        <f>VLOOKUP(D421, 'S17 Work Stations'!$A$2:$B$45, 2, 0)</f>
        <v>FIN-GOOD-INV</v>
      </c>
      <c r="F421" s="277">
        <v>0</v>
      </c>
      <c r="G421" s="3">
        <v>200</v>
      </c>
    </row>
    <row r="422" spans="1:7" s="257" customFormat="1">
      <c r="A422" s="317" t="str">
        <f t="shared" si="6"/>
        <v>I-066-30</v>
      </c>
      <c r="B422" s="277" t="s">
        <v>638</v>
      </c>
      <c r="C422" s="277">
        <v>30</v>
      </c>
      <c r="D422" s="277" t="s">
        <v>1042</v>
      </c>
      <c r="E422" s="276" t="str">
        <f>VLOOKUP(D422, 'S17 Work Stations'!$A$2:$B$45, 2, 0)</f>
        <v>MIL-A2-365</v>
      </c>
      <c r="F422" s="277">
        <v>720</v>
      </c>
      <c r="G422" s="3">
        <v>200</v>
      </c>
    </row>
    <row r="423" spans="1:7" s="257" customFormat="1">
      <c r="A423" s="317" t="str">
        <f t="shared" si="6"/>
        <v>I-066-40</v>
      </c>
      <c r="B423" s="277" t="s">
        <v>638</v>
      </c>
      <c r="C423" s="277">
        <v>40</v>
      </c>
      <c r="D423" s="277" t="s">
        <v>1080</v>
      </c>
      <c r="E423" s="276" t="str">
        <f>VLOOKUP(D423, 'S17 Work Stations'!$A$2:$B$45, 2, 0)</f>
        <v>DR-2A-201</v>
      </c>
      <c r="F423" s="277">
        <v>120</v>
      </c>
      <c r="G423" s="3">
        <v>200</v>
      </c>
    </row>
    <row r="424" spans="1:7" s="257" customFormat="1">
      <c r="A424" s="317" t="str">
        <f t="shared" si="6"/>
        <v>I-066-50</v>
      </c>
      <c r="B424" s="277" t="s">
        <v>638</v>
      </c>
      <c r="C424" s="277">
        <v>50</v>
      </c>
      <c r="D424" s="277" t="s">
        <v>1096</v>
      </c>
      <c r="E424" s="276" t="str">
        <f>VLOOKUP(D424, 'S17 Work Stations'!$A$2:$B$45, 2, 0)</f>
        <v>SAW-30-160-252</v>
      </c>
      <c r="F424" s="277">
        <v>3600</v>
      </c>
      <c r="G424" s="3">
        <v>200</v>
      </c>
    </row>
    <row r="425" spans="1:7" s="257" customFormat="1">
      <c r="A425" s="317" t="str">
        <f t="shared" si="6"/>
        <v>I-066-20</v>
      </c>
      <c r="B425" s="277" t="s">
        <v>638</v>
      </c>
      <c r="C425" s="277">
        <v>20</v>
      </c>
      <c r="D425" s="277" t="s">
        <v>1100</v>
      </c>
      <c r="E425" s="276" t="str">
        <f>VLOOKUP(D425, 'S17 Work Stations'!$A$2:$B$45, 2, 0)</f>
        <v>SAW-10-421</v>
      </c>
      <c r="F425" s="277">
        <v>120</v>
      </c>
      <c r="G425" s="3">
        <v>200</v>
      </c>
    </row>
    <row r="426" spans="1:7" s="257" customFormat="1">
      <c r="A426" s="317" t="str">
        <f t="shared" si="6"/>
        <v>I-066-10</v>
      </c>
      <c r="B426" s="277" t="s">
        <v>638</v>
      </c>
      <c r="C426" s="277">
        <v>10</v>
      </c>
      <c r="D426" s="277" t="s">
        <v>1112</v>
      </c>
      <c r="E426" s="276" t="str">
        <f>VLOOKUP(D426, 'S17 Work Stations'!$A$2:$B$45, 2, 0)</f>
        <v>RAW-MAT-INV</v>
      </c>
      <c r="F426" s="277">
        <v>0</v>
      </c>
      <c r="G426" s="3">
        <v>200</v>
      </c>
    </row>
    <row r="427" spans="1:7" s="257" customFormat="1">
      <c r="A427" s="317" t="str">
        <f t="shared" si="6"/>
        <v>I-066-60</v>
      </c>
      <c r="B427" s="277" t="s">
        <v>638</v>
      </c>
      <c r="C427" s="277">
        <v>60</v>
      </c>
      <c r="D427" s="277" t="s">
        <v>1113</v>
      </c>
      <c r="E427" s="276" t="str">
        <f>VLOOKUP(D427, 'S17 Work Stations'!$A$2:$B$45, 2, 0)</f>
        <v>FIN-GOOD-INV</v>
      </c>
      <c r="F427" s="277">
        <v>0</v>
      </c>
      <c r="G427" s="3">
        <v>200</v>
      </c>
    </row>
    <row r="428" spans="1:7" s="257" customFormat="1">
      <c r="A428" s="317" t="str">
        <f t="shared" si="6"/>
        <v>I-067-30</v>
      </c>
      <c r="B428" s="277" t="s">
        <v>640</v>
      </c>
      <c r="C428" s="277">
        <v>30</v>
      </c>
      <c r="D428" s="277" t="s">
        <v>1042</v>
      </c>
      <c r="E428" s="276" t="str">
        <f>VLOOKUP(D428, 'S17 Work Stations'!$A$2:$B$45, 2, 0)</f>
        <v>MIL-A2-365</v>
      </c>
      <c r="F428" s="277">
        <v>720</v>
      </c>
      <c r="G428" s="3">
        <v>200</v>
      </c>
    </row>
    <row r="429" spans="1:7" s="257" customFormat="1">
      <c r="A429" s="317" t="str">
        <f t="shared" si="6"/>
        <v>I-067-50</v>
      </c>
      <c r="B429" s="277" t="s">
        <v>640</v>
      </c>
      <c r="C429" s="277">
        <v>50</v>
      </c>
      <c r="D429" s="277" t="s">
        <v>1078</v>
      </c>
      <c r="E429" s="276" t="str">
        <f>VLOOKUP(D429, 'S17 Work Stations'!$A$2:$B$45, 2, 0)</f>
        <v>MIL-V5-608</v>
      </c>
      <c r="F429" s="277">
        <v>360</v>
      </c>
      <c r="G429" s="3">
        <v>200</v>
      </c>
    </row>
    <row r="430" spans="1:7" s="257" customFormat="1">
      <c r="A430" s="317" t="str">
        <f t="shared" si="6"/>
        <v>I-067-40</v>
      </c>
      <c r="B430" s="277" t="s">
        <v>640</v>
      </c>
      <c r="C430" s="277">
        <v>40</v>
      </c>
      <c r="D430" s="277" t="s">
        <v>1094</v>
      </c>
      <c r="E430" s="276" t="str">
        <f>VLOOKUP(D430, 'S17 Work Stations'!$A$2:$B$45, 2, 0)</f>
        <v>SAW-50-150-252</v>
      </c>
      <c r="F430" s="277">
        <v>120</v>
      </c>
      <c r="G430" s="3">
        <v>200</v>
      </c>
    </row>
    <row r="431" spans="1:7" s="257" customFormat="1">
      <c r="A431" s="317" t="str">
        <f t="shared" si="6"/>
        <v>I-067-20</v>
      </c>
      <c r="B431" s="277" t="s">
        <v>640</v>
      </c>
      <c r="C431" s="277">
        <v>20</v>
      </c>
      <c r="D431" s="277" t="s">
        <v>1100</v>
      </c>
      <c r="E431" s="276" t="str">
        <f>VLOOKUP(D431, 'S17 Work Stations'!$A$2:$B$45, 2, 0)</f>
        <v>SAW-10-421</v>
      </c>
      <c r="F431" s="277">
        <v>120</v>
      </c>
      <c r="G431" s="3">
        <v>200</v>
      </c>
    </row>
    <row r="432" spans="1:7" s="257" customFormat="1">
      <c r="A432" s="317" t="str">
        <f t="shared" si="6"/>
        <v>I-067-10</v>
      </c>
      <c r="B432" s="277" t="s">
        <v>640</v>
      </c>
      <c r="C432" s="277">
        <v>10</v>
      </c>
      <c r="D432" s="277" t="s">
        <v>1112</v>
      </c>
      <c r="E432" s="276" t="str">
        <f>VLOOKUP(D432, 'S17 Work Stations'!$A$2:$B$45, 2, 0)</f>
        <v>RAW-MAT-INV</v>
      </c>
      <c r="F432" s="277">
        <v>0</v>
      </c>
      <c r="G432" s="3">
        <v>200</v>
      </c>
    </row>
    <row r="433" spans="1:7" s="257" customFormat="1">
      <c r="A433" s="317" t="str">
        <f t="shared" si="6"/>
        <v>I-067-60</v>
      </c>
      <c r="B433" s="277" t="s">
        <v>640</v>
      </c>
      <c r="C433" s="277">
        <v>60</v>
      </c>
      <c r="D433" s="277" t="s">
        <v>1113</v>
      </c>
      <c r="E433" s="276" t="str">
        <f>VLOOKUP(D433, 'S17 Work Stations'!$A$2:$B$45, 2, 0)</f>
        <v>FIN-GOOD-INV</v>
      </c>
      <c r="F433" s="277">
        <v>0</v>
      </c>
      <c r="G433" s="3">
        <v>200</v>
      </c>
    </row>
    <row r="434" spans="1:7" s="257" customFormat="1">
      <c r="A434" s="317" t="str">
        <f t="shared" si="6"/>
        <v>I-068-30</v>
      </c>
      <c r="B434" s="277" t="s">
        <v>642</v>
      </c>
      <c r="C434" s="277">
        <v>30</v>
      </c>
      <c r="D434" s="277" t="s">
        <v>1042</v>
      </c>
      <c r="E434" s="276" t="str">
        <f>VLOOKUP(D434, 'S17 Work Stations'!$A$2:$B$45, 2, 0)</f>
        <v>MIL-A2-365</v>
      </c>
      <c r="F434" s="277">
        <v>720</v>
      </c>
      <c r="G434" s="3">
        <v>200</v>
      </c>
    </row>
    <row r="435" spans="1:7" s="257" customFormat="1">
      <c r="A435" s="317" t="str">
        <f t="shared" si="6"/>
        <v>I-068-40</v>
      </c>
      <c r="B435" s="277" t="s">
        <v>642</v>
      </c>
      <c r="C435" s="277">
        <v>40</v>
      </c>
      <c r="D435" s="277" t="s">
        <v>1080</v>
      </c>
      <c r="E435" s="276" t="str">
        <f>VLOOKUP(D435, 'S17 Work Stations'!$A$2:$B$45, 2, 0)</f>
        <v>DR-2A-201</v>
      </c>
      <c r="F435" s="277">
        <v>120</v>
      </c>
      <c r="G435" s="3">
        <v>200</v>
      </c>
    </row>
    <row r="436" spans="1:7" s="257" customFormat="1">
      <c r="A436" s="317" t="str">
        <f t="shared" si="6"/>
        <v>I-068-50</v>
      </c>
      <c r="B436" s="277" t="s">
        <v>642</v>
      </c>
      <c r="C436" s="277">
        <v>50</v>
      </c>
      <c r="D436" s="277" t="s">
        <v>1096</v>
      </c>
      <c r="E436" s="276" t="str">
        <f>VLOOKUP(D436, 'S17 Work Stations'!$A$2:$B$45, 2, 0)</f>
        <v>SAW-30-160-252</v>
      </c>
      <c r="F436" s="277">
        <v>480</v>
      </c>
      <c r="G436" s="3">
        <v>200</v>
      </c>
    </row>
    <row r="437" spans="1:7" s="257" customFormat="1">
      <c r="A437" s="317" t="str">
        <f t="shared" si="6"/>
        <v>I-068-20</v>
      </c>
      <c r="B437" s="277" t="s">
        <v>642</v>
      </c>
      <c r="C437" s="277">
        <v>20</v>
      </c>
      <c r="D437" s="277" t="s">
        <v>1100</v>
      </c>
      <c r="E437" s="276" t="str">
        <f>VLOOKUP(D437, 'S17 Work Stations'!$A$2:$B$45, 2, 0)</f>
        <v>SAW-10-421</v>
      </c>
      <c r="F437" s="277">
        <v>120</v>
      </c>
      <c r="G437" s="3">
        <v>200</v>
      </c>
    </row>
    <row r="438" spans="1:7" s="257" customFormat="1">
      <c r="A438" s="317" t="str">
        <f t="shared" si="6"/>
        <v>I-068-10</v>
      </c>
      <c r="B438" s="277" t="s">
        <v>642</v>
      </c>
      <c r="C438" s="277">
        <v>10</v>
      </c>
      <c r="D438" s="277" t="s">
        <v>1112</v>
      </c>
      <c r="E438" s="276" t="str">
        <f>VLOOKUP(D438, 'S17 Work Stations'!$A$2:$B$45, 2, 0)</f>
        <v>RAW-MAT-INV</v>
      </c>
      <c r="F438" s="277">
        <v>0</v>
      </c>
      <c r="G438" s="3">
        <v>200</v>
      </c>
    </row>
    <row r="439" spans="1:7" s="257" customFormat="1">
      <c r="A439" s="317" t="str">
        <f t="shared" si="6"/>
        <v>I-068-60</v>
      </c>
      <c r="B439" s="277" t="s">
        <v>642</v>
      </c>
      <c r="C439" s="277">
        <v>60</v>
      </c>
      <c r="D439" s="277" t="s">
        <v>1113</v>
      </c>
      <c r="E439" s="276" t="str">
        <f>VLOOKUP(D439, 'S17 Work Stations'!$A$2:$B$45, 2, 0)</f>
        <v>FIN-GOOD-INV</v>
      </c>
      <c r="F439" s="277">
        <v>0</v>
      </c>
      <c r="G439" s="3">
        <v>200</v>
      </c>
    </row>
    <row r="440" spans="1:7" s="257" customFormat="1">
      <c r="A440" s="317" t="str">
        <f t="shared" si="6"/>
        <v>I-069-30</v>
      </c>
      <c r="B440" s="277" t="s">
        <v>644</v>
      </c>
      <c r="C440" s="277">
        <v>30</v>
      </c>
      <c r="D440" s="277" t="s">
        <v>1042</v>
      </c>
      <c r="E440" s="276" t="str">
        <f>VLOOKUP(D440, 'S17 Work Stations'!$A$2:$B$45, 2, 0)</f>
        <v>MIL-A2-365</v>
      </c>
      <c r="F440" s="277">
        <v>360</v>
      </c>
      <c r="G440" s="3">
        <v>200</v>
      </c>
    </row>
    <row r="441" spans="1:7" s="257" customFormat="1">
      <c r="A441" s="317" t="str">
        <f t="shared" si="6"/>
        <v>I-069-40</v>
      </c>
      <c r="B441" s="277" t="s">
        <v>644</v>
      </c>
      <c r="C441" s="277">
        <v>40</v>
      </c>
      <c r="D441" s="277" t="s">
        <v>1080</v>
      </c>
      <c r="E441" s="276" t="str">
        <f>VLOOKUP(D441, 'S17 Work Stations'!$A$2:$B$45, 2, 0)</f>
        <v>DR-2A-201</v>
      </c>
      <c r="F441" s="277">
        <v>180</v>
      </c>
      <c r="G441" s="3">
        <v>200</v>
      </c>
    </row>
    <row r="442" spans="1:7" s="257" customFormat="1">
      <c r="A442" s="317" t="str">
        <f t="shared" si="6"/>
        <v>I-069-50</v>
      </c>
      <c r="B442" s="277" t="s">
        <v>644</v>
      </c>
      <c r="C442" s="277">
        <v>50</v>
      </c>
      <c r="D442" s="277" t="s">
        <v>1096</v>
      </c>
      <c r="E442" s="276" t="str">
        <f>VLOOKUP(D442, 'S17 Work Stations'!$A$2:$B$45, 2, 0)</f>
        <v>SAW-30-160-252</v>
      </c>
      <c r="F442" s="277">
        <v>900</v>
      </c>
      <c r="G442" s="3">
        <v>200</v>
      </c>
    </row>
    <row r="443" spans="1:7" s="257" customFormat="1">
      <c r="A443" s="317" t="str">
        <f t="shared" si="6"/>
        <v>I-069-20</v>
      </c>
      <c r="B443" s="277" t="s">
        <v>644</v>
      </c>
      <c r="C443" s="277">
        <v>20</v>
      </c>
      <c r="D443" s="277" t="s">
        <v>1100</v>
      </c>
      <c r="E443" s="276" t="str">
        <f>VLOOKUP(D443, 'S17 Work Stations'!$A$2:$B$45, 2, 0)</f>
        <v>SAW-10-421</v>
      </c>
      <c r="F443" s="277">
        <v>60</v>
      </c>
      <c r="G443" s="3">
        <v>200</v>
      </c>
    </row>
    <row r="444" spans="1:7" s="257" customFormat="1">
      <c r="A444" s="317" t="str">
        <f t="shared" si="6"/>
        <v>I-069-10</v>
      </c>
      <c r="B444" s="277" t="s">
        <v>644</v>
      </c>
      <c r="C444" s="277">
        <v>10</v>
      </c>
      <c r="D444" s="277" t="s">
        <v>1112</v>
      </c>
      <c r="E444" s="276" t="str">
        <f>VLOOKUP(D444, 'S17 Work Stations'!$A$2:$B$45, 2, 0)</f>
        <v>RAW-MAT-INV</v>
      </c>
      <c r="F444" s="277">
        <v>0</v>
      </c>
      <c r="G444" s="3">
        <v>200</v>
      </c>
    </row>
    <row r="445" spans="1:7" s="257" customFormat="1">
      <c r="A445" s="317" t="str">
        <f t="shared" si="6"/>
        <v>I-069-60</v>
      </c>
      <c r="B445" s="277" t="s">
        <v>644</v>
      </c>
      <c r="C445" s="277">
        <v>60</v>
      </c>
      <c r="D445" s="277" t="s">
        <v>1113</v>
      </c>
      <c r="E445" s="276" t="str">
        <f>VLOOKUP(D445, 'S17 Work Stations'!$A$2:$B$45, 2, 0)</f>
        <v>FIN-GOOD-INV</v>
      </c>
      <c r="F445" s="277">
        <v>0</v>
      </c>
      <c r="G445" s="3">
        <v>200</v>
      </c>
    </row>
    <row r="446" spans="1:7" s="257" customFormat="1">
      <c r="A446" s="317" t="str">
        <f t="shared" si="6"/>
        <v>I-070-30</v>
      </c>
      <c r="B446" s="277" t="s">
        <v>646</v>
      </c>
      <c r="C446" s="277">
        <v>30</v>
      </c>
      <c r="D446" s="277" t="s">
        <v>1042</v>
      </c>
      <c r="E446" s="276" t="str">
        <f>VLOOKUP(D446, 'S17 Work Stations'!$A$2:$B$45, 2, 0)</f>
        <v>MIL-A2-365</v>
      </c>
      <c r="F446" s="277">
        <v>540</v>
      </c>
      <c r="G446" s="3">
        <v>200</v>
      </c>
    </row>
    <row r="447" spans="1:7" s="257" customFormat="1">
      <c r="A447" s="317" t="str">
        <f t="shared" si="6"/>
        <v>I-070-40</v>
      </c>
      <c r="B447" s="277" t="s">
        <v>646</v>
      </c>
      <c r="C447" s="277">
        <v>40</v>
      </c>
      <c r="D447" s="277" t="s">
        <v>1080</v>
      </c>
      <c r="E447" s="276" t="str">
        <f>VLOOKUP(D447, 'S17 Work Stations'!$A$2:$B$45, 2, 0)</f>
        <v>DR-2A-201</v>
      </c>
      <c r="F447" s="277">
        <v>180</v>
      </c>
      <c r="G447" s="3">
        <v>200</v>
      </c>
    </row>
    <row r="448" spans="1:7" s="257" customFormat="1">
      <c r="A448" s="317" t="str">
        <f t="shared" si="6"/>
        <v>I-070-50</v>
      </c>
      <c r="B448" s="277" t="s">
        <v>646</v>
      </c>
      <c r="C448" s="277">
        <v>50</v>
      </c>
      <c r="D448" s="277" t="s">
        <v>1096</v>
      </c>
      <c r="E448" s="276" t="str">
        <f>VLOOKUP(D448, 'S17 Work Stations'!$A$2:$B$45, 2, 0)</f>
        <v>SAW-30-160-252</v>
      </c>
      <c r="F448" s="277">
        <v>240</v>
      </c>
      <c r="G448" s="3">
        <v>200</v>
      </c>
    </row>
    <row r="449" spans="1:7" s="257" customFormat="1">
      <c r="A449" s="317" t="str">
        <f t="shared" si="6"/>
        <v>I-070-20</v>
      </c>
      <c r="B449" s="277" t="s">
        <v>646</v>
      </c>
      <c r="C449" s="277">
        <v>20</v>
      </c>
      <c r="D449" s="277" t="s">
        <v>1100</v>
      </c>
      <c r="E449" s="276" t="str">
        <f>VLOOKUP(D449, 'S17 Work Stations'!$A$2:$B$45, 2, 0)</f>
        <v>SAW-10-421</v>
      </c>
      <c r="F449" s="277">
        <v>120</v>
      </c>
      <c r="G449" s="3">
        <v>200</v>
      </c>
    </row>
    <row r="450" spans="1:7" s="257" customFormat="1">
      <c r="A450" s="317" t="str">
        <f t="shared" ref="A450:A513" si="7">B450&amp;"-"&amp;C450</f>
        <v>I-070-10</v>
      </c>
      <c r="B450" s="277" t="s">
        <v>646</v>
      </c>
      <c r="C450" s="277">
        <v>10</v>
      </c>
      <c r="D450" s="277" t="s">
        <v>1112</v>
      </c>
      <c r="E450" s="276" t="str">
        <f>VLOOKUP(D450, 'S17 Work Stations'!$A$2:$B$45, 2, 0)</f>
        <v>RAW-MAT-INV</v>
      </c>
      <c r="F450" s="277">
        <v>0</v>
      </c>
      <c r="G450" s="3">
        <v>200</v>
      </c>
    </row>
    <row r="451" spans="1:7" s="257" customFormat="1">
      <c r="A451" s="317" t="str">
        <f t="shared" si="7"/>
        <v>I-070-60</v>
      </c>
      <c r="B451" s="277" t="s">
        <v>646</v>
      </c>
      <c r="C451" s="277">
        <v>60</v>
      </c>
      <c r="D451" s="277" t="s">
        <v>1113</v>
      </c>
      <c r="E451" s="276" t="str">
        <f>VLOOKUP(D451, 'S17 Work Stations'!$A$2:$B$45, 2, 0)</f>
        <v>FIN-GOOD-INV</v>
      </c>
      <c r="F451" s="277">
        <v>0</v>
      </c>
      <c r="G451" s="3">
        <v>200</v>
      </c>
    </row>
    <row r="452" spans="1:7" s="257" customFormat="1">
      <c r="A452" s="317" t="str">
        <f t="shared" si="7"/>
        <v>I-071-30</v>
      </c>
      <c r="B452" s="277" t="s">
        <v>648</v>
      </c>
      <c r="C452" s="277">
        <v>30</v>
      </c>
      <c r="D452" s="277" t="s">
        <v>1042</v>
      </c>
      <c r="E452" s="276" t="str">
        <f>VLOOKUP(D452, 'S17 Work Stations'!$A$2:$B$45, 2, 0)</f>
        <v>MIL-A2-365</v>
      </c>
      <c r="F452" s="277">
        <v>840</v>
      </c>
      <c r="G452" s="3">
        <v>200</v>
      </c>
    </row>
    <row r="453" spans="1:7" s="257" customFormat="1">
      <c r="A453" s="317" t="str">
        <f t="shared" si="7"/>
        <v>I-071-40</v>
      </c>
      <c r="B453" s="277" t="s">
        <v>648</v>
      </c>
      <c r="C453" s="277">
        <v>40</v>
      </c>
      <c r="D453" s="277" t="s">
        <v>1080</v>
      </c>
      <c r="E453" s="276" t="str">
        <f>VLOOKUP(D453, 'S17 Work Stations'!$A$2:$B$45, 2, 0)</f>
        <v>DR-2A-201</v>
      </c>
      <c r="F453" s="277">
        <v>840</v>
      </c>
      <c r="G453" s="3">
        <v>200</v>
      </c>
    </row>
    <row r="454" spans="1:7" s="257" customFormat="1">
      <c r="A454" s="317" t="str">
        <f t="shared" si="7"/>
        <v>I-071-50</v>
      </c>
      <c r="B454" s="277" t="s">
        <v>648</v>
      </c>
      <c r="C454" s="277">
        <v>50</v>
      </c>
      <c r="D454" s="277" t="s">
        <v>1096</v>
      </c>
      <c r="E454" s="276" t="str">
        <f>VLOOKUP(D454, 'S17 Work Stations'!$A$2:$B$45, 2, 0)</f>
        <v>SAW-30-160-252</v>
      </c>
      <c r="F454" s="277">
        <v>480</v>
      </c>
      <c r="G454" s="3">
        <v>200</v>
      </c>
    </row>
    <row r="455" spans="1:7" s="257" customFormat="1">
      <c r="A455" s="317" t="str">
        <f t="shared" si="7"/>
        <v>I-071-20</v>
      </c>
      <c r="B455" s="277" t="s">
        <v>648</v>
      </c>
      <c r="C455" s="277">
        <v>20</v>
      </c>
      <c r="D455" s="277" t="s">
        <v>1100</v>
      </c>
      <c r="E455" s="276" t="str">
        <f>VLOOKUP(D455, 'S17 Work Stations'!$A$2:$B$45, 2, 0)</f>
        <v>SAW-10-421</v>
      </c>
      <c r="F455" s="277">
        <v>60</v>
      </c>
      <c r="G455" s="3">
        <v>200</v>
      </c>
    </row>
    <row r="456" spans="1:7" s="257" customFormat="1">
      <c r="A456" s="317" t="str">
        <f t="shared" si="7"/>
        <v>I-071-10</v>
      </c>
      <c r="B456" s="277" t="s">
        <v>648</v>
      </c>
      <c r="C456" s="277">
        <v>10</v>
      </c>
      <c r="D456" s="277" t="s">
        <v>1112</v>
      </c>
      <c r="E456" s="276" t="str">
        <f>VLOOKUP(D456, 'S17 Work Stations'!$A$2:$B$45, 2, 0)</f>
        <v>RAW-MAT-INV</v>
      </c>
      <c r="F456" s="277">
        <v>0</v>
      </c>
      <c r="G456" s="3">
        <v>200</v>
      </c>
    </row>
    <row r="457" spans="1:7" s="257" customFormat="1">
      <c r="A457" s="317" t="str">
        <f t="shared" si="7"/>
        <v>I-071-60</v>
      </c>
      <c r="B457" s="277" t="s">
        <v>648</v>
      </c>
      <c r="C457" s="277">
        <v>60</v>
      </c>
      <c r="D457" s="277" t="s">
        <v>1113</v>
      </c>
      <c r="E457" s="276" t="str">
        <f>VLOOKUP(D457, 'S17 Work Stations'!$A$2:$B$45, 2, 0)</f>
        <v>FIN-GOOD-INV</v>
      </c>
      <c r="F457" s="277">
        <v>0</v>
      </c>
      <c r="G457" s="3">
        <v>200</v>
      </c>
    </row>
    <row r="458" spans="1:7" s="257" customFormat="1">
      <c r="A458" s="317" t="str">
        <f t="shared" si="7"/>
        <v>I-072-30</v>
      </c>
      <c r="B458" s="277" t="s">
        <v>650</v>
      </c>
      <c r="C458" s="277">
        <v>30</v>
      </c>
      <c r="D458" s="277" t="s">
        <v>1042</v>
      </c>
      <c r="E458" s="276" t="str">
        <f>VLOOKUP(D458, 'S17 Work Stations'!$A$2:$B$45, 2, 0)</f>
        <v>MIL-A2-365</v>
      </c>
      <c r="F458" s="277">
        <v>540</v>
      </c>
      <c r="G458" s="3">
        <v>200</v>
      </c>
    </row>
    <row r="459" spans="1:7" s="257" customFormat="1">
      <c r="A459" s="317" t="str">
        <f t="shared" si="7"/>
        <v>I-072-40</v>
      </c>
      <c r="B459" s="277" t="s">
        <v>650</v>
      </c>
      <c r="C459" s="277">
        <v>40</v>
      </c>
      <c r="D459" s="277" t="s">
        <v>1080</v>
      </c>
      <c r="E459" s="276" t="str">
        <f>VLOOKUP(D459, 'S17 Work Stations'!$A$2:$B$45, 2, 0)</f>
        <v>DR-2A-201</v>
      </c>
      <c r="F459" s="277">
        <v>720</v>
      </c>
      <c r="G459" s="3">
        <v>200</v>
      </c>
    </row>
    <row r="460" spans="1:7" s="257" customFormat="1">
      <c r="A460" s="317" t="str">
        <f t="shared" si="7"/>
        <v>I-072-50</v>
      </c>
      <c r="B460" s="277" t="s">
        <v>650</v>
      </c>
      <c r="C460" s="277">
        <v>50</v>
      </c>
      <c r="D460" s="277" t="s">
        <v>1096</v>
      </c>
      <c r="E460" s="276" t="str">
        <f>VLOOKUP(D460, 'S17 Work Stations'!$A$2:$B$45, 2, 0)</f>
        <v>SAW-30-160-252</v>
      </c>
      <c r="F460" s="277">
        <v>180</v>
      </c>
      <c r="G460" s="3">
        <v>200</v>
      </c>
    </row>
    <row r="461" spans="1:7" s="257" customFormat="1">
      <c r="A461" s="317" t="str">
        <f t="shared" si="7"/>
        <v>I-072-20</v>
      </c>
      <c r="B461" s="277" t="s">
        <v>650</v>
      </c>
      <c r="C461" s="277">
        <v>20</v>
      </c>
      <c r="D461" s="277" t="s">
        <v>1100</v>
      </c>
      <c r="E461" s="276" t="str">
        <f>VLOOKUP(D461, 'S17 Work Stations'!$A$2:$B$45, 2, 0)</f>
        <v>SAW-10-421</v>
      </c>
      <c r="F461" s="277">
        <v>60</v>
      </c>
      <c r="G461" s="3">
        <v>200</v>
      </c>
    </row>
    <row r="462" spans="1:7" s="257" customFormat="1">
      <c r="A462" s="317" t="str">
        <f t="shared" si="7"/>
        <v>I-072-10</v>
      </c>
      <c r="B462" s="277" t="s">
        <v>650</v>
      </c>
      <c r="C462" s="277">
        <v>10</v>
      </c>
      <c r="D462" s="277" t="s">
        <v>1112</v>
      </c>
      <c r="E462" s="276" t="str">
        <f>VLOOKUP(D462, 'S17 Work Stations'!$A$2:$B$45, 2, 0)</f>
        <v>RAW-MAT-INV</v>
      </c>
      <c r="F462" s="277">
        <v>0</v>
      </c>
      <c r="G462" s="3">
        <v>200</v>
      </c>
    </row>
    <row r="463" spans="1:7" s="257" customFormat="1">
      <c r="A463" s="317" t="str">
        <f t="shared" si="7"/>
        <v>I-072-60</v>
      </c>
      <c r="B463" s="277" t="s">
        <v>650</v>
      </c>
      <c r="C463" s="277">
        <v>60</v>
      </c>
      <c r="D463" s="277" t="s">
        <v>1113</v>
      </c>
      <c r="E463" s="276" t="str">
        <f>VLOOKUP(D463, 'S17 Work Stations'!$A$2:$B$45, 2, 0)</f>
        <v>FIN-GOOD-INV</v>
      </c>
      <c r="F463" s="277">
        <v>0</v>
      </c>
      <c r="G463" s="3">
        <v>200</v>
      </c>
    </row>
    <row r="464" spans="1:7" s="257" customFormat="1">
      <c r="A464" s="317" t="str">
        <f t="shared" si="7"/>
        <v>I-073-30</v>
      </c>
      <c r="B464" s="277" t="s">
        <v>652</v>
      </c>
      <c r="C464" s="277">
        <v>30</v>
      </c>
      <c r="D464" s="277" t="s">
        <v>1046</v>
      </c>
      <c r="E464" s="276" t="str">
        <f>VLOOKUP(D464, 'S17 Work Stations'!$A$2:$B$45, 2, 0)</f>
        <v>TUR-C2-367</v>
      </c>
      <c r="F464" s="277">
        <v>540</v>
      </c>
      <c r="G464" s="3">
        <v>200</v>
      </c>
    </row>
    <row r="465" spans="1:7" s="257" customFormat="1">
      <c r="A465" s="317" t="str">
        <f t="shared" si="7"/>
        <v>I-073-40</v>
      </c>
      <c r="B465" s="277" t="s">
        <v>652</v>
      </c>
      <c r="C465" s="277">
        <v>40</v>
      </c>
      <c r="D465" s="277" t="s">
        <v>1072</v>
      </c>
      <c r="E465" s="276" t="str">
        <f>VLOOKUP(D465, 'S17 Work Stations'!$A$2:$B$45, 2, 0)</f>
        <v>MIL-U1-605</v>
      </c>
      <c r="F465" s="277">
        <v>180</v>
      </c>
      <c r="G465" s="3">
        <v>200</v>
      </c>
    </row>
    <row r="466" spans="1:7" s="257" customFormat="1">
      <c r="A466" s="317" t="str">
        <f t="shared" si="7"/>
        <v>I-073-60</v>
      </c>
      <c r="B466" s="277" t="s">
        <v>652</v>
      </c>
      <c r="C466" s="277">
        <v>60</v>
      </c>
      <c r="D466" s="277" t="s">
        <v>1083</v>
      </c>
      <c r="E466" s="276" t="str">
        <f>VLOOKUP(D466, 'S17 Work Stations'!$A$2:$B$45, 2, 0)</f>
        <v>GR-T1-203</v>
      </c>
      <c r="F466" s="277">
        <v>540</v>
      </c>
      <c r="G466" s="3">
        <v>200</v>
      </c>
    </row>
    <row r="467" spans="1:7" s="257" customFormat="1">
      <c r="A467" s="317" t="str">
        <f t="shared" si="7"/>
        <v>I-073-50</v>
      </c>
      <c r="B467" s="277" t="s">
        <v>652</v>
      </c>
      <c r="C467" s="277">
        <v>50</v>
      </c>
      <c r="D467" s="277" t="s">
        <v>1085</v>
      </c>
      <c r="E467" s="276" t="str">
        <f>VLOOKUP(D467, 'S17 Work Stations'!$A$2:$B$45, 2, 0)</f>
        <v>DR-T3-204</v>
      </c>
      <c r="F467" s="277">
        <v>300</v>
      </c>
      <c r="G467" s="3">
        <v>200</v>
      </c>
    </row>
    <row r="468" spans="1:7" s="257" customFormat="1">
      <c r="A468" s="317" t="str">
        <f t="shared" si="7"/>
        <v>I-073-70</v>
      </c>
      <c r="B468" s="277" t="s">
        <v>652</v>
      </c>
      <c r="C468" s="277">
        <v>70</v>
      </c>
      <c r="D468" s="277" t="s">
        <v>1093</v>
      </c>
      <c r="E468" s="276" t="str">
        <f>VLOOKUP(D468, 'S17 Work Stations'!$A$2:$B$45, 2, 0)</f>
        <v>SAW-30-150-251</v>
      </c>
      <c r="F468" s="277">
        <v>180</v>
      </c>
      <c r="G468" s="3">
        <v>200</v>
      </c>
    </row>
    <row r="469" spans="1:7" s="257" customFormat="1">
      <c r="A469" s="317" t="str">
        <f t="shared" si="7"/>
        <v>I-073-20</v>
      </c>
      <c r="B469" s="277" t="s">
        <v>652</v>
      </c>
      <c r="C469" s="277">
        <v>20</v>
      </c>
      <c r="D469" s="277" t="s">
        <v>1103</v>
      </c>
      <c r="E469" s="276" t="str">
        <f>VLOOKUP(D469, 'S17 Work Stations'!$A$2:$B$45, 2, 0)</f>
        <v>SAW-150-423</v>
      </c>
      <c r="F469" s="277">
        <v>120</v>
      </c>
      <c r="G469" s="3">
        <v>200</v>
      </c>
    </row>
    <row r="470" spans="1:7" s="257" customFormat="1">
      <c r="A470" s="317" t="str">
        <f t="shared" si="7"/>
        <v>I-073-10</v>
      </c>
      <c r="B470" s="277" t="s">
        <v>652</v>
      </c>
      <c r="C470" s="277">
        <v>10</v>
      </c>
      <c r="D470" s="277" t="s">
        <v>1112</v>
      </c>
      <c r="E470" s="276" t="str">
        <f>VLOOKUP(D470, 'S17 Work Stations'!$A$2:$B$45, 2, 0)</f>
        <v>RAW-MAT-INV</v>
      </c>
      <c r="F470" s="277">
        <v>120</v>
      </c>
      <c r="G470" s="3">
        <v>200</v>
      </c>
    </row>
    <row r="471" spans="1:7" s="257" customFormat="1">
      <c r="A471" s="317" t="str">
        <f t="shared" si="7"/>
        <v>I-073-80</v>
      </c>
      <c r="B471" s="277" t="s">
        <v>652</v>
      </c>
      <c r="C471" s="277">
        <v>80</v>
      </c>
      <c r="D471" s="277" t="s">
        <v>1113</v>
      </c>
      <c r="E471" s="276" t="str">
        <f>VLOOKUP(D471, 'S17 Work Stations'!$A$2:$B$45, 2, 0)</f>
        <v>FIN-GOOD-INV</v>
      </c>
      <c r="F471" s="277">
        <v>240</v>
      </c>
      <c r="G471" s="3">
        <v>200</v>
      </c>
    </row>
    <row r="472" spans="1:7" s="257" customFormat="1">
      <c r="A472" s="317" t="str">
        <f t="shared" si="7"/>
        <v>I-074-30</v>
      </c>
      <c r="B472" s="277" t="s">
        <v>654</v>
      </c>
      <c r="C472" s="277">
        <v>30</v>
      </c>
      <c r="D472" s="277" t="s">
        <v>1046</v>
      </c>
      <c r="E472" s="276" t="str">
        <f>VLOOKUP(D472, 'S17 Work Stations'!$A$2:$B$45, 2, 0)</f>
        <v>TUR-C2-367</v>
      </c>
      <c r="F472" s="277">
        <v>840</v>
      </c>
      <c r="G472" s="3">
        <v>50</v>
      </c>
    </row>
    <row r="473" spans="1:7" s="257" customFormat="1">
      <c r="A473" s="317" t="str">
        <f t="shared" si="7"/>
        <v>I-074-40</v>
      </c>
      <c r="B473" s="277" t="s">
        <v>654</v>
      </c>
      <c r="C473" s="277">
        <v>40</v>
      </c>
      <c r="D473" s="277" t="s">
        <v>1072</v>
      </c>
      <c r="E473" s="276" t="str">
        <f>VLOOKUP(D473, 'S17 Work Stations'!$A$2:$B$45, 2, 0)</f>
        <v>MIL-U1-605</v>
      </c>
      <c r="F473" s="277">
        <v>180</v>
      </c>
      <c r="G473" s="3">
        <v>50</v>
      </c>
    </row>
    <row r="474" spans="1:7" s="257" customFormat="1">
      <c r="A474" s="317" t="str">
        <f t="shared" si="7"/>
        <v>I-074-60</v>
      </c>
      <c r="B474" s="277" t="s">
        <v>654</v>
      </c>
      <c r="C474" s="277">
        <v>60</v>
      </c>
      <c r="D474" s="277" t="s">
        <v>1083</v>
      </c>
      <c r="E474" s="276" t="str">
        <f>VLOOKUP(D474, 'S17 Work Stations'!$A$2:$B$45, 2, 0)</f>
        <v>GR-T1-203</v>
      </c>
      <c r="F474" s="277">
        <v>480</v>
      </c>
      <c r="G474" s="3">
        <v>50</v>
      </c>
    </row>
    <row r="475" spans="1:7" s="257" customFormat="1">
      <c r="A475" s="317" t="str">
        <f t="shared" si="7"/>
        <v>I-074-50</v>
      </c>
      <c r="B475" s="277" t="s">
        <v>654</v>
      </c>
      <c r="C475" s="277">
        <v>50</v>
      </c>
      <c r="D475" s="277" t="s">
        <v>1085</v>
      </c>
      <c r="E475" s="276" t="str">
        <f>VLOOKUP(D475, 'S17 Work Stations'!$A$2:$B$45, 2, 0)</f>
        <v>DR-T3-204</v>
      </c>
      <c r="F475" s="277">
        <v>300</v>
      </c>
      <c r="G475" s="3">
        <v>50</v>
      </c>
    </row>
    <row r="476" spans="1:7" s="257" customFormat="1">
      <c r="A476" s="317" t="str">
        <f t="shared" si="7"/>
        <v>I-074-70</v>
      </c>
      <c r="B476" s="277" t="s">
        <v>654</v>
      </c>
      <c r="C476" s="277">
        <v>70</v>
      </c>
      <c r="D476" s="277" t="s">
        <v>1093</v>
      </c>
      <c r="E476" s="276" t="str">
        <f>VLOOKUP(D476, 'S17 Work Stations'!$A$2:$B$45, 2, 0)</f>
        <v>SAW-30-150-251</v>
      </c>
      <c r="F476" s="277">
        <v>300</v>
      </c>
      <c r="G476" s="3">
        <v>50</v>
      </c>
    </row>
    <row r="477" spans="1:7" s="257" customFormat="1">
      <c r="A477" s="317" t="str">
        <f t="shared" si="7"/>
        <v>I-074-20</v>
      </c>
      <c r="B477" s="277" t="s">
        <v>654</v>
      </c>
      <c r="C477" s="277">
        <v>20</v>
      </c>
      <c r="D477" s="277" t="s">
        <v>1103</v>
      </c>
      <c r="E477" s="276" t="str">
        <f>VLOOKUP(D477, 'S17 Work Stations'!$A$2:$B$45, 2, 0)</f>
        <v>SAW-150-423</v>
      </c>
      <c r="F477" s="277">
        <v>120</v>
      </c>
      <c r="G477" s="3">
        <v>50</v>
      </c>
    </row>
    <row r="478" spans="1:7" s="257" customFormat="1">
      <c r="A478" s="317" t="str">
        <f t="shared" si="7"/>
        <v>I-074-10</v>
      </c>
      <c r="B478" s="277" t="s">
        <v>654</v>
      </c>
      <c r="C478" s="277">
        <v>10</v>
      </c>
      <c r="D478" s="277" t="s">
        <v>1112</v>
      </c>
      <c r="E478" s="276" t="str">
        <f>VLOOKUP(D478, 'S17 Work Stations'!$A$2:$B$45, 2, 0)</f>
        <v>RAW-MAT-INV</v>
      </c>
      <c r="F478" s="277">
        <v>0</v>
      </c>
      <c r="G478" s="3">
        <v>50</v>
      </c>
    </row>
    <row r="479" spans="1:7" s="257" customFormat="1">
      <c r="A479" s="317" t="str">
        <f t="shared" si="7"/>
        <v>I-074-80</v>
      </c>
      <c r="B479" s="277" t="s">
        <v>654</v>
      </c>
      <c r="C479" s="277">
        <v>80</v>
      </c>
      <c r="D479" s="277" t="s">
        <v>1113</v>
      </c>
      <c r="E479" s="276" t="str">
        <f>VLOOKUP(D479, 'S17 Work Stations'!$A$2:$B$45, 2, 0)</f>
        <v>FIN-GOOD-INV</v>
      </c>
      <c r="F479" s="277">
        <v>300</v>
      </c>
      <c r="G479" s="3">
        <v>50</v>
      </c>
    </row>
    <row r="480" spans="1:7" s="257" customFormat="1">
      <c r="A480" s="317" t="str">
        <f t="shared" si="7"/>
        <v>I-075-30</v>
      </c>
      <c r="B480" s="277" t="s">
        <v>656</v>
      </c>
      <c r="C480" s="277">
        <v>30</v>
      </c>
      <c r="D480" s="277" t="s">
        <v>1034</v>
      </c>
      <c r="E480" s="276" t="str">
        <f>VLOOKUP(D480, 'S17 Work Stations'!$A$2:$B$45, 2, 0)</f>
        <v>MIL-AB-361</v>
      </c>
      <c r="F480" s="277">
        <v>960</v>
      </c>
      <c r="G480" s="3">
        <v>50</v>
      </c>
    </row>
    <row r="481" spans="1:7" s="257" customFormat="1">
      <c r="A481" s="317" t="str">
        <f t="shared" si="7"/>
        <v>I-075-50</v>
      </c>
      <c r="B481" s="277" t="s">
        <v>656</v>
      </c>
      <c r="C481" s="277">
        <v>50</v>
      </c>
      <c r="D481" s="277" t="s">
        <v>1076</v>
      </c>
      <c r="E481" s="276" t="str">
        <f>VLOOKUP(D481, 'S17 Work Stations'!$A$2:$B$45, 2, 0)</f>
        <v>MIL-U2-607</v>
      </c>
      <c r="F481" s="277">
        <v>720</v>
      </c>
      <c r="G481" s="3">
        <v>200</v>
      </c>
    </row>
    <row r="482" spans="1:7" s="257" customFormat="1">
      <c r="A482" s="317" t="str">
        <f t="shared" si="7"/>
        <v>I-075-40</v>
      </c>
      <c r="B482" s="277" t="s">
        <v>656</v>
      </c>
      <c r="C482" s="277">
        <v>40</v>
      </c>
      <c r="D482" s="277" t="s">
        <v>1085</v>
      </c>
      <c r="E482" s="276" t="str">
        <f>VLOOKUP(D482, 'S17 Work Stations'!$A$2:$B$45, 2, 0)</f>
        <v>DR-T3-204</v>
      </c>
      <c r="F482" s="277">
        <v>480</v>
      </c>
      <c r="G482" s="3">
        <v>200</v>
      </c>
    </row>
    <row r="483" spans="1:7" s="257" customFormat="1">
      <c r="A483" s="317" t="str">
        <f t="shared" si="7"/>
        <v>I-075-60</v>
      </c>
      <c r="B483" s="277" t="s">
        <v>656</v>
      </c>
      <c r="C483" s="277">
        <v>60</v>
      </c>
      <c r="D483" s="277" t="s">
        <v>1093</v>
      </c>
      <c r="E483" s="276" t="str">
        <f>VLOOKUP(D483, 'S17 Work Stations'!$A$2:$B$45, 2, 0)</f>
        <v>SAW-30-150-251</v>
      </c>
      <c r="F483" s="277">
        <v>720</v>
      </c>
      <c r="G483" s="3">
        <v>200</v>
      </c>
    </row>
    <row r="484" spans="1:7" s="257" customFormat="1">
      <c r="A484" s="317" t="str">
        <f t="shared" si="7"/>
        <v>I-075-20</v>
      </c>
      <c r="B484" s="277" t="s">
        <v>656</v>
      </c>
      <c r="C484" s="277">
        <v>20</v>
      </c>
      <c r="D484" s="277" t="s">
        <v>1103</v>
      </c>
      <c r="E484" s="276" t="str">
        <f>VLOOKUP(D484, 'S17 Work Stations'!$A$2:$B$45, 2, 0)</f>
        <v>SAW-150-423</v>
      </c>
      <c r="F484" s="277">
        <v>120</v>
      </c>
      <c r="G484" s="3">
        <v>200</v>
      </c>
    </row>
    <row r="485" spans="1:7" s="257" customFormat="1">
      <c r="A485" s="317" t="str">
        <f t="shared" si="7"/>
        <v>I-075-70</v>
      </c>
      <c r="B485" s="277" t="s">
        <v>656</v>
      </c>
      <c r="C485" s="277">
        <v>70</v>
      </c>
      <c r="D485" s="277" t="s">
        <v>1111</v>
      </c>
      <c r="E485" s="276" t="str">
        <f>VLOOKUP(D485, 'S17 Work Stations'!$A$2:$B$45, 2, 0)</f>
        <v>TEMP-A01-202</v>
      </c>
      <c r="F485" s="277">
        <v>300</v>
      </c>
      <c r="G485" s="3">
        <v>200</v>
      </c>
    </row>
    <row r="486" spans="1:7" s="257" customFormat="1">
      <c r="A486" s="317" t="str">
        <f t="shared" si="7"/>
        <v>I-075-10</v>
      </c>
      <c r="B486" s="277" t="s">
        <v>656</v>
      </c>
      <c r="C486" s="277">
        <v>10</v>
      </c>
      <c r="D486" s="277" t="s">
        <v>1112</v>
      </c>
      <c r="E486" s="276" t="str">
        <f>VLOOKUP(D486, 'S17 Work Stations'!$A$2:$B$45, 2, 0)</f>
        <v>RAW-MAT-INV</v>
      </c>
      <c r="F486" s="277">
        <v>0</v>
      </c>
      <c r="G486" s="3">
        <v>200</v>
      </c>
    </row>
    <row r="487" spans="1:7" s="257" customFormat="1">
      <c r="A487" s="317" t="str">
        <f t="shared" si="7"/>
        <v>I-075-80</v>
      </c>
      <c r="B487" s="277" t="s">
        <v>656</v>
      </c>
      <c r="C487" s="277">
        <v>80</v>
      </c>
      <c r="D487" s="277" t="s">
        <v>1113</v>
      </c>
      <c r="E487" s="276" t="str">
        <f>VLOOKUP(D487, 'S17 Work Stations'!$A$2:$B$45, 2, 0)</f>
        <v>FIN-GOOD-INV</v>
      </c>
      <c r="F487" s="277">
        <v>0</v>
      </c>
      <c r="G487" s="3">
        <v>200</v>
      </c>
    </row>
    <row r="488" spans="1:7" s="257" customFormat="1">
      <c r="A488" s="317" t="str">
        <f t="shared" si="7"/>
        <v>I-076-30</v>
      </c>
      <c r="B488" s="277" t="s">
        <v>658</v>
      </c>
      <c r="C488" s="277">
        <v>30</v>
      </c>
      <c r="D488" s="277" t="s">
        <v>1034</v>
      </c>
      <c r="E488" s="276" t="str">
        <f>VLOOKUP(D488, 'S17 Work Stations'!$A$2:$B$45, 2, 0)</f>
        <v>MIL-AB-361</v>
      </c>
      <c r="F488" s="277">
        <v>1020</v>
      </c>
      <c r="G488" s="3">
        <v>200</v>
      </c>
    </row>
    <row r="489" spans="1:7" s="257" customFormat="1">
      <c r="A489" s="317" t="str">
        <f t="shared" si="7"/>
        <v>I-076-50</v>
      </c>
      <c r="B489" s="277" t="s">
        <v>658</v>
      </c>
      <c r="C489" s="277">
        <v>50</v>
      </c>
      <c r="D489" s="277" t="s">
        <v>1076</v>
      </c>
      <c r="E489" s="276" t="str">
        <f>VLOOKUP(D489, 'S17 Work Stations'!$A$2:$B$45, 2, 0)</f>
        <v>MIL-U2-607</v>
      </c>
      <c r="F489" s="277">
        <v>360</v>
      </c>
      <c r="G489" s="3">
        <v>200</v>
      </c>
    </row>
    <row r="490" spans="1:7" s="257" customFormat="1">
      <c r="A490" s="317" t="str">
        <f t="shared" si="7"/>
        <v>I-076-40</v>
      </c>
      <c r="B490" s="277" t="s">
        <v>658</v>
      </c>
      <c r="C490" s="277">
        <v>40</v>
      </c>
      <c r="D490" s="277" t="s">
        <v>1085</v>
      </c>
      <c r="E490" s="276" t="str">
        <f>VLOOKUP(D490, 'S17 Work Stations'!$A$2:$B$45, 2, 0)</f>
        <v>DR-T3-204</v>
      </c>
      <c r="F490" s="277">
        <v>480</v>
      </c>
      <c r="G490" s="3">
        <v>200</v>
      </c>
    </row>
    <row r="491" spans="1:7" s="257" customFormat="1">
      <c r="A491" s="317" t="str">
        <f t="shared" si="7"/>
        <v>I-076-60</v>
      </c>
      <c r="B491" s="277" t="s">
        <v>658</v>
      </c>
      <c r="C491" s="277">
        <v>60</v>
      </c>
      <c r="D491" s="277" t="s">
        <v>1093</v>
      </c>
      <c r="E491" s="276" t="str">
        <f>VLOOKUP(D491, 'S17 Work Stations'!$A$2:$B$45, 2, 0)</f>
        <v>SAW-30-150-251</v>
      </c>
      <c r="F491" s="277">
        <v>720</v>
      </c>
      <c r="G491" s="3">
        <v>200</v>
      </c>
    </row>
    <row r="492" spans="1:7" s="257" customFormat="1">
      <c r="A492" s="317" t="str">
        <f t="shared" si="7"/>
        <v>I-076-20</v>
      </c>
      <c r="B492" s="277" t="s">
        <v>658</v>
      </c>
      <c r="C492" s="277">
        <v>20</v>
      </c>
      <c r="D492" s="277" t="s">
        <v>1103</v>
      </c>
      <c r="E492" s="276" t="str">
        <f>VLOOKUP(D492, 'S17 Work Stations'!$A$2:$B$45, 2, 0)</f>
        <v>SAW-150-423</v>
      </c>
      <c r="F492" s="277">
        <v>180</v>
      </c>
      <c r="G492" s="3">
        <v>200</v>
      </c>
    </row>
    <row r="493" spans="1:7" s="257" customFormat="1">
      <c r="A493" s="317" t="str">
        <f t="shared" si="7"/>
        <v>I-076-70</v>
      </c>
      <c r="B493" s="277" t="s">
        <v>658</v>
      </c>
      <c r="C493" s="277">
        <v>70</v>
      </c>
      <c r="D493" s="277" t="s">
        <v>1111</v>
      </c>
      <c r="E493" s="276" t="str">
        <f>VLOOKUP(D493, 'S17 Work Stations'!$A$2:$B$45, 2, 0)</f>
        <v>TEMP-A01-202</v>
      </c>
      <c r="F493" s="277">
        <v>300</v>
      </c>
      <c r="G493" s="3">
        <v>200</v>
      </c>
    </row>
    <row r="494" spans="1:7" s="257" customFormat="1">
      <c r="A494" s="317" t="str">
        <f t="shared" si="7"/>
        <v>I-076-10</v>
      </c>
      <c r="B494" s="277" t="s">
        <v>658</v>
      </c>
      <c r="C494" s="277">
        <v>10</v>
      </c>
      <c r="D494" s="277" t="s">
        <v>1112</v>
      </c>
      <c r="E494" s="276" t="str">
        <f>VLOOKUP(D494, 'S17 Work Stations'!$A$2:$B$45, 2, 0)</f>
        <v>RAW-MAT-INV</v>
      </c>
      <c r="F494" s="277">
        <v>0</v>
      </c>
      <c r="G494" s="3">
        <v>200</v>
      </c>
    </row>
    <row r="495" spans="1:7" s="257" customFormat="1">
      <c r="A495" s="317" t="str">
        <f t="shared" si="7"/>
        <v>I-076-80</v>
      </c>
      <c r="B495" s="277" t="s">
        <v>658</v>
      </c>
      <c r="C495" s="277">
        <v>80</v>
      </c>
      <c r="D495" s="277" t="s">
        <v>1113</v>
      </c>
      <c r="E495" s="276" t="str">
        <f>VLOOKUP(D495, 'S17 Work Stations'!$A$2:$B$45, 2, 0)</f>
        <v>FIN-GOOD-INV</v>
      </c>
      <c r="F495" s="277">
        <v>0</v>
      </c>
      <c r="G495" s="3">
        <v>200</v>
      </c>
    </row>
    <row r="496" spans="1:7" s="257" customFormat="1">
      <c r="A496" s="317" t="str">
        <f t="shared" si="7"/>
        <v>I-077-30</v>
      </c>
      <c r="B496" s="277" t="s">
        <v>660</v>
      </c>
      <c r="C496" s="277">
        <v>30</v>
      </c>
      <c r="D496" s="277" t="s">
        <v>1036</v>
      </c>
      <c r="E496" s="276" t="str">
        <f>VLOOKUP(D496, 'S17 Work Stations'!$A$2:$B$45, 2, 0)</f>
        <v>TUR-B2-362</v>
      </c>
      <c r="F496" s="277">
        <v>360</v>
      </c>
      <c r="G496" s="3">
        <v>200</v>
      </c>
    </row>
    <row r="497" spans="1:7" s="257" customFormat="1">
      <c r="A497" s="317" t="str">
        <f t="shared" si="7"/>
        <v>I-077-50</v>
      </c>
      <c r="B497" s="277" t="s">
        <v>660</v>
      </c>
      <c r="C497" s="277">
        <v>50</v>
      </c>
      <c r="D497" s="277" t="s">
        <v>1076</v>
      </c>
      <c r="E497" s="276" t="str">
        <f>VLOOKUP(D497, 'S17 Work Stations'!$A$2:$B$45, 2, 0)</f>
        <v>MIL-U2-607</v>
      </c>
      <c r="F497" s="277">
        <v>360</v>
      </c>
      <c r="G497" s="3">
        <v>200</v>
      </c>
    </row>
    <row r="498" spans="1:7" s="257" customFormat="1">
      <c r="A498" s="317" t="str">
        <f t="shared" si="7"/>
        <v>I-077-40</v>
      </c>
      <c r="B498" s="277" t="s">
        <v>660</v>
      </c>
      <c r="C498" s="277">
        <v>40</v>
      </c>
      <c r="D498" s="277" t="s">
        <v>1082</v>
      </c>
      <c r="E498" s="276" t="str">
        <f>VLOOKUP(D498, 'S17 Work Stations'!$A$2:$B$45, 2, 0)</f>
        <v>DR-2A2-202</v>
      </c>
      <c r="F498" s="277">
        <v>180</v>
      </c>
      <c r="G498" s="3">
        <v>200</v>
      </c>
    </row>
    <row r="499" spans="1:7" s="257" customFormat="1">
      <c r="A499" s="317" t="str">
        <f t="shared" si="7"/>
        <v>I-077-20</v>
      </c>
      <c r="B499" s="277" t="s">
        <v>660</v>
      </c>
      <c r="C499" s="277">
        <v>20</v>
      </c>
      <c r="D499" s="277" t="s">
        <v>1103</v>
      </c>
      <c r="E499" s="276" t="str">
        <f>VLOOKUP(D499, 'S17 Work Stations'!$A$2:$B$45, 2, 0)</f>
        <v>SAW-150-423</v>
      </c>
      <c r="F499" s="277">
        <v>180</v>
      </c>
      <c r="G499" s="3">
        <v>200</v>
      </c>
    </row>
    <row r="500" spans="1:7" s="257" customFormat="1">
      <c r="A500" s="317" t="str">
        <f t="shared" si="7"/>
        <v>I-077-10</v>
      </c>
      <c r="B500" s="277" t="s">
        <v>660</v>
      </c>
      <c r="C500" s="277">
        <v>10</v>
      </c>
      <c r="D500" s="277" t="s">
        <v>1112</v>
      </c>
      <c r="E500" s="276" t="str">
        <f>VLOOKUP(D500, 'S17 Work Stations'!$A$2:$B$45, 2, 0)</f>
        <v>RAW-MAT-INV</v>
      </c>
      <c r="F500" s="277">
        <v>0</v>
      </c>
      <c r="G500" s="3">
        <v>200</v>
      </c>
    </row>
    <row r="501" spans="1:7" s="257" customFormat="1">
      <c r="A501" s="317" t="str">
        <f t="shared" si="7"/>
        <v>I-077-60</v>
      </c>
      <c r="B501" s="277" t="s">
        <v>660</v>
      </c>
      <c r="C501" s="277">
        <v>60</v>
      </c>
      <c r="D501" s="277" t="s">
        <v>1113</v>
      </c>
      <c r="E501" s="276" t="str">
        <f>VLOOKUP(D501, 'S17 Work Stations'!$A$2:$B$45, 2, 0)</f>
        <v>FIN-GOOD-INV</v>
      </c>
      <c r="F501" s="277">
        <v>0</v>
      </c>
      <c r="G501" s="3">
        <v>200</v>
      </c>
    </row>
    <row r="502" spans="1:7" s="257" customFormat="1">
      <c r="A502" s="317" t="str">
        <f t="shared" si="7"/>
        <v>I-078-30</v>
      </c>
      <c r="B502" s="277" t="s">
        <v>662</v>
      </c>
      <c r="C502" s="277">
        <v>30</v>
      </c>
      <c r="D502" s="277" t="s">
        <v>1036</v>
      </c>
      <c r="E502" s="276" t="str">
        <f>VLOOKUP(D502, 'S17 Work Stations'!$A$2:$B$45, 2, 0)</f>
        <v>TUR-B2-362</v>
      </c>
      <c r="F502" s="277">
        <v>480</v>
      </c>
      <c r="G502" s="3">
        <v>200</v>
      </c>
    </row>
    <row r="503" spans="1:7" s="257" customFormat="1">
      <c r="A503" s="317" t="str">
        <f t="shared" si="7"/>
        <v>I-078-50</v>
      </c>
      <c r="B503" s="277" t="s">
        <v>662</v>
      </c>
      <c r="C503" s="277">
        <v>50</v>
      </c>
      <c r="D503" s="277" t="s">
        <v>1076</v>
      </c>
      <c r="E503" s="276" t="str">
        <f>VLOOKUP(D503, 'S17 Work Stations'!$A$2:$B$45, 2, 0)</f>
        <v>MIL-U2-607</v>
      </c>
      <c r="F503" s="277">
        <v>420</v>
      </c>
      <c r="G503" s="3">
        <v>200</v>
      </c>
    </row>
    <row r="504" spans="1:7" s="257" customFormat="1">
      <c r="A504" s="317" t="str">
        <f t="shared" si="7"/>
        <v>I-078-40</v>
      </c>
      <c r="B504" s="277" t="s">
        <v>662</v>
      </c>
      <c r="C504" s="277">
        <v>40</v>
      </c>
      <c r="D504" s="277" t="s">
        <v>1082</v>
      </c>
      <c r="E504" s="276" t="str">
        <f>VLOOKUP(D504, 'S17 Work Stations'!$A$2:$B$45, 2, 0)</f>
        <v>DR-2A2-202</v>
      </c>
      <c r="F504" s="277">
        <v>180</v>
      </c>
      <c r="G504" s="3">
        <v>200</v>
      </c>
    </row>
    <row r="505" spans="1:7" s="257" customFormat="1">
      <c r="A505" s="317" t="str">
        <f t="shared" si="7"/>
        <v>I-078-20</v>
      </c>
      <c r="B505" s="277" t="s">
        <v>662</v>
      </c>
      <c r="C505" s="277">
        <v>20</v>
      </c>
      <c r="D505" s="277" t="s">
        <v>1105</v>
      </c>
      <c r="E505" s="276" t="str">
        <f>VLOOKUP(D505, 'S17 Work Stations'!$A$2:$B$45, 2, 0)</f>
        <v>SAW-400-424</v>
      </c>
      <c r="F505" s="277">
        <v>60</v>
      </c>
      <c r="G505" s="3">
        <v>200</v>
      </c>
    </row>
    <row r="506" spans="1:7" s="257" customFormat="1">
      <c r="A506" s="317" t="str">
        <f t="shared" si="7"/>
        <v>I-078-10</v>
      </c>
      <c r="B506" s="277" t="s">
        <v>662</v>
      </c>
      <c r="C506" s="277">
        <v>10</v>
      </c>
      <c r="D506" s="277" t="s">
        <v>1112</v>
      </c>
      <c r="E506" s="276" t="str">
        <f>VLOOKUP(D506, 'S17 Work Stations'!$A$2:$B$45, 2, 0)</f>
        <v>RAW-MAT-INV</v>
      </c>
      <c r="F506" s="277">
        <v>0</v>
      </c>
      <c r="G506" s="3">
        <v>200</v>
      </c>
    </row>
    <row r="507" spans="1:7" s="257" customFormat="1">
      <c r="A507" s="317" t="str">
        <f t="shared" si="7"/>
        <v>I-078-60</v>
      </c>
      <c r="B507" s="277" t="s">
        <v>662</v>
      </c>
      <c r="C507" s="277">
        <v>60</v>
      </c>
      <c r="D507" s="277" t="s">
        <v>1113</v>
      </c>
      <c r="E507" s="276" t="str">
        <f>VLOOKUP(D507, 'S17 Work Stations'!$A$2:$B$45, 2, 0)</f>
        <v>FIN-GOOD-INV</v>
      </c>
      <c r="F507" s="277">
        <v>0</v>
      </c>
      <c r="G507" s="3">
        <v>200</v>
      </c>
    </row>
    <row r="508" spans="1:7" s="257" customFormat="1">
      <c r="A508" s="317" t="str">
        <f t="shared" si="7"/>
        <v>I-079-30</v>
      </c>
      <c r="B508" s="277" t="s">
        <v>664</v>
      </c>
      <c r="C508" s="277">
        <v>30</v>
      </c>
      <c r="D508" s="277" t="s">
        <v>1034</v>
      </c>
      <c r="E508" s="276" t="str">
        <f>VLOOKUP(D508, 'S17 Work Stations'!$A$2:$B$45, 2, 0)</f>
        <v>MIL-AB-361</v>
      </c>
      <c r="F508" s="277">
        <v>660</v>
      </c>
      <c r="G508" s="3">
        <v>200</v>
      </c>
    </row>
    <row r="509" spans="1:7" s="257" customFormat="1">
      <c r="A509" s="317" t="str">
        <f t="shared" si="7"/>
        <v>I-079-50</v>
      </c>
      <c r="B509" s="277" t="s">
        <v>664</v>
      </c>
      <c r="C509" s="277">
        <v>50</v>
      </c>
      <c r="D509" s="277" t="s">
        <v>1076</v>
      </c>
      <c r="E509" s="276" t="str">
        <f>VLOOKUP(D509, 'S17 Work Stations'!$A$2:$B$45, 2, 0)</f>
        <v>MIL-U2-607</v>
      </c>
      <c r="F509" s="277">
        <v>420</v>
      </c>
      <c r="G509" s="3">
        <v>200</v>
      </c>
    </row>
    <row r="510" spans="1:7" s="257" customFormat="1">
      <c r="A510" s="317" t="str">
        <f t="shared" si="7"/>
        <v>I-079-40</v>
      </c>
      <c r="B510" s="277" t="s">
        <v>664</v>
      </c>
      <c r="C510" s="277">
        <v>40</v>
      </c>
      <c r="D510" s="277" t="s">
        <v>1094</v>
      </c>
      <c r="E510" s="276" t="str">
        <f>VLOOKUP(D510, 'S17 Work Stations'!$A$2:$B$45, 2, 0)</f>
        <v>SAW-50-150-252</v>
      </c>
      <c r="F510" s="277">
        <v>480</v>
      </c>
      <c r="G510" s="3">
        <v>200</v>
      </c>
    </row>
    <row r="511" spans="1:7" s="257" customFormat="1">
      <c r="A511" s="317" t="str">
        <f t="shared" si="7"/>
        <v>I-079-20</v>
      </c>
      <c r="B511" s="277" t="s">
        <v>664</v>
      </c>
      <c r="C511" s="277">
        <v>20</v>
      </c>
      <c r="D511" s="277" t="s">
        <v>1103</v>
      </c>
      <c r="E511" s="276" t="str">
        <f>VLOOKUP(D511, 'S17 Work Stations'!$A$2:$B$45, 2, 0)</f>
        <v>SAW-150-423</v>
      </c>
      <c r="F511" s="277">
        <v>120</v>
      </c>
      <c r="G511" s="3">
        <v>200</v>
      </c>
    </row>
    <row r="512" spans="1:7" s="257" customFormat="1">
      <c r="A512" s="317" t="str">
        <f t="shared" si="7"/>
        <v>I-079-10</v>
      </c>
      <c r="B512" s="277" t="s">
        <v>664</v>
      </c>
      <c r="C512" s="277">
        <v>10</v>
      </c>
      <c r="D512" s="277" t="s">
        <v>1112</v>
      </c>
      <c r="E512" s="276" t="str">
        <f>VLOOKUP(D512, 'S17 Work Stations'!$A$2:$B$45, 2, 0)</f>
        <v>RAW-MAT-INV</v>
      </c>
      <c r="F512" s="277">
        <v>0</v>
      </c>
      <c r="G512" s="3">
        <v>200</v>
      </c>
    </row>
    <row r="513" spans="1:7" s="257" customFormat="1">
      <c r="A513" s="317" t="str">
        <f t="shared" si="7"/>
        <v>I-079-60</v>
      </c>
      <c r="B513" s="277" t="s">
        <v>664</v>
      </c>
      <c r="C513" s="277">
        <v>60</v>
      </c>
      <c r="D513" s="277" t="s">
        <v>1113</v>
      </c>
      <c r="E513" s="276" t="str">
        <f>VLOOKUP(D513, 'S17 Work Stations'!$A$2:$B$45, 2, 0)</f>
        <v>FIN-GOOD-INV</v>
      </c>
      <c r="F513" s="277">
        <v>0</v>
      </c>
      <c r="G513" s="3">
        <v>200</v>
      </c>
    </row>
    <row r="514" spans="1:7" s="257" customFormat="1">
      <c r="A514" s="317" t="str">
        <f t="shared" ref="A514:A534" si="8">B514&amp;"-"&amp;C514</f>
        <v>I-080-30</v>
      </c>
      <c r="B514" s="277" t="s">
        <v>666</v>
      </c>
      <c r="C514" s="277">
        <v>30</v>
      </c>
      <c r="D514" s="277" t="s">
        <v>1036</v>
      </c>
      <c r="E514" s="276" t="str">
        <f>VLOOKUP(D514, 'S17 Work Stations'!$A$2:$B$45, 2, 0)</f>
        <v>TUR-B2-362</v>
      </c>
      <c r="F514" s="277">
        <v>360</v>
      </c>
      <c r="G514" s="3">
        <v>200</v>
      </c>
    </row>
    <row r="515" spans="1:7" s="257" customFormat="1">
      <c r="A515" s="317" t="str">
        <f t="shared" si="8"/>
        <v>I-080-50</v>
      </c>
      <c r="B515" s="277" t="s">
        <v>666</v>
      </c>
      <c r="C515" s="277">
        <v>50</v>
      </c>
      <c r="D515" s="277" t="s">
        <v>1076</v>
      </c>
      <c r="E515" s="276" t="str">
        <f>VLOOKUP(D515, 'S17 Work Stations'!$A$2:$B$45, 2, 0)</f>
        <v>MIL-U2-607</v>
      </c>
      <c r="F515" s="277">
        <v>480</v>
      </c>
      <c r="G515" s="3">
        <v>200</v>
      </c>
    </row>
    <row r="516" spans="1:7" s="257" customFormat="1">
      <c r="A516" s="317" t="str">
        <f t="shared" si="8"/>
        <v>I-080-40</v>
      </c>
      <c r="B516" s="277" t="s">
        <v>666</v>
      </c>
      <c r="C516" s="277">
        <v>40</v>
      </c>
      <c r="D516" s="277" t="s">
        <v>1094</v>
      </c>
      <c r="E516" s="276" t="str">
        <f>VLOOKUP(D516, 'S17 Work Stations'!$A$2:$B$45, 2, 0)</f>
        <v>SAW-50-150-252</v>
      </c>
      <c r="F516" s="277">
        <v>480</v>
      </c>
      <c r="G516" s="3">
        <v>200</v>
      </c>
    </row>
    <row r="517" spans="1:7" s="257" customFormat="1">
      <c r="A517" s="317" t="str">
        <f t="shared" si="8"/>
        <v>I-080-20</v>
      </c>
      <c r="B517" s="277" t="s">
        <v>666</v>
      </c>
      <c r="C517" s="277">
        <v>20</v>
      </c>
      <c r="D517" s="277" t="s">
        <v>1105</v>
      </c>
      <c r="E517" s="276" t="str">
        <f>VLOOKUP(D517, 'S17 Work Stations'!$A$2:$B$45, 2, 0)</f>
        <v>SAW-400-424</v>
      </c>
      <c r="F517" s="277">
        <v>120</v>
      </c>
      <c r="G517" s="3">
        <v>200</v>
      </c>
    </row>
    <row r="518" spans="1:7" s="257" customFormat="1">
      <c r="A518" s="317" t="str">
        <f t="shared" si="8"/>
        <v>I-080-10</v>
      </c>
      <c r="B518" s="277" t="s">
        <v>666</v>
      </c>
      <c r="C518" s="277">
        <v>10</v>
      </c>
      <c r="D518" s="277" t="s">
        <v>1112</v>
      </c>
      <c r="E518" s="276" t="str">
        <f>VLOOKUP(D518, 'S17 Work Stations'!$A$2:$B$45, 2, 0)</f>
        <v>RAW-MAT-INV</v>
      </c>
      <c r="F518" s="277">
        <v>0</v>
      </c>
      <c r="G518" s="3">
        <v>200</v>
      </c>
    </row>
    <row r="519" spans="1:7" s="257" customFormat="1">
      <c r="A519" s="317" t="str">
        <f t="shared" si="8"/>
        <v>I-080-60</v>
      </c>
      <c r="B519" s="277" t="s">
        <v>666</v>
      </c>
      <c r="C519" s="277">
        <v>60</v>
      </c>
      <c r="D519" s="277" t="s">
        <v>1113</v>
      </c>
      <c r="E519" s="276" t="str">
        <f>VLOOKUP(D519, 'S17 Work Stations'!$A$2:$B$45, 2, 0)</f>
        <v>FIN-GOOD-INV</v>
      </c>
      <c r="F519" s="277">
        <v>0</v>
      </c>
      <c r="G519" s="3">
        <v>200</v>
      </c>
    </row>
    <row r="520" spans="1:7" s="257" customFormat="1">
      <c r="A520" s="317" t="str">
        <f t="shared" si="8"/>
        <v>I-081-30</v>
      </c>
      <c r="B520" s="277" t="s">
        <v>668</v>
      </c>
      <c r="C520" s="277">
        <v>30</v>
      </c>
      <c r="D520" s="277" t="s">
        <v>1034</v>
      </c>
      <c r="E520" s="276" t="str">
        <f>VLOOKUP(D520, 'S17 Work Stations'!$A$2:$B$45, 2, 0)</f>
        <v>MIL-AB-361</v>
      </c>
      <c r="F520" s="277">
        <v>600</v>
      </c>
      <c r="G520" s="3">
        <v>200</v>
      </c>
    </row>
    <row r="521" spans="1:7" s="257" customFormat="1">
      <c r="A521" s="317" t="str">
        <f t="shared" si="8"/>
        <v>I-081-40</v>
      </c>
      <c r="B521" s="277" t="s">
        <v>668</v>
      </c>
      <c r="C521" s="277">
        <v>40</v>
      </c>
      <c r="D521" s="277" t="s">
        <v>1094</v>
      </c>
      <c r="E521" s="276" t="str">
        <f>VLOOKUP(D521, 'S17 Work Stations'!$A$2:$B$45, 2, 0)</f>
        <v>SAW-50-150-252</v>
      </c>
      <c r="F521" s="277">
        <v>480</v>
      </c>
      <c r="G521" s="3">
        <v>200</v>
      </c>
    </row>
    <row r="522" spans="1:7" s="257" customFormat="1">
      <c r="A522" s="317" t="str">
        <f t="shared" si="8"/>
        <v>I-081-20</v>
      </c>
      <c r="B522" s="277" t="s">
        <v>668</v>
      </c>
      <c r="C522" s="277">
        <v>20</v>
      </c>
      <c r="D522" s="277" t="s">
        <v>1105</v>
      </c>
      <c r="E522" s="276" t="str">
        <f>VLOOKUP(D522, 'S17 Work Stations'!$A$2:$B$45, 2, 0)</f>
        <v>SAW-400-424</v>
      </c>
      <c r="F522" s="277">
        <v>180</v>
      </c>
      <c r="G522" s="3">
        <v>200</v>
      </c>
    </row>
    <row r="523" spans="1:7" s="257" customFormat="1">
      <c r="A523" s="317" t="str">
        <f t="shared" si="8"/>
        <v>I-081-10</v>
      </c>
      <c r="B523" s="277" t="s">
        <v>668</v>
      </c>
      <c r="C523" s="277">
        <v>10</v>
      </c>
      <c r="D523" s="277" t="s">
        <v>1112</v>
      </c>
      <c r="E523" s="276" t="str">
        <f>VLOOKUP(D523, 'S17 Work Stations'!$A$2:$B$45, 2, 0)</f>
        <v>RAW-MAT-INV</v>
      </c>
      <c r="F523" s="277">
        <v>0</v>
      </c>
      <c r="G523" s="3">
        <v>200</v>
      </c>
    </row>
    <row r="524" spans="1:7" s="257" customFormat="1">
      <c r="A524" s="317" t="str">
        <f t="shared" si="8"/>
        <v>I-081-50</v>
      </c>
      <c r="B524" s="277" t="s">
        <v>668</v>
      </c>
      <c r="C524" s="277">
        <v>50</v>
      </c>
      <c r="D524" s="277" t="s">
        <v>1113</v>
      </c>
      <c r="E524" s="276" t="str">
        <f>VLOOKUP(D524, 'S17 Work Stations'!$A$2:$B$45, 2, 0)</f>
        <v>FIN-GOOD-INV</v>
      </c>
      <c r="F524" s="277">
        <v>0</v>
      </c>
      <c r="G524" s="3">
        <v>200</v>
      </c>
    </row>
    <row r="525" spans="1:7" s="257" customFormat="1">
      <c r="A525" s="317" t="str">
        <f t="shared" si="8"/>
        <v>I-082-30</v>
      </c>
      <c r="B525" s="277" t="s">
        <v>670</v>
      </c>
      <c r="C525" s="277">
        <v>30</v>
      </c>
      <c r="D525" s="277" t="s">
        <v>1034</v>
      </c>
      <c r="E525" s="276" t="str">
        <f>VLOOKUP(D525, 'S17 Work Stations'!$A$2:$B$45, 2, 0)</f>
        <v>MIL-AB-361</v>
      </c>
      <c r="F525" s="277">
        <v>960</v>
      </c>
      <c r="G525" s="3">
        <v>200</v>
      </c>
    </row>
    <row r="526" spans="1:7" s="257" customFormat="1">
      <c r="A526" s="317" t="str">
        <f t="shared" si="8"/>
        <v>I-082-40</v>
      </c>
      <c r="B526" s="277" t="s">
        <v>670</v>
      </c>
      <c r="C526" s="277">
        <v>40</v>
      </c>
      <c r="D526" s="277" t="s">
        <v>1094</v>
      </c>
      <c r="E526" s="276" t="str">
        <f>VLOOKUP(D526, 'S17 Work Stations'!$A$2:$B$45, 2, 0)</f>
        <v>SAW-50-150-252</v>
      </c>
      <c r="F526" s="277">
        <v>600</v>
      </c>
      <c r="G526" s="3">
        <v>200</v>
      </c>
    </row>
    <row r="527" spans="1:7" s="257" customFormat="1">
      <c r="A527" s="317" t="str">
        <f t="shared" si="8"/>
        <v>I-082-20</v>
      </c>
      <c r="B527" s="277" t="s">
        <v>670</v>
      </c>
      <c r="C527" s="277">
        <v>20</v>
      </c>
      <c r="D527" s="277" t="s">
        <v>1107</v>
      </c>
      <c r="E527" s="276" t="str">
        <f>VLOOKUP(D527, 'S17 Work Stations'!$A$2:$B$45, 2, 0)</f>
        <v>SAW-CNC-40-425</v>
      </c>
      <c r="F527" s="277">
        <v>180</v>
      </c>
      <c r="G527" s="3">
        <v>200</v>
      </c>
    </row>
    <row r="528" spans="1:7" s="257" customFormat="1">
      <c r="A528" s="317" t="str">
        <f t="shared" si="8"/>
        <v>I-082-10</v>
      </c>
      <c r="B528" s="277" t="s">
        <v>670</v>
      </c>
      <c r="C528" s="277">
        <v>10</v>
      </c>
      <c r="D528" s="277" t="s">
        <v>1112</v>
      </c>
      <c r="E528" s="276" t="str">
        <f>VLOOKUP(D528, 'S17 Work Stations'!$A$2:$B$45, 2, 0)</f>
        <v>RAW-MAT-INV</v>
      </c>
      <c r="F528" s="277">
        <v>0</v>
      </c>
      <c r="G528" s="3">
        <v>200</v>
      </c>
    </row>
    <row r="529" spans="1:7" s="257" customFormat="1">
      <c r="A529" s="317" t="str">
        <f t="shared" si="8"/>
        <v>I-082-50</v>
      </c>
      <c r="B529" s="277" t="s">
        <v>670</v>
      </c>
      <c r="C529" s="277">
        <v>50</v>
      </c>
      <c r="D529" s="277" t="s">
        <v>1113</v>
      </c>
      <c r="E529" s="276" t="str">
        <f>VLOOKUP(D529, 'S17 Work Stations'!$A$2:$B$45, 2, 0)</f>
        <v>FIN-GOOD-INV</v>
      </c>
      <c r="F529" s="277">
        <v>0</v>
      </c>
      <c r="G529" s="3">
        <v>200</v>
      </c>
    </row>
    <row r="530" spans="1:7" s="257" customFormat="1">
      <c r="A530" s="317" t="str">
        <f t="shared" si="8"/>
        <v>I-083-30</v>
      </c>
      <c r="B530" s="277" t="s">
        <v>672</v>
      </c>
      <c r="C530" s="277">
        <v>30</v>
      </c>
      <c r="D530" s="277" t="s">
        <v>1034</v>
      </c>
      <c r="E530" s="276" t="str">
        <f>VLOOKUP(D530, 'S17 Work Stations'!$A$2:$B$45, 2, 0)</f>
        <v>MIL-AB-361</v>
      </c>
      <c r="F530" s="277">
        <v>600</v>
      </c>
      <c r="G530" s="3">
        <v>200</v>
      </c>
    </row>
    <row r="531" spans="1:7" s="257" customFormat="1">
      <c r="A531" s="317" t="str">
        <f t="shared" si="8"/>
        <v>I-083-40</v>
      </c>
      <c r="B531" s="277" t="s">
        <v>672</v>
      </c>
      <c r="C531" s="277">
        <v>40</v>
      </c>
      <c r="D531" s="277" t="s">
        <v>1094</v>
      </c>
      <c r="E531" s="276" t="str">
        <f>VLOOKUP(D531, 'S17 Work Stations'!$A$2:$B$45, 2, 0)</f>
        <v>SAW-50-150-252</v>
      </c>
      <c r="F531" s="277">
        <v>180</v>
      </c>
      <c r="G531" s="3">
        <v>200</v>
      </c>
    </row>
    <row r="532" spans="1:7" s="257" customFormat="1">
      <c r="A532" s="317" t="str">
        <f t="shared" si="8"/>
        <v>I-083-20</v>
      </c>
      <c r="B532" s="277" t="s">
        <v>672</v>
      </c>
      <c r="C532" s="277">
        <v>20</v>
      </c>
      <c r="D532" s="277" t="s">
        <v>1105</v>
      </c>
      <c r="E532" s="276" t="str">
        <f>VLOOKUP(D532, 'S17 Work Stations'!$A$2:$B$45, 2, 0)</f>
        <v>SAW-400-424</v>
      </c>
      <c r="F532" s="277">
        <v>60</v>
      </c>
      <c r="G532" s="3">
        <v>200</v>
      </c>
    </row>
    <row r="533" spans="1:7" s="257" customFormat="1">
      <c r="A533" s="317" t="str">
        <f t="shared" si="8"/>
        <v>I-083-10</v>
      </c>
      <c r="B533" s="277" t="s">
        <v>672</v>
      </c>
      <c r="C533" s="277">
        <v>10</v>
      </c>
      <c r="D533" s="277" t="s">
        <v>1112</v>
      </c>
      <c r="E533" s="276" t="str">
        <f>VLOOKUP(D533, 'S17 Work Stations'!$A$2:$B$45, 2, 0)</f>
        <v>RAW-MAT-INV</v>
      </c>
      <c r="F533" s="277">
        <v>0</v>
      </c>
      <c r="G533" s="3">
        <v>200</v>
      </c>
    </row>
    <row r="534" spans="1:7" s="257" customFormat="1">
      <c r="A534" s="317" t="str">
        <f t="shared" si="8"/>
        <v>I-083-50</v>
      </c>
      <c r="B534" s="277" t="s">
        <v>672</v>
      </c>
      <c r="C534" s="277">
        <v>50</v>
      </c>
      <c r="D534" s="277" t="s">
        <v>1113</v>
      </c>
      <c r="E534" s="276" t="str">
        <f>VLOOKUP(D534, 'S17 Work Stations'!$A$2:$B$45, 2, 0)</f>
        <v>FIN-GOOD-INV</v>
      </c>
      <c r="F534" s="277">
        <v>0</v>
      </c>
      <c r="G534" s="3">
        <v>200</v>
      </c>
    </row>
  </sheetData>
  <autoFilter ref="A1:G534" xr:uid="{F418BDAE-2EC1-A54E-9570-A69C6A8D6ADC}"/>
  <pageMargins left="0.7" right="0.7" top="0.75" bottom="0.75" header="0.3" footer="0.3"/>
  <pageSetup orientation="portrait" horizontalDpi="4294967293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B23B9-3703-5F41-A675-8D7494ABED2E}">
  <sheetPr codeName="Sheet13"/>
  <dimension ref="A1:I18"/>
  <sheetViews>
    <sheetView workbookViewId="0">
      <selection activeCell="A12" sqref="A12"/>
    </sheetView>
  </sheetViews>
  <sheetFormatPr defaultColWidth="11" defaultRowHeight="15.5"/>
  <cols>
    <col min="1" max="9" width="16.1640625" customWidth="1"/>
  </cols>
  <sheetData>
    <row r="1" spans="1:9" ht="16" thickBot="1">
      <c r="B1" s="441" t="s">
        <v>1117</v>
      </c>
      <c r="C1" s="442"/>
      <c r="D1" s="442"/>
      <c r="E1" s="442"/>
      <c r="F1" s="442"/>
      <c r="G1" s="442"/>
      <c r="H1" s="442"/>
      <c r="I1" s="443"/>
    </row>
    <row r="2" spans="1:9" ht="16" thickBot="1">
      <c r="A2" s="278" t="s">
        <v>505</v>
      </c>
      <c r="B2" s="279">
        <v>10</v>
      </c>
      <c r="C2" s="280">
        <v>20</v>
      </c>
      <c r="D2" s="280">
        <v>30</v>
      </c>
      <c r="E2" s="280">
        <v>40</v>
      </c>
      <c r="F2" s="280">
        <v>50</v>
      </c>
      <c r="G2" s="280">
        <v>60</v>
      </c>
      <c r="H2" s="280">
        <v>70</v>
      </c>
      <c r="I2" s="281">
        <v>80</v>
      </c>
    </row>
    <row r="3" spans="1:9">
      <c r="A3" s="282" t="str">
        <f>'S14 ABC Output'!A3</f>
        <v>I-010</v>
      </c>
      <c r="B3" s="283" t="str">
        <f>IFERROR(VLOOKUP($A3&amp;"-"&amp;B$2, 'S18 Operations'!$A$2:$D$534, 4,0), "")</f>
        <v>WS-43</v>
      </c>
      <c r="C3" s="283" t="str">
        <f>IFERROR(VLOOKUP($A3&amp;"-"&amp;C$2, 'S18 Operations'!$A$2:$D$534, 4,0), "")</f>
        <v>WS-40</v>
      </c>
      <c r="D3" s="283" t="str">
        <f>IFERROR(VLOOKUP($A3&amp;"-"&amp;D$2, 'S18 Operations'!$A$2:$D$534, 4,0), "")</f>
        <v>WS-02</v>
      </c>
      <c r="E3" s="283" t="str">
        <f>IFERROR(VLOOKUP($A3&amp;"-"&amp;E$2, 'S18 Operations'!$A$2:$D$534, 4,0), "")</f>
        <v>WS-18</v>
      </c>
      <c r="F3" s="283" t="str">
        <f>IFERROR(VLOOKUP($A3&amp;"-"&amp;F$2, 'S18 Operations'!$A$2:$D$534, 4,0), "")</f>
        <v>WS-24</v>
      </c>
      <c r="G3" s="283" t="str">
        <f>IFERROR(VLOOKUP($A3&amp;"-"&amp;G$2, 'S18 Operations'!$A$2:$D$534, 4,0), "")</f>
        <v>WS-29</v>
      </c>
      <c r="H3" s="283" t="str">
        <f>IFERROR(VLOOKUP($A3&amp;"-"&amp;H$2, 'S18 Operations'!$A$2:$D$534, 4,0), "")</f>
        <v>WS-33</v>
      </c>
      <c r="I3" s="283" t="str">
        <f>IFERROR(VLOOKUP($A3&amp;"-"&amp;I$2, 'S18 Operations'!$A$2:$D$534, 4,0), "")</f>
        <v>WS-44</v>
      </c>
    </row>
    <row r="4" spans="1:9">
      <c r="A4" s="282" t="str">
        <f>'S14 ABC Output'!A4</f>
        <v>I-004</v>
      </c>
      <c r="B4" s="283" t="str">
        <f>IFERROR(VLOOKUP($A4&amp;"-"&amp;B$2, 'S18 Operations'!$A$2:$D$534, 4,0), "")</f>
        <v>WS-43</v>
      </c>
      <c r="C4" s="283" t="str">
        <f>IFERROR(VLOOKUP($A4&amp;"-"&amp;C$2, 'S18 Operations'!$A$2:$D$534, 4,0), "")</f>
        <v>WS-36</v>
      </c>
      <c r="D4" s="283" t="str">
        <f>IFERROR(VLOOKUP($A4&amp;"-"&amp;D$2, 'S18 Operations'!$A$2:$D$534, 4,0), "")</f>
        <v>WS-05</v>
      </c>
      <c r="E4" s="283" t="str">
        <f>IFERROR(VLOOKUP($A4&amp;"-"&amp;E$2, 'S18 Operations'!$A$2:$D$534, 4,0), "")</f>
        <v>WS-25</v>
      </c>
      <c r="F4" s="283" t="str">
        <f>IFERROR(VLOOKUP($A4&amp;"-"&amp;F$2, 'S18 Operations'!$A$2:$D$534, 4,0), "")</f>
        <v>WS-34</v>
      </c>
      <c r="G4" s="283" t="str">
        <f>IFERROR(VLOOKUP($A4&amp;"-"&amp;G$2, 'S18 Operations'!$A$2:$D$534, 4,0), "")</f>
        <v>WS-44</v>
      </c>
      <c r="H4" s="283" t="str">
        <f>IFERROR(VLOOKUP($A4&amp;"-"&amp;H$2, 'S18 Operations'!$A$2:$D$534, 4,0), "")</f>
        <v/>
      </c>
      <c r="I4" s="283" t="str">
        <f>IFERROR(VLOOKUP($A4&amp;"-"&amp;I$2, 'S18 Operations'!$A$2:$D$534, 4,0), "")</f>
        <v/>
      </c>
    </row>
    <row r="5" spans="1:9">
      <c r="A5" s="282" t="str">
        <f>'S14 ABC Output'!A5</f>
        <v>I-037</v>
      </c>
      <c r="B5" s="283" t="str">
        <f>IFERROR(VLOOKUP($A5&amp;"-"&amp;B$2, 'S18 Operations'!$A$2:$D$534, 4,0), "")</f>
        <v>WS-43</v>
      </c>
      <c r="C5" s="283" t="str">
        <f>IFERROR(VLOOKUP($A5&amp;"-"&amp;C$2, 'S18 Operations'!$A$2:$D$534, 4,0), "")</f>
        <v>WS-38</v>
      </c>
      <c r="D5" s="283" t="str">
        <f>IFERROR(VLOOKUP($A5&amp;"-"&amp;D$2, 'S18 Operations'!$A$2:$D$534, 4,0), "")</f>
        <v>WS-07</v>
      </c>
      <c r="E5" s="283" t="str">
        <f>IFERROR(VLOOKUP($A5&amp;"-"&amp;E$2, 'S18 Operations'!$A$2:$D$534, 4,0), "")</f>
        <v>WS-21</v>
      </c>
      <c r="F5" s="283" t="str">
        <f>IFERROR(VLOOKUP($A5&amp;"-"&amp;F$2, 'S18 Operations'!$A$2:$D$534, 4,0), "")</f>
        <v>WS-28</v>
      </c>
      <c r="G5" s="283" t="str">
        <f>IFERROR(VLOOKUP($A5&amp;"-"&amp;G$2, 'S18 Operations'!$A$2:$D$534, 4,0), "")</f>
        <v>WS-27</v>
      </c>
      <c r="H5" s="283" t="str">
        <f>IFERROR(VLOOKUP($A5&amp;"-"&amp;H$2, 'S18 Operations'!$A$2:$D$534, 4,0), "")</f>
        <v>WS-32</v>
      </c>
      <c r="I5" s="283" t="str">
        <f>IFERROR(VLOOKUP($A5&amp;"-"&amp;I$2, 'S18 Operations'!$A$2:$D$534, 4,0), "")</f>
        <v>WS-44</v>
      </c>
    </row>
    <row r="6" spans="1:9">
      <c r="A6" s="282" t="str">
        <f>'S14 ABC Output'!A6</f>
        <v>I-064</v>
      </c>
      <c r="B6" s="283" t="str">
        <f>IFERROR(VLOOKUP($A6&amp;"-"&amp;B$2, 'S18 Operations'!$A$2:$D$534, 4,0), "")</f>
        <v>WS-43</v>
      </c>
      <c r="C6" s="283" t="str">
        <f>IFERROR(VLOOKUP($A6&amp;"-"&amp;C$2, 'S18 Operations'!$A$2:$D$534, 4,0), "")</f>
        <v>WS-40</v>
      </c>
      <c r="D6" s="283" t="str">
        <f>IFERROR(VLOOKUP($A6&amp;"-"&amp;D$2, 'S18 Operations'!$A$2:$D$534, 4,0), "")</f>
        <v>WS-04</v>
      </c>
      <c r="E6" s="283" t="str">
        <f>IFERROR(VLOOKUP($A6&amp;"-"&amp;E$2, 'S18 Operations'!$A$2:$D$534, 4,0), "")</f>
        <v>WS-03</v>
      </c>
      <c r="F6" s="283" t="str">
        <f>IFERROR(VLOOKUP($A6&amp;"-"&amp;F$2, 'S18 Operations'!$A$2:$D$534, 4,0), "")</f>
        <v>WS-23</v>
      </c>
      <c r="G6" s="283" t="str">
        <f>IFERROR(VLOOKUP($A6&amp;"-"&amp;G$2, 'S18 Operations'!$A$2:$D$534, 4,0), "")</f>
        <v>WS-31</v>
      </c>
      <c r="H6" s="283" t="str">
        <f>IFERROR(VLOOKUP($A6&amp;"-"&amp;H$2, 'S18 Operations'!$A$2:$D$534, 4,0), "")</f>
        <v>WS-32</v>
      </c>
      <c r="I6" s="283" t="str">
        <f>IFERROR(VLOOKUP($A6&amp;"-"&amp;I$2, 'S18 Operations'!$A$2:$D$534, 4,0), "")</f>
        <v>WS-42</v>
      </c>
    </row>
    <row r="7" spans="1:9">
      <c r="A7" s="282" t="str">
        <f>'S14 ABC Output'!A7</f>
        <v>I-052</v>
      </c>
      <c r="B7" s="283" t="str">
        <f>IFERROR(VLOOKUP($A7&amp;"-"&amp;B$2, 'S18 Operations'!$A$2:$D$534, 4,0), "")</f>
        <v>WS-43</v>
      </c>
      <c r="C7" s="283" t="str">
        <f>IFERROR(VLOOKUP($A7&amp;"-"&amp;C$2, 'S18 Operations'!$A$2:$D$534, 4,0), "")</f>
        <v>WS-40</v>
      </c>
      <c r="D7" s="283" t="str">
        <f>IFERROR(VLOOKUP($A7&amp;"-"&amp;D$2, 'S18 Operations'!$A$2:$D$534, 4,0), "")</f>
        <v>WS-07</v>
      </c>
      <c r="E7" s="283" t="str">
        <f>IFERROR(VLOOKUP($A7&amp;"-"&amp;E$2, 'S18 Operations'!$A$2:$D$534, 4,0), "")</f>
        <v>WS-08</v>
      </c>
      <c r="F7" s="283" t="str">
        <f>IFERROR(VLOOKUP($A7&amp;"-"&amp;F$2, 'S18 Operations'!$A$2:$D$534, 4,0), "")</f>
        <v>WS-20</v>
      </c>
      <c r="G7" s="283" t="str">
        <f>IFERROR(VLOOKUP($A7&amp;"-"&amp;G$2, 'S18 Operations'!$A$2:$D$534, 4,0), "")</f>
        <v>WS-26</v>
      </c>
      <c r="H7" s="283" t="str">
        <f>IFERROR(VLOOKUP($A7&amp;"-"&amp;H$2, 'S18 Operations'!$A$2:$D$534, 4,0), "")</f>
        <v>WS-32</v>
      </c>
      <c r="I7" s="283" t="str">
        <f>IFERROR(VLOOKUP($A7&amp;"-"&amp;I$2, 'S18 Operations'!$A$2:$D$534, 4,0), "")</f>
        <v>WS-44</v>
      </c>
    </row>
    <row r="8" spans="1:9">
      <c r="A8" s="282" t="str">
        <f>'S14 ABC Output'!A8</f>
        <v>I-068</v>
      </c>
      <c r="B8" s="283" t="str">
        <f>IFERROR(VLOOKUP($A8&amp;"-"&amp;B$2, 'S18 Operations'!$A$2:$D$534, 4,0), "")</f>
        <v>WS-43</v>
      </c>
      <c r="C8" s="283" t="str">
        <f>IFERROR(VLOOKUP($A8&amp;"-"&amp;C$2, 'S18 Operations'!$A$2:$D$534, 4,0), "")</f>
        <v>WS-36</v>
      </c>
      <c r="D8" s="283" t="str">
        <f>IFERROR(VLOOKUP($A8&amp;"-"&amp;D$2, 'S18 Operations'!$A$2:$D$534, 4,0), "")</f>
        <v>WS-05</v>
      </c>
      <c r="E8" s="283" t="str">
        <f>IFERROR(VLOOKUP($A8&amp;"-"&amp;E$2, 'S18 Operations'!$A$2:$D$534, 4,0), "")</f>
        <v>WS-25</v>
      </c>
      <c r="F8" s="283" t="str">
        <f>IFERROR(VLOOKUP($A8&amp;"-"&amp;F$2, 'S18 Operations'!$A$2:$D$534, 4,0), "")</f>
        <v>WS-34</v>
      </c>
      <c r="G8" s="283" t="str">
        <f>IFERROR(VLOOKUP($A8&amp;"-"&amp;G$2, 'S18 Operations'!$A$2:$D$534, 4,0), "")</f>
        <v>WS-44</v>
      </c>
      <c r="H8" s="283" t="str">
        <f>IFERROR(VLOOKUP($A8&amp;"-"&amp;H$2, 'S18 Operations'!$A$2:$D$534, 4,0), "")</f>
        <v/>
      </c>
      <c r="I8" s="283" t="str">
        <f>IFERROR(VLOOKUP($A8&amp;"-"&amp;I$2, 'S18 Operations'!$A$2:$D$534, 4,0), "")</f>
        <v/>
      </c>
    </row>
    <row r="9" spans="1:9">
      <c r="A9" s="282" t="str">
        <f>'S14 ABC Output'!A9</f>
        <v>I-053</v>
      </c>
      <c r="B9" s="283" t="str">
        <f>IFERROR(VLOOKUP($A9&amp;"-"&amp;B$2, 'S18 Operations'!$A$2:$D$534, 4,0), "")</f>
        <v>WS-43</v>
      </c>
      <c r="C9" s="283" t="str">
        <f>IFERROR(VLOOKUP($A9&amp;"-"&amp;C$2, 'S18 Operations'!$A$2:$D$534, 4,0), "")</f>
        <v>WS-40</v>
      </c>
      <c r="D9" s="283" t="str">
        <f>IFERROR(VLOOKUP($A9&amp;"-"&amp;D$2, 'S18 Operations'!$A$2:$D$534, 4,0), "")</f>
        <v>WS-04</v>
      </c>
      <c r="E9" s="283" t="str">
        <f>IFERROR(VLOOKUP($A9&amp;"-"&amp;E$2, 'S18 Operations'!$A$2:$D$534, 4,0), "")</f>
        <v>WS-03</v>
      </c>
      <c r="F9" s="283" t="str">
        <f>IFERROR(VLOOKUP($A9&amp;"-"&amp;F$2, 'S18 Operations'!$A$2:$D$534, 4,0), "")</f>
        <v>WS-23</v>
      </c>
      <c r="G9" s="283" t="str">
        <f>IFERROR(VLOOKUP($A9&amp;"-"&amp;G$2, 'S18 Operations'!$A$2:$D$534, 4,0), "")</f>
        <v>WS-31</v>
      </c>
      <c r="H9" s="283" t="str">
        <f>IFERROR(VLOOKUP($A9&amp;"-"&amp;H$2, 'S18 Operations'!$A$2:$D$534, 4,0), "")</f>
        <v>WS-32</v>
      </c>
      <c r="I9" s="283" t="str">
        <f>IFERROR(VLOOKUP($A9&amp;"-"&amp;I$2, 'S18 Operations'!$A$2:$D$534, 4,0), "")</f>
        <v>WS-44</v>
      </c>
    </row>
    <row r="10" spans="1:9">
      <c r="A10" s="282" t="str">
        <f>'S14 ABC Output'!A10</f>
        <v>I-012</v>
      </c>
      <c r="B10" s="283" t="str">
        <f>IFERROR(VLOOKUP($A10&amp;"-"&amp;B$2, 'S18 Operations'!$A$2:$D$534, 4,0), "")</f>
        <v>WS-43</v>
      </c>
      <c r="C10" s="283" t="str">
        <f>IFERROR(VLOOKUP($A10&amp;"-"&amp;C$2, 'S18 Operations'!$A$2:$D$534, 4,0), "")</f>
        <v>WS-40</v>
      </c>
      <c r="D10" s="283" t="str">
        <f>IFERROR(VLOOKUP($A10&amp;"-"&amp;D$2, 'S18 Operations'!$A$2:$D$534, 4,0), "")</f>
        <v>WS-07</v>
      </c>
      <c r="E10" s="283" t="str">
        <f>IFERROR(VLOOKUP($A10&amp;"-"&amp;E$2, 'S18 Operations'!$A$2:$D$534, 4,0), "")</f>
        <v>WS-08</v>
      </c>
      <c r="F10" s="283" t="str">
        <f>IFERROR(VLOOKUP($A10&amp;"-"&amp;F$2, 'S18 Operations'!$A$2:$D$534, 4,0), "")</f>
        <v>WS-20</v>
      </c>
      <c r="G10" s="283" t="str">
        <f>IFERROR(VLOOKUP($A10&amp;"-"&amp;G$2, 'S18 Operations'!$A$2:$D$534, 4,0), "")</f>
        <v>WS-26</v>
      </c>
      <c r="H10" s="283" t="str">
        <f>IFERROR(VLOOKUP($A10&amp;"-"&amp;H$2, 'S18 Operations'!$A$2:$D$534, 4,0), "")</f>
        <v>WS-32</v>
      </c>
      <c r="I10" s="283" t="str">
        <f>IFERROR(VLOOKUP($A10&amp;"-"&amp;I$2, 'S18 Operations'!$A$2:$D$534, 4,0), "")</f>
        <v>WS-44</v>
      </c>
    </row>
    <row r="11" spans="1:9">
      <c r="A11" s="282" t="str">
        <f>'S14 ABC Output'!A11</f>
        <v>I-066</v>
      </c>
      <c r="B11" s="283" t="str">
        <f>IFERROR(VLOOKUP($A11&amp;"-"&amp;B$2, 'S18 Operations'!$A$2:$D$534, 4,0), "")</f>
        <v>WS-43</v>
      </c>
      <c r="C11" s="283" t="str">
        <f>IFERROR(VLOOKUP($A11&amp;"-"&amp;C$2, 'S18 Operations'!$A$2:$D$534, 4,0), "")</f>
        <v>WS-36</v>
      </c>
      <c r="D11" s="283" t="str">
        <f>IFERROR(VLOOKUP($A11&amp;"-"&amp;D$2, 'S18 Operations'!$A$2:$D$534, 4,0), "")</f>
        <v>WS-05</v>
      </c>
      <c r="E11" s="283" t="str">
        <f>IFERROR(VLOOKUP($A11&amp;"-"&amp;E$2, 'S18 Operations'!$A$2:$D$534, 4,0), "")</f>
        <v>WS-25</v>
      </c>
      <c r="F11" s="283" t="str">
        <f>IFERROR(VLOOKUP($A11&amp;"-"&amp;F$2, 'S18 Operations'!$A$2:$D$534, 4,0), "")</f>
        <v>WS-34</v>
      </c>
      <c r="G11" s="283" t="str">
        <f>IFERROR(VLOOKUP($A11&amp;"-"&amp;G$2, 'S18 Operations'!$A$2:$D$534, 4,0), "")</f>
        <v>WS-44</v>
      </c>
      <c r="H11" s="283" t="str">
        <f>IFERROR(VLOOKUP($A11&amp;"-"&amp;H$2, 'S18 Operations'!$A$2:$D$534, 4,0), "")</f>
        <v/>
      </c>
      <c r="I11" s="283" t="str">
        <f>IFERROR(VLOOKUP($A11&amp;"-"&amp;I$2, 'S18 Operations'!$A$2:$D$534, 4,0), "")</f>
        <v/>
      </c>
    </row>
    <row r="12" spans="1:9">
      <c r="A12" s="282" t="str">
        <f>'S14 ABC Output'!A12</f>
        <v>I-069</v>
      </c>
      <c r="B12" s="283" t="str">
        <f>IFERROR(VLOOKUP($A12&amp;"-"&amp;B$2, 'S18 Operations'!$A$2:$D$534, 4,0), "")</f>
        <v>WS-43</v>
      </c>
      <c r="C12" s="283" t="str">
        <f>IFERROR(VLOOKUP($A12&amp;"-"&amp;C$2, 'S18 Operations'!$A$2:$D$534, 4,0), "")</f>
        <v>WS-36</v>
      </c>
      <c r="D12" s="283" t="str">
        <f>IFERROR(VLOOKUP($A12&amp;"-"&amp;D$2, 'S18 Operations'!$A$2:$D$534, 4,0), "")</f>
        <v>WS-05</v>
      </c>
      <c r="E12" s="283" t="str">
        <f>IFERROR(VLOOKUP($A12&amp;"-"&amp;E$2, 'S18 Operations'!$A$2:$D$534, 4,0), "")</f>
        <v>WS-25</v>
      </c>
      <c r="F12" s="283" t="str">
        <f>IFERROR(VLOOKUP($A12&amp;"-"&amp;F$2, 'S18 Operations'!$A$2:$D$534, 4,0), "")</f>
        <v>WS-34</v>
      </c>
      <c r="G12" s="283" t="str">
        <f>IFERROR(VLOOKUP($A12&amp;"-"&amp;G$2, 'S18 Operations'!$A$2:$D$534, 4,0), "")</f>
        <v>WS-44</v>
      </c>
      <c r="H12" s="283" t="str">
        <f>IFERROR(VLOOKUP($A12&amp;"-"&amp;H$2, 'S18 Operations'!$A$2:$D$534, 4,0), "")</f>
        <v/>
      </c>
      <c r="I12" s="283" t="str">
        <f>IFERROR(VLOOKUP($A12&amp;"-"&amp;I$2, 'S18 Operations'!$A$2:$D$534, 4,0), "")</f>
        <v/>
      </c>
    </row>
    <row r="13" spans="1:9">
      <c r="A13" s="282" t="str">
        <f>'S14 ABC Output'!A13</f>
        <v>I-070</v>
      </c>
      <c r="B13" s="283" t="str">
        <f>IFERROR(VLOOKUP($A13&amp;"-"&amp;B$2, 'S18 Operations'!$A$2:$D$534, 4,0), "")</f>
        <v>WS-43</v>
      </c>
      <c r="C13" s="283" t="str">
        <f>IFERROR(VLOOKUP($A13&amp;"-"&amp;C$2, 'S18 Operations'!$A$2:$D$534, 4,0), "")</f>
        <v>WS-36</v>
      </c>
      <c r="D13" s="283" t="str">
        <f>IFERROR(VLOOKUP($A13&amp;"-"&amp;D$2, 'S18 Operations'!$A$2:$D$534, 4,0), "")</f>
        <v>WS-05</v>
      </c>
      <c r="E13" s="283" t="str">
        <f>IFERROR(VLOOKUP($A13&amp;"-"&amp;E$2, 'S18 Operations'!$A$2:$D$534, 4,0), "")</f>
        <v>WS-25</v>
      </c>
      <c r="F13" s="283" t="str">
        <f>IFERROR(VLOOKUP($A13&amp;"-"&amp;F$2, 'S18 Operations'!$A$2:$D$534, 4,0), "")</f>
        <v>WS-34</v>
      </c>
      <c r="G13" s="283" t="str">
        <f>IFERROR(VLOOKUP($A13&amp;"-"&amp;G$2, 'S18 Operations'!$A$2:$D$534, 4,0), "")</f>
        <v>WS-44</v>
      </c>
      <c r="H13" s="283" t="str">
        <f>IFERROR(VLOOKUP($A13&amp;"-"&amp;H$2, 'S18 Operations'!$A$2:$D$534, 4,0), "")</f>
        <v/>
      </c>
      <c r="I13" s="283" t="str">
        <f>IFERROR(VLOOKUP($A13&amp;"-"&amp;I$2, 'S18 Operations'!$A$2:$D$534, 4,0), "")</f>
        <v/>
      </c>
    </row>
    <row r="14" spans="1:9">
      <c r="A14" s="282" t="str">
        <f>'S14 ABC Output'!A14</f>
        <v>I-006</v>
      </c>
      <c r="B14" s="283" t="str">
        <f>IFERROR(VLOOKUP($A14&amp;"-"&amp;B$2, 'S18 Operations'!$A$2:$D$534, 4,0), "")</f>
        <v>WS-43</v>
      </c>
      <c r="C14" s="283" t="str">
        <f>IFERROR(VLOOKUP($A14&amp;"-"&amp;C$2, 'S18 Operations'!$A$2:$D$534, 4,0), "")</f>
        <v>WS-40</v>
      </c>
      <c r="D14" s="283" t="str">
        <f>IFERROR(VLOOKUP($A14&amp;"-"&amp;D$2, 'S18 Operations'!$A$2:$D$534, 4,0), "")</f>
        <v>WS-02</v>
      </c>
      <c r="E14" s="283" t="str">
        <f>IFERROR(VLOOKUP($A14&amp;"-"&amp;E$2, 'S18 Operations'!$A$2:$D$534, 4,0), "")</f>
        <v>WS-18</v>
      </c>
      <c r="F14" s="283" t="str">
        <f>IFERROR(VLOOKUP($A14&amp;"-"&amp;F$2, 'S18 Operations'!$A$2:$D$534, 4,0), "")</f>
        <v>WS-24</v>
      </c>
      <c r="G14" s="283" t="str">
        <f>IFERROR(VLOOKUP($A14&amp;"-"&amp;G$2, 'S18 Operations'!$A$2:$D$534, 4,0), "")</f>
        <v>WS-29</v>
      </c>
      <c r="H14" s="283" t="str">
        <f>IFERROR(VLOOKUP($A14&amp;"-"&amp;H$2, 'S18 Operations'!$A$2:$D$534, 4,0), "")</f>
        <v>WS-33</v>
      </c>
      <c r="I14" s="283" t="str">
        <f>IFERROR(VLOOKUP($A14&amp;"-"&amp;I$2, 'S18 Operations'!$A$2:$D$534, 4,0), "")</f>
        <v>WS-44</v>
      </c>
    </row>
    <row r="15" spans="1:9">
      <c r="A15" s="282" t="str">
        <f>'S14 ABC Output'!A15</f>
        <v>I-073</v>
      </c>
      <c r="B15" s="283" t="str">
        <f>IFERROR(VLOOKUP($A15&amp;"-"&amp;B$2, 'S18 Operations'!$A$2:$D$534, 4,0), "")</f>
        <v>WS-43</v>
      </c>
      <c r="C15" s="283" t="str">
        <f>IFERROR(VLOOKUP($A15&amp;"-"&amp;C$2, 'S18 Operations'!$A$2:$D$534, 4,0), "")</f>
        <v>WS-38</v>
      </c>
      <c r="D15" s="283" t="str">
        <f>IFERROR(VLOOKUP($A15&amp;"-"&amp;D$2, 'S18 Operations'!$A$2:$D$534, 4,0), "")</f>
        <v>WS-07</v>
      </c>
      <c r="E15" s="283" t="str">
        <f>IFERROR(VLOOKUP($A15&amp;"-"&amp;E$2, 'S18 Operations'!$A$2:$D$534, 4,0), "")</f>
        <v>WS-21</v>
      </c>
      <c r="F15" s="283" t="str">
        <f>IFERROR(VLOOKUP($A15&amp;"-"&amp;F$2, 'S18 Operations'!$A$2:$D$534, 4,0), "")</f>
        <v>WS-28</v>
      </c>
      <c r="G15" s="283" t="str">
        <f>IFERROR(VLOOKUP($A15&amp;"-"&amp;G$2, 'S18 Operations'!$A$2:$D$534, 4,0), "")</f>
        <v>WS-27</v>
      </c>
      <c r="H15" s="283" t="str">
        <f>IFERROR(VLOOKUP($A15&amp;"-"&amp;H$2, 'S18 Operations'!$A$2:$D$534, 4,0), "")</f>
        <v>WS-32</v>
      </c>
      <c r="I15" s="283" t="str">
        <f>IFERROR(VLOOKUP($A15&amp;"-"&amp;I$2, 'S18 Operations'!$A$2:$D$534, 4,0), "")</f>
        <v>WS-44</v>
      </c>
    </row>
    <row r="16" spans="1:9">
      <c r="A16" s="282" t="str">
        <f>'S14 ABC Output'!A16</f>
        <v>I-071</v>
      </c>
      <c r="B16" s="283" t="str">
        <f>IFERROR(VLOOKUP($A16&amp;"-"&amp;B$2, 'S18 Operations'!$A$2:$D$534, 4,0), "")</f>
        <v>WS-43</v>
      </c>
      <c r="C16" s="283" t="str">
        <f>IFERROR(VLOOKUP($A16&amp;"-"&amp;C$2, 'S18 Operations'!$A$2:$D$534, 4,0), "")</f>
        <v>WS-36</v>
      </c>
      <c r="D16" s="283" t="str">
        <f>IFERROR(VLOOKUP($A16&amp;"-"&amp;D$2, 'S18 Operations'!$A$2:$D$534, 4,0), "")</f>
        <v>WS-05</v>
      </c>
      <c r="E16" s="283" t="str">
        <f>IFERROR(VLOOKUP($A16&amp;"-"&amp;E$2, 'S18 Operations'!$A$2:$D$534, 4,0), "")</f>
        <v>WS-25</v>
      </c>
      <c r="F16" s="283" t="str">
        <f>IFERROR(VLOOKUP($A16&amp;"-"&amp;F$2, 'S18 Operations'!$A$2:$D$534, 4,0), "")</f>
        <v>WS-34</v>
      </c>
      <c r="G16" s="283" t="str">
        <f>IFERROR(VLOOKUP($A16&amp;"-"&amp;G$2, 'S18 Operations'!$A$2:$D$534, 4,0), "")</f>
        <v>WS-44</v>
      </c>
      <c r="H16" s="283" t="str">
        <f>IFERROR(VLOOKUP($A16&amp;"-"&amp;H$2, 'S18 Operations'!$A$2:$D$534, 4,0), "")</f>
        <v/>
      </c>
      <c r="I16" s="283" t="str">
        <f>IFERROR(VLOOKUP($A16&amp;"-"&amp;I$2, 'S18 Operations'!$A$2:$D$534, 4,0), "")</f>
        <v/>
      </c>
    </row>
    <row r="17" spans="1:9">
      <c r="A17" s="282" t="str">
        <f>'S14 ABC Output'!A17</f>
        <v>I-007</v>
      </c>
      <c r="B17" s="283" t="str">
        <f>IFERROR(VLOOKUP($A17&amp;"-"&amp;B$2, 'S18 Operations'!$A$2:$D$534, 4,0), "")</f>
        <v>WS-43</v>
      </c>
      <c r="C17" s="283" t="str">
        <f>IFERROR(VLOOKUP($A17&amp;"-"&amp;C$2, 'S18 Operations'!$A$2:$D$534, 4,0), "")</f>
        <v>WS-40</v>
      </c>
      <c r="D17" s="283" t="str">
        <f>IFERROR(VLOOKUP($A17&amp;"-"&amp;D$2, 'S18 Operations'!$A$2:$D$534, 4,0), "")</f>
        <v>WS-02</v>
      </c>
      <c r="E17" s="283" t="str">
        <f>IFERROR(VLOOKUP($A17&amp;"-"&amp;E$2, 'S18 Operations'!$A$2:$D$534, 4,0), "")</f>
        <v>WS-18</v>
      </c>
      <c r="F17" s="283" t="str">
        <f>IFERROR(VLOOKUP($A17&amp;"-"&amp;F$2, 'S18 Operations'!$A$2:$D$534, 4,0), "")</f>
        <v>WS-24</v>
      </c>
      <c r="G17" s="283" t="str">
        <f>IFERROR(VLOOKUP($A17&amp;"-"&amp;G$2, 'S18 Operations'!$A$2:$D$534, 4,0), "")</f>
        <v>WS-29</v>
      </c>
      <c r="H17" s="283" t="str">
        <f>IFERROR(VLOOKUP($A17&amp;"-"&amp;H$2, 'S18 Operations'!$A$2:$D$534, 4,0), "")</f>
        <v>WS-33</v>
      </c>
      <c r="I17" s="283" t="str">
        <f>IFERROR(VLOOKUP($A17&amp;"-"&amp;I$2, 'S18 Operations'!$A$2:$D$534, 4,0), "")</f>
        <v>WS-44</v>
      </c>
    </row>
    <row r="18" spans="1:9">
      <c r="A18" s="282" t="str">
        <f>'S14 ABC Output'!A18</f>
        <v>I-074</v>
      </c>
      <c r="B18" s="283" t="str">
        <f>IFERROR(VLOOKUP($A18&amp;"-"&amp;B$2, 'S18 Operations'!$A$2:$D$534, 4,0), "")</f>
        <v>WS-43</v>
      </c>
      <c r="C18" s="283" t="str">
        <f>IFERROR(VLOOKUP($A18&amp;"-"&amp;C$2, 'S18 Operations'!$A$2:$D$534, 4,0), "")</f>
        <v>WS-38</v>
      </c>
      <c r="D18" s="283" t="str">
        <f>IFERROR(VLOOKUP($A18&amp;"-"&amp;D$2, 'S18 Operations'!$A$2:$D$534, 4,0), "")</f>
        <v>WS-07</v>
      </c>
      <c r="E18" s="283" t="str">
        <f>IFERROR(VLOOKUP($A18&amp;"-"&amp;E$2, 'S18 Operations'!$A$2:$D$534, 4,0), "")</f>
        <v>WS-21</v>
      </c>
      <c r="F18" s="283" t="str">
        <f>IFERROR(VLOOKUP($A18&amp;"-"&amp;F$2, 'S18 Operations'!$A$2:$D$534, 4,0), "")</f>
        <v>WS-28</v>
      </c>
      <c r="G18" s="283" t="str">
        <f>IFERROR(VLOOKUP($A18&amp;"-"&amp;G$2, 'S18 Operations'!$A$2:$D$534, 4,0), "")</f>
        <v>WS-27</v>
      </c>
      <c r="H18" s="283" t="str">
        <f>IFERROR(VLOOKUP($A18&amp;"-"&amp;H$2, 'S18 Operations'!$A$2:$D$534, 4,0), "")</f>
        <v>WS-32</v>
      </c>
      <c r="I18" s="283" t="str">
        <f>IFERROR(VLOOKUP($A18&amp;"-"&amp;I$2, 'S18 Operations'!$A$2:$D$534, 4,0), "")</f>
        <v>WS-44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6BD72-D4E2-3640-A6AA-B9D355F72DE5}">
  <sheetPr codeName="Sheet14"/>
  <dimension ref="A1:AA37"/>
  <sheetViews>
    <sheetView topLeftCell="A4" zoomScale="120" zoomScaleNormal="120" workbookViewId="0">
      <selection activeCell="C22" sqref="C22"/>
    </sheetView>
  </sheetViews>
  <sheetFormatPr defaultColWidth="11" defaultRowHeight="15.5"/>
  <cols>
    <col min="1" max="1" width="11" style="65"/>
    <col min="2" max="27" width="8" customWidth="1"/>
  </cols>
  <sheetData>
    <row r="1" spans="1:27" ht="16" thickBot="1">
      <c r="A1" s="284" t="s">
        <v>1118</v>
      </c>
      <c r="B1" s="285" t="s">
        <v>1119</v>
      </c>
      <c r="C1" s="550" t="s">
        <v>1120</v>
      </c>
      <c r="D1" s="551"/>
      <c r="E1" s="552"/>
      <c r="F1" s="547" t="s">
        <v>1121</v>
      </c>
      <c r="G1" s="548"/>
      <c r="H1" s="549"/>
      <c r="I1" s="550" t="s">
        <v>1122</v>
      </c>
      <c r="J1" s="551"/>
      <c r="K1" s="551"/>
      <c r="L1" s="551"/>
      <c r="M1" s="551"/>
      <c r="N1" s="551"/>
      <c r="O1" s="551"/>
      <c r="P1" s="552"/>
      <c r="Q1" s="547" t="s">
        <v>1123</v>
      </c>
      <c r="R1" s="548"/>
      <c r="S1" s="548"/>
      <c r="T1" s="549"/>
      <c r="U1" s="550" t="s">
        <v>1124</v>
      </c>
      <c r="V1" s="552"/>
      <c r="W1" s="547" t="s">
        <v>1120</v>
      </c>
      <c r="X1" s="548"/>
      <c r="Y1" s="549"/>
      <c r="Z1" s="286" t="s">
        <v>1125</v>
      </c>
      <c r="AA1" s="285" t="s">
        <v>1119</v>
      </c>
    </row>
    <row r="2" spans="1:27" ht="16" thickBot="1">
      <c r="A2" s="287" t="s">
        <v>505</v>
      </c>
      <c r="B2" s="288" t="s">
        <v>1112</v>
      </c>
      <c r="C2" s="289" t="s">
        <v>1100</v>
      </c>
      <c r="D2" s="290" t="s">
        <v>1103</v>
      </c>
      <c r="E2" s="291" t="s">
        <v>1107</v>
      </c>
      <c r="F2" s="292" t="s">
        <v>1036</v>
      </c>
      <c r="G2" s="293" t="s">
        <v>1040</v>
      </c>
      <c r="H2" s="294" t="s">
        <v>1046</v>
      </c>
      <c r="I2" s="289" t="s">
        <v>1038</v>
      </c>
      <c r="J2" s="290" t="s">
        <v>1042</v>
      </c>
      <c r="K2" s="290" t="s">
        <v>1048</v>
      </c>
      <c r="L2" s="290" t="s">
        <v>1067</v>
      </c>
      <c r="M2" s="290" t="s">
        <v>1071</v>
      </c>
      <c r="N2" s="290" t="s">
        <v>1072</v>
      </c>
      <c r="O2" s="290" t="s">
        <v>1076</v>
      </c>
      <c r="P2" s="291" t="s">
        <v>1078</v>
      </c>
      <c r="Q2" s="292" t="s">
        <v>1080</v>
      </c>
      <c r="R2" s="293" t="s">
        <v>1082</v>
      </c>
      <c r="S2" s="293" t="s">
        <v>1085</v>
      </c>
      <c r="T2" s="294" t="s">
        <v>1091</v>
      </c>
      <c r="U2" s="289" t="s">
        <v>1083</v>
      </c>
      <c r="V2" s="291" t="s">
        <v>1087</v>
      </c>
      <c r="W2" s="292" t="s">
        <v>1093</v>
      </c>
      <c r="X2" s="293" t="s">
        <v>1094</v>
      </c>
      <c r="Y2" s="294" t="s">
        <v>1096</v>
      </c>
      <c r="Z2" s="295" t="s">
        <v>1111</v>
      </c>
      <c r="AA2" s="288" t="s">
        <v>1113</v>
      </c>
    </row>
    <row r="3" spans="1:27">
      <c r="A3" s="320" t="str">
        <f>'S14 ABC Output'!A4</f>
        <v>I-004</v>
      </c>
      <c r="B3" s="321" cm="1">
        <f t="array" ref="B3">IFERROR(VLOOKUP($A3&amp;"-"&amp;B$2, CHOOSE({1,2}, 'S18 Operations'!$B$2:$B$534&amp;"-"&amp;'S18 Operations'!$D$2:$D$534, 'S18 Operations'!$C$2:$C$534), 2, 0), "")</f>
        <v>10</v>
      </c>
      <c r="C3" s="321" cm="1">
        <f t="array" ref="C3">IFERROR(VLOOKUP($A3&amp;"-"&amp;C$2, CHOOSE({1,2}, 'S18 Operations'!$B$2:$B$534&amp;"-"&amp;'S18 Operations'!$D$2:$D$534, 'S18 Operations'!$C$2:$C$534), 2, 0), "")</f>
        <v>20</v>
      </c>
      <c r="D3" s="321" t="str" cm="1">
        <f t="array" ref="D3">IFERROR(VLOOKUP($A3&amp;"-"&amp;D$2, CHOOSE({1,2}, 'S18 Operations'!$B$2:$B$534&amp;"-"&amp;'S18 Operations'!$D$2:$D$534, 'S18 Operations'!$C$2:$C$534), 2, 0), "")</f>
        <v/>
      </c>
      <c r="E3" s="321" t="str" cm="1">
        <f t="array" ref="E3">IFERROR(VLOOKUP($A3&amp;"-"&amp;E$2, CHOOSE({1,2}, 'S18 Operations'!$B$2:$B$534&amp;"-"&amp;'S18 Operations'!$D$2:$D$534, 'S18 Operations'!$C$2:$C$534), 2, 0), "")</f>
        <v/>
      </c>
      <c r="F3" s="321" t="str" cm="1">
        <f t="array" ref="F3">IFERROR(VLOOKUP($A3&amp;"-"&amp;F$2, CHOOSE({1,2}, 'S18 Operations'!$B$2:$B$534&amp;"-"&amp;'S18 Operations'!$D$2:$D$534, 'S18 Operations'!$C$2:$C$534), 2, 0), "")</f>
        <v/>
      </c>
      <c r="G3" s="321" t="str" cm="1">
        <f t="array" ref="G3">IFERROR(VLOOKUP($A3&amp;"-"&amp;G$2, CHOOSE({1,2}, 'S18 Operations'!$B$2:$B$534&amp;"-"&amp;'S18 Operations'!$D$2:$D$534, 'S18 Operations'!$C$2:$C$534), 2, 0), "")</f>
        <v/>
      </c>
      <c r="H3" s="321" t="str" cm="1">
        <f t="array" ref="H3">IFERROR(VLOOKUP($A3&amp;"-"&amp;H$2, CHOOSE({1,2}, 'S18 Operations'!$B$2:$B$534&amp;"-"&amp;'S18 Operations'!$D$2:$D$534, 'S18 Operations'!$C$2:$C$534), 2, 0), "")</f>
        <v/>
      </c>
      <c r="I3" s="321" t="str" cm="1">
        <f t="array" ref="I3">IFERROR(VLOOKUP($A3&amp;"-"&amp;I$2, CHOOSE({1,2}, 'S18 Operations'!$B$2:$B$534&amp;"-"&amp;'S18 Operations'!$D$2:$D$534, 'S18 Operations'!$C$2:$C$534), 2, 0), "")</f>
        <v/>
      </c>
      <c r="J3" s="321" cm="1">
        <f t="array" ref="J3">IFERROR(VLOOKUP($A3&amp;"-"&amp;J$2, CHOOSE({1,2}, 'S18 Operations'!$B$2:$B$534&amp;"-"&amp;'S18 Operations'!$D$2:$D$534, 'S18 Operations'!$C$2:$C$534), 2, 0), "")</f>
        <v>30</v>
      </c>
      <c r="K3" s="321" t="str" cm="1">
        <f t="array" ref="K3">IFERROR(VLOOKUP($A3&amp;"-"&amp;K$2, CHOOSE({1,2}, 'S18 Operations'!$B$2:$B$534&amp;"-"&amp;'S18 Operations'!$D$2:$D$534, 'S18 Operations'!$C$2:$C$534), 2, 0), "")</f>
        <v/>
      </c>
      <c r="L3" s="321" t="str" cm="1">
        <f t="array" ref="L3">IFERROR(VLOOKUP($A3&amp;"-"&amp;L$2, CHOOSE({1,2}, 'S18 Operations'!$B$2:$B$534&amp;"-"&amp;'S18 Operations'!$D$2:$D$534, 'S18 Operations'!$C$2:$C$534), 2, 0), "")</f>
        <v/>
      </c>
      <c r="M3" s="321" t="str" cm="1">
        <f t="array" ref="M3">IFERROR(VLOOKUP($A3&amp;"-"&amp;M$2, CHOOSE({1,2}, 'S18 Operations'!$B$2:$B$534&amp;"-"&amp;'S18 Operations'!$D$2:$D$534, 'S18 Operations'!$C$2:$C$534), 2, 0), "")</f>
        <v/>
      </c>
      <c r="N3" s="321" t="str" cm="1">
        <f t="array" ref="N3">IFERROR(VLOOKUP($A3&amp;"-"&amp;N$2, CHOOSE({1,2}, 'S18 Operations'!$B$2:$B$534&amp;"-"&amp;'S18 Operations'!$D$2:$D$534, 'S18 Operations'!$C$2:$C$534), 2, 0), "")</f>
        <v/>
      </c>
      <c r="O3" s="321" t="str" cm="1">
        <f t="array" ref="O3">IFERROR(VLOOKUP($A3&amp;"-"&amp;O$2, CHOOSE({1,2}, 'S18 Operations'!$B$2:$B$534&amp;"-"&amp;'S18 Operations'!$D$2:$D$534, 'S18 Operations'!$C$2:$C$534), 2, 0), "")</f>
        <v/>
      </c>
      <c r="P3" s="321" t="str" cm="1">
        <f t="array" ref="P3">IFERROR(VLOOKUP($A3&amp;"-"&amp;P$2, CHOOSE({1,2}, 'S18 Operations'!$B$2:$B$534&amp;"-"&amp;'S18 Operations'!$D$2:$D$534, 'S18 Operations'!$C$2:$C$534), 2, 0), "")</f>
        <v/>
      </c>
      <c r="Q3" s="321" cm="1">
        <f t="array" ref="Q3">IFERROR(VLOOKUP($A3&amp;"-"&amp;Q$2, CHOOSE({1,2}, 'S18 Operations'!$B$2:$B$534&amp;"-"&amp;'S18 Operations'!$D$2:$D$534, 'S18 Operations'!$C$2:$C$534), 2, 0), "")</f>
        <v>40</v>
      </c>
      <c r="R3" s="321" t="str" cm="1">
        <f t="array" ref="R3">IFERROR(VLOOKUP($A3&amp;"-"&amp;R$2, CHOOSE({1,2}, 'S18 Operations'!$B$2:$B$534&amp;"-"&amp;'S18 Operations'!$D$2:$D$534, 'S18 Operations'!$C$2:$C$534), 2, 0), "")</f>
        <v/>
      </c>
      <c r="S3" s="321" t="str" cm="1">
        <f t="array" ref="S3">IFERROR(VLOOKUP($A3&amp;"-"&amp;S$2, CHOOSE({1,2}, 'S18 Operations'!$B$2:$B$534&amp;"-"&amp;'S18 Operations'!$D$2:$D$534, 'S18 Operations'!$C$2:$C$534), 2, 0), "")</f>
        <v/>
      </c>
      <c r="T3" s="321" t="str" cm="1">
        <f t="array" ref="T3">IFERROR(VLOOKUP($A3&amp;"-"&amp;T$2, CHOOSE({1,2}, 'S18 Operations'!$B$2:$B$534&amp;"-"&amp;'S18 Operations'!$D$2:$D$534, 'S18 Operations'!$C$2:$C$534), 2, 0), "")</f>
        <v/>
      </c>
      <c r="U3" s="321" t="str" cm="1">
        <f t="array" ref="U3">IFERROR(VLOOKUP($A3&amp;"-"&amp;U$2, CHOOSE({1,2}, 'S18 Operations'!$B$2:$B$534&amp;"-"&amp;'S18 Operations'!$D$2:$D$534, 'S18 Operations'!$C$2:$C$534), 2, 0), "")</f>
        <v/>
      </c>
      <c r="V3" s="321" t="str" cm="1">
        <f t="array" ref="V3">IFERROR(VLOOKUP($A3&amp;"-"&amp;V$2, CHOOSE({1,2}, 'S18 Operations'!$B$2:$B$534&amp;"-"&amp;'S18 Operations'!$D$2:$D$534, 'S18 Operations'!$C$2:$C$534), 2, 0), "")</f>
        <v/>
      </c>
      <c r="W3" s="321" t="str" cm="1">
        <f t="array" ref="W3">IFERROR(VLOOKUP($A3&amp;"-"&amp;W$2, CHOOSE({1,2}, 'S18 Operations'!$B$2:$B$534&amp;"-"&amp;'S18 Operations'!$D$2:$D$534, 'S18 Operations'!$C$2:$C$534), 2, 0), "")</f>
        <v/>
      </c>
      <c r="X3" s="321" t="str" cm="1">
        <f t="array" ref="X3">IFERROR(VLOOKUP($A3&amp;"-"&amp;X$2, CHOOSE({1,2}, 'S18 Operations'!$B$2:$B$534&amp;"-"&amp;'S18 Operations'!$D$2:$D$534, 'S18 Operations'!$C$2:$C$534), 2, 0), "")</f>
        <v/>
      </c>
      <c r="Y3" s="321" cm="1">
        <f t="array" ref="Y3">IFERROR(VLOOKUP($A3&amp;"-"&amp;Y$2, CHOOSE({1,2}, 'S18 Operations'!$B$2:$B$534&amp;"-"&amp;'S18 Operations'!$D$2:$D$534, 'S18 Operations'!$C$2:$C$534), 2, 0), "")</f>
        <v>50</v>
      </c>
      <c r="Z3" s="321" t="str" cm="1">
        <f t="array" ref="Z3">IFERROR(VLOOKUP($A3&amp;"-"&amp;Z$2, CHOOSE({1,2}, 'S18 Operations'!$B$2:$B$534&amp;"-"&amp;'S18 Operations'!$D$2:$D$534, 'S18 Operations'!$C$2:$C$534), 2, 0), "")</f>
        <v/>
      </c>
      <c r="AA3" s="322" cm="1">
        <f t="array" ref="AA3">IFERROR(VLOOKUP($A3&amp;"-"&amp;AA$2, CHOOSE({1,2}, 'S18 Operations'!$B$2:$B$534&amp;"-"&amp;'S18 Operations'!$D$2:$D$534, 'S18 Operations'!$C$2:$C$534), 2, 0), "")</f>
        <v>60</v>
      </c>
    </row>
    <row r="4" spans="1:27">
      <c r="A4" s="323" t="str">
        <f>'S14 ABC Output'!A11</f>
        <v>I-066</v>
      </c>
      <c r="B4" s="4" cm="1">
        <f t="array" ref="B4">IFERROR(VLOOKUP($A4&amp;"-"&amp;B$2, CHOOSE({1,2}, 'S18 Operations'!$B$2:$B$534&amp;"-"&amp;'S18 Operations'!$D$2:$D$534, 'S18 Operations'!$C$2:$C$534), 2, 0), "")</f>
        <v>10</v>
      </c>
      <c r="C4" s="4" cm="1">
        <f t="array" ref="C4">IFERROR(VLOOKUP($A4&amp;"-"&amp;C$2, CHOOSE({1,2}, 'S18 Operations'!$B$2:$B$534&amp;"-"&amp;'S18 Operations'!$D$2:$D$534, 'S18 Operations'!$C$2:$C$534), 2, 0), "")</f>
        <v>20</v>
      </c>
      <c r="D4" s="4" t="str" cm="1">
        <f t="array" ref="D4">IFERROR(VLOOKUP($A4&amp;"-"&amp;D$2, CHOOSE({1,2}, 'S18 Operations'!$B$2:$B$534&amp;"-"&amp;'S18 Operations'!$D$2:$D$534, 'S18 Operations'!$C$2:$C$534), 2, 0), "")</f>
        <v/>
      </c>
      <c r="E4" s="4" t="str" cm="1">
        <f t="array" ref="E4">IFERROR(VLOOKUP($A4&amp;"-"&amp;E$2, CHOOSE({1,2}, 'S18 Operations'!$B$2:$B$534&amp;"-"&amp;'S18 Operations'!$D$2:$D$534, 'S18 Operations'!$C$2:$C$534), 2, 0), "")</f>
        <v/>
      </c>
      <c r="F4" s="4" t="str" cm="1">
        <f t="array" ref="F4">IFERROR(VLOOKUP($A4&amp;"-"&amp;F$2, CHOOSE({1,2}, 'S18 Operations'!$B$2:$B$534&amp;"-"&amp;'S18 Operations'!$D$2:$D$534, 'S18 Operations'!$C$2:$C$534), 2, 0), "")</f>
        <v/>
      </c>
      <c r="G4" s="4" t="str" cm="1">
        <f t="array" ref="G4">IFERROR(VLOOKUP($A4&amp;"-"&amp;G$2, CHOOSE({1,2}, 'S18 Operations'!$B$2:$B$534&amp;"-"&amp;'S18 Operations'!$D$2:$D$534, 'S18 Operations'!$C$2:$C$534), 2, 0), "")</f>
        <v/>
      </c>
      <c r="H4" s="4" t="str" cm="1">
        <f t="array" ref="H4">IFERROR(VLOOKUP($A4&amp;"-"&amp;H$2, CHOOSE({1,2}, 'S18 Operations'!$B$2:$B$534&amp;"-"&amp;'S18 Operations'!$D$2:$D$534, 'S18 Operations'!$C$2:$C$534), 2, 0), "")</f>
        <v/>
      </c>
      <c r="I4" s="4" t="str" cm="1">
        <f t="array" ref="I4">IFERROR(VLOOKUP($A4&amp;"-"&amp;I$2, CHOOSE({1,2}, 'S18 Operations'!$B$2:$B$534&amp;"-"&amp;'S18 Operations'!$D$2:$D$534, 'S18 Operations'!$C$2:$C$534), 2, 0), "")</f>
        <v/>
      </c>
      <c r="J4" s="4" cm="1">
        <f t="array" ref="J4">IFERROR(VLOOKUP($A4&amp;"-"&amp;J$2, CHOOSE({1,2}, 'S18 Operations'!$B$2:$B$534&amp;"-"&amp;'S18 Operations'!$D$2:$D$534, 'S18 Operations'!$C$2:$C$534), 2, 0), "")</f>
        <v>30</v>
      </c>
      <c r="K4" s="4" t="str" cm="1">
        <f t="array" ref="K4">IFERROR(VLOOKUP($A4&amp;"-"&amp;K$2, CHOOSE({1,2}, 'S18 Operations'!$B$2:$B$534&amp;"-"&amp;'S18 Operations'!$D$2:$D$534, 'S18 Operations'!$C$2:$C$534), 2, 0), "")</f>
        <v/>
      </c>
      <c r="L4" s="4" t="str" cm="1">
        <f t="array" ref="L4">IFERROR(VLOOKUP($A4&amp;"-"&amp;L$2, CHOOSE({1,2}, 'S18 Operations'!$B$2:$B$534&amp;"-"&amp;'S18 Operations'!$D$2:$D$534, 'S18 Operations'!$C$2:$C$534), 2, 0), "")</f>
        <v/>
      </c>
      <c r="M4" s="4" t="str" cm="1">
        <f t="array" ref="M4">IFERROR(VLOOKUP($A4&amp;"-"&amp;M$2, CHOOSE({1,2}, 'S18 Operations'!$B$2:$B$534&amp;"-"&amp;'S18 Operations'!$D$2:$D$534, 'S18 Operations'!$C$2:$C$534), 2, 0), "")</f>
        <v/>
      </c>
      <c r="N4" s="4" t="str" cm="1">
        <f t="array" ref="N4">IFERROR(VLOOKUP($A4&amp;"-"&amp;N$2, CHOOSE({1,2}, 'S18 Operations'!$B$2:$B$534&amp;"-"&amp;'S18 Operations'!$D$2:$D$534, 'S18 Operations'!$C$2:$C$534), 2, 0), "")</f>
        <v/>
      </c>
      <c r="O4" s="4" t="str" cm="1">
        <f t="array" ref="O4">IFERROR(VLOOKUP($A4&amp;"-"&amp;O$2, CHOOSE({1,2}, 'S18 Operations'!$B$2:$B$534&amp;"-"&amp;'S18 Operations'!$D$2:$D$534, 'S18 Operations'!$C$2:$C$534), 2, 0), "")</f>
        <v/>
      </c>
      <c r="P4" s="4" t="str" cm="1">
        <f t="array" ref="P4">IFERROR(VLOOKUP($A4&amp;"-"&amp;P$2, CHOOSE({1,2}, 'S18 Operations'!$B$2:$B$534&amp;"-"&amp;'S18 Operations'!$D$2:$D$534, 'S18 Operations'!$C$2:$C$534), 2, 0), "")</f>
        <v/>
      </c>
      <c r="Q4" s="4" cm="1">
        <f t="array" ref="Q4">IFERROR(VLOOKUP($A4&amp;"-"&amp;Q$2, CHOOSE({1,2}, 'S18 Operations'!$B$2:$B$534&amp;"-"&amp;'S18 Operations'!$D$2:$D$534, 'S18 Operations'!$C$2:$C$534), 2, 0), "")</f>
        <v>40</v>
      </c>
      <c r="R4" s="4" t="str" cm="1">
        <f t="array" ref="R4">IFERROR(VLOOKUP($A4&amp;"-"&amp;R$2, CHOOSE({1,2}, 'S18 Operations'!$B$2:$B$534&amp;"-"&amp;'S18 Operations'!$D$2:$D$534, 'S18 Operations'!$C$2:$C$534), 2, 0), "")</f>
        <v/>
      </c>
      <c r="S4" s="4" t="str" cm="1">
        <f t="array" ref="S4">IFERROR(VLOOKUP($A4&amp;"-"&amp;S$2, CHOOSE({1,2}, 'S18 Operations'!$B$2:$B$534&amp;"-"&amp;'S18 Operations'!$D$2:$D$534, 'S18 Operations'!$C$2:$C$534), 2, 0), "")</f>
        <v/>
      </c>
      <c r="T4" s="4" t="str" cm="1">
        <f t="array" ref="T4">IFERROR(VLOOKUP($A4&amp;"-"&amp;T$2, CHOOSE({1,2}, 'S18 Operations'!$B$2:$B$534&amp;"-"&amp;'S18 Operations'!$D$2:$D$534, 'S18 Operations'!$C$2:$C$534), 2, 0), "")</f>
        <v/>
      </c>
      <c r="U4" s="4" t="str" cm="1">
        <f t="array" ref="U4">IFERROR(VLOOKUP($A4&amp;"-"&amp;U$2, CHOOSE({1,2}, 'S18 Operations'!$B$2:$B$534&amp;"-"&amp;'S18 Operations'!$D$2:$D$534, 'S18 Operations'!$C$2:$C$534), 2, 0), "")</f>
        <v/>
      </c>
      <c r="V4" s="4" t="str" cm="1">
        <f t="array" ref="V4">IFERROR(VLOOKUP($A4&amp;"-"&amp;V$2, CHOOSE({1,2}, 'S18 Operations'!$B$2:$B$534&amp;"-"&amp;'S18 Operations'!$D$2:$D$534, 'S18 Operations'!$C$2:$C$534), 2, 0), "")</f>
        <v/>
      </c>
      <c r="W4" s="4" t="str" cm="1">
        <f t="array" ref="W4">IFERROR(VLOOKUP($A4&amp;"-"&amp;W$2, CHOOSE({1,2}, 'S18 Operations'!$B$2:$B$534&amp;"-"&amp;'S18 Operations'!$D$2:$D$534, 'S18 Operations'!$C$2:$C$534), 2, 0), "")</f>
        <v/>
      </c>
      <c r="X4" s="4" t="str" cm="1">
        <f t="array" ref="X4">IFERROR(VLOOKUP($A4&amp;"-"&amp;X$2, CHOOSE({1,2}, 'S18 Operations'!$B$2:$B$534&amp;"-"&amp;'S18 Operations'!$D$2:$D$534, 'S18 Operations'!$C$2:$C$534), 2, 0), "")</f>
        <v/>
      </c>
      <c r="Y4" s="4" cm="1">
        <f t="array" ref="Y4">IFERROR(VLOOKUP($A4&amp;"-"&amp;Y$2, CHOOSE({1,2}, 'S18 Operations'!$B$2:$B$534&amp;"-"&amp;'S18 Operations'!$D$2:$D$534, 'S18 Operations'!$C$2:$C$534), 2, 0), "")</f>
        <v>50</v>
      </c>
      <c r="Z4" s="4" t="str" cm="1">
        <f t="array" ref="Z4">IFERROR(VLOOKUP($A4&amp;"-"&amp;Z$2, CHOOSE({1,2}, 'S18 Operations'!$B$2:$B$534&amp;"-"&amp;'S18 Operations'!$D$2:$D$534, 'S18 Operations'!$C$2:$C$534), 2, 0), "")</f>
        <v/>
      </c>
      <c r="AA4" s="324" cm="1">
        <f t="array" ref="AA4">IFERROR(VLOOKUP($A4&amp;"-"&amp;AA$2, CHOOSE({1,2}, 'S18 Operations'!$B$2:$B$534&amp;"-"&amp;'S18 Operations'!$D$2:$D$534, 'S18 Operations'!$C$2:$C$534), 2, 0), "")</f>
        <v>60</v>
      </c>
    </row>
    <row r="5" spans="1:27">
      <c r="A5" s="323" t="str">
        <f>'S14 ABC Output'!A8</f>
        <v>I-068</v>
      </c>
      <c r="B5" s="4" cm="1">
        <f t="array" ref="B5">IFERROR(VLOOKUP($A5&amp;"-"&amp;B$2, CHOOSE({1,2}, 'S18 Operations'!$B$2:$B$534&amp;"-"&amp;'S18 Operations'!$D$2:$D$534, 'S18 Operations'!$C$2:$C$534), 2, 0), "")</f>
        <v>10</v>
      </c>
      <c r="C5" s="4" cm="1">
        <f t="array" ref="C5">IFERROR(VLOOKUP($A5&amp;"-"&amp;C$2, CHOOSE({1,2}, 'S18 Operations'!$B$2:$B$534&amp;"-"&amp;'S18 Operations'!$D$2:$D$534, 'S18 Operations'!$C$2:$C$534), 2, 0), "")</f>
        <v>20</v>
      </c>
      <c r="D5" s="4" t="str" cm="1">
        <f t="array" ref="D5">IFERROR(VLOOKUP($A5&amp;"-"&amp;D$2, CHOOSE({1,2}, 'S18 Operations'!$B$2:$B$534&amp;"-"&amp;'S18 Operations'!$D$2:$D$534, 'S18 Operations'!$C$2:$C$534), 2, 0), "")</f>
        <v/>
      </c>
      <c r="E5" s="4" t="str" cm="1">
        <f t="array" ref="E5">IFERROR(VLOOKUP($A5&amp;"-"&amp;E$2, CHOOSE({1,2}, 'S18 Operations'!$B$2:$B$534&amp;"-"&amp;'S18 Operations'!$D$2:$D$534, 'S18 Operations'!$C$2:$C$534), 2, 0), "")</f>
        <v/>
      </c>
      <c r="F5" s="4" t="str" cm="1">
        <f t="array" ref="F5">IFERROR(VLOOKUP($A5&amp;"-"&amp;F$2, CHOOSE({1,2}, 'S18 Operations'!$B$2:$B$534&amp;"-"&amp;'S18 Operations'!$D$2:$D$534, 'S18 Operations'!$C$2:$C$534), 2, 0), "")</f>
        <v/>
      </c>
      <c r="G5" s="4" t="str" cm="1">
        <f t="array" ref="G5">IFERROR(VLOOKUP($A5&amp;"-"&amp;G$2, CHOOSE({1,2}, 'S18 Operations'!$B$2:$B$534&amp;"-"&amp;'S18 Operations'!$D$2:$D$534, 'S18 Operations'!$C$2:$C$534), 2, 0), "")</f>
        <v/>
      </c>
      <c r="H5" s="4" t="str" cm="1">
        <f t="array" ref="H5">IFERROR(VLOOKUP($A5&amp;"-"&amp;H$2, CHOOSE({1,2}, 'S18 Operations'!$B$2:$B$534&amp;"-"&amp;'S18 Operations'!$D$2:$D$534, 'S18 Operations'!$C$2:$C$534), 2, 0), "")</f>
        <v/>
      </c>
      <c r="I5" s="4" t="str" cm="1">
        <f t="array" ref="I5">IFERROR(VLOOKUP($A5&amp;"-"&amp;I$2, CHOOSE({1,2}, 'S18 Operations'!$B$2:$B$534&amp;"-"&amp;'S18 Operations'!$D$2:$D$534, 'S18 Operations'!$C$2:$C$534), 2, 0), "")</f>
        <v/>
      </c>
      <c r="J5" s="4" cm="1">
        <f t="array" ref="J5">IFERROR(VLOOKUP($A5&amp;"-"&amp;J$2, CHOOSE({1,2}, 'S18 Operations'!$B$2:$B$534&amp;"-"&amp;'S18 Operations'!$D$2:$D$534, 'S18 Operations'!$C$2:$C$534), 2, 0), "")</f>
        <v>30</v>
      </c>
      <c r="K5" s="4" t="str" cm="1">
        <f t="array" ref="K5">IFERROR(VLOOKUP($A5&amp;"-"&amp;K$2, CHOOSE({1,2}, 'S18 Operations'!$B$2:$B$534&amp;"-"&amp;'S18 Operations'!$D$2:$D$534, 'S18 Operations'!$C$2:$C$534), 2, 0), "")</f>
        <v/>
      </c>
      <c r="L5" s="4" t="str" cm="1">
        <f t="array" ref="L5">IFERROR(VLOOKUP($A5&amp;"-"&amp;L$2, CHOOSE({1,2}, 'S18 Operations'!$B$2:$B$534&amp;"-"&amp;'S18 Operations'!$D$2:$D$534, 'S18 Operations'!$C$2:$C$534), 2, 0), "")</f>
        <v/>
      </c>
      <c r="M5" s="4" t="str" cm="1">
        <f t="array" ref="M5">IFERROR(VLOOKUP($A5&amp;"-"&amp;M$2, CHOOSE({1,2}, 'S18 Operations'!$B$2:$B$534&amp;"-"&amp;'S18 Operations'!$D$2:$D$534, 'S18 Operations'!$C$2:$C$534), 2, 0), "")</f>
        <v/>
      </c>
      <c r="N5" s="4" t="str" cm="1">
        <f t="array" ref="N5">IFERROR(VLOOKUP($A5&amp;"-"&amp;N$2, CHOOSE({1,2}, 'S18 Operations'!$B$2:$B$534&amp;"-"&amp;'S18 Operations'!$D$2:$D$534, 'S18 Operations'!$C$2:$C$534), 2, 0), "")</f>
        <v/>
      </c>
      <c r="O5" s="4" t="str" cm="1">
        <f t="array" ref="O5">IFERROR(VLOOKUP($A5&amp;"-"&amp;O$2, CHOOSE({1,2}, 'S18 Operations'!$B$2:$B$534&amp;"-"&amp;'S18 Operations'!$D$2:$D$534, 'S18 Operations'!$C$2:$C$534), 2, 0), "")</f>
        <v/>
      </c>
      <c r="P5" s="4" t="str" cm="1">
        <f t="array" ref="P5">IFERROR(VLOOKUP($A5&amp;"-"&amp;P$2, CHOOSE({1,2}, 'S18 Operations'!$B$2:$B$534&amp;"-"&amp;'S18 Operations'!$D$2:$D$534, 'S18 Operations'!$C$2:$C$534), 2, 0), "")</f>
        <v/>
      </c>
      <c r="Q5" s="4" cm="1">
        <f t="array" ref="Q5">IFERROR(VLOOKUP($A5&amp;"-"&amp;Q$2, CHOOSE({1,2}, 'S18 Operations'!$B$2:$B$534&amp;"-"&amp;'S18 Operations'!$D$2:$D$534, 'S18 Operations'!$C$2:$C$534), 2, 0), "")</f>
        <v>40</v>
      </c>
      <c r="R5" s="4" t="str" cm="1">
        <f t="array" ref="R5">IFERROR(VLOOKUP($A5&amp;"-"&amp;R$2, CHOOSE({1,2}, 'S18 Operations'!$B$2:$B$534&amp;"-"&amp;'S18 Operations'!$D$2:$D$534, 'S18 Operations'!$C$2:$C$534), 2, 0), "")</f>
        <v/>
      </c>
      <c r="S5" s="4" t="str" cm="1">
        <f t="array" ref="S5">IFERROR(VLOOKUP($A5&amp;"-"&amp;S$2, CHOOSE({1,2}, 'S18 Operations'!$B$2:$B$534&amp;"-"&amp;'S18 Operations'!$D$2:$D$534, 'S18 Operations'!$C$2:$C$534), 2, 0), "")</f>
        <v/>
      </c>
      <c r="T5" s="4" t="str" cm="1">
        <f t="array" ref="T5">IFERROR(VLOOKUP($A5&amp;"-"&amp;T$2, CHOOSE({1,2}, 'S18 Operations'!$B$2:$B$534&amp;"-"&amp;'S18 Operations'!$D$2:$D$534, 'S18 Operations'!$C$2:$C$534), 2, 0), "")</f>
        <v/>
      </c>
      <c r="U5" s="4" t="str" cm="1">
        <f t="array" ref="U5">IFERROR(VLOOKUP($A5&amp;"-"&amp;U$2, CHOOSE({1,2}, 'S18 Operations'!$B$2:$B$534&amp;"-"&amp;'S18 Operations'!$D$2:$D$534, 'S18 Operations'!$C$2:$C$534), 2, 0), "")</f>
        <v/>
      </c>
      <c r="V5" s="4" t="str" cm="1">
        <f t="array" ref="V5">IFERROR(VLOOKUP($A5&amp;"-"&amp;V$2, CHOOSE({1,2}, 'S18 Operations'!$B$2:$B$534&amp;"-"&amp;'S18 Operations'!$D$2:$D$534, 'S18 Operations'!$C$2:$C$534), 2, 0), "")</f>
        <v/>
      </c>
      <c r="W5" s="4" t="str" cm="1">
        <f t="array" ref="W5">IFERROR(VLOOKUP($A5&amp;"-"&amp;W$2, CHOOSE({1,2}, 'S18 Operations'!$B$2:$B$534&amp;"-"&amp;'S18 Operations'!$D$2:$D$534, 'S18 Operations'!$C$2:$C$534), 2, 0), "")</f>
        <v/>
      </c>
      <c r="X5" s="4" t="str" cm="1">
        <f t="array" ref="X5">IFERROR(VLOOKUP($A5&amp;"-"&amp;X$2, CHOOSE({1,2}, 'S18 Operations'!$B$2:$B$534&amp;"-"&amp;'S18 Operations'!$D$2:$D$534, 'S18 Operations'!$C$2:$C$534), 2, 0), "")</f>
        <v/>
      </c>
      <c r="Y5" s="4" cm="1">
        <f t="array" ref="Y5">IFERROR(VLOOKUP($A5&amp;"-"&amp;Y$2, CHOOSE({1,2}, 'S18 Operations'!$B$2:$B$534&amp;"-"&amp;'S18 Operations'!$D$2:$D$534, 'S18 Operations'!$C$2:$C$534), 2, 0), "")</f>
        <v>50</v>
      </c>
      <c r="Z5" s="4" t="str" cm="1">
        <f t="array" ref="Z5">IFERROR(VLOOKUP($A5&amp;"-"&amp;Z$2, CHOOSE({1,2}, 'S18 Operations'!$B$2:$B$534&amp;"-"&amp;'S18 Operations'!$D$2:$D$534, 'S18 Operations'!$C$2:$C$534), 2, 0), "")</f>
        <v/>
      </c>
      <c r="AA5" s="324" cm="1">
        <f t="array" ref="AA5">IFERROR(VLOOKUP($A5&amp;"-"&amp;AA$2, CHOOSE({1,2}, 'S18 Operations'!$B$2:$B$534&amp;"-"&amp;'S18 Operations'!$D$2:$D$534, 'S18 Operations'!$C$2:$C$534), 2, 0), "")</f>
        <v>60</v>
      </c>
    </row>
    <row r="6" spans="1:27">
      <c r="A6" s="323" t="str">
        <f>'S14 ABC Output'!A12</f>
        <v>I-069</v>
      </c>
      <c r="B6" s="4" cm="1">
        <f t="array" ref="B6">IFERROR(VLOOKUP($A6&amp;"-"&amp;B$2, CHOOSE({1,2}, 'S18 Operations'!$B$2:$B$534&amp;"-"&amp;'S18 Operations'!$D$2:$D$534, 'S18 Operations'!$C$2:$C$534), 2, 0), "")</f>
        <v>10</v>
      </c>
      <c r="C6" s="4" cm="1">
        <f t="array" ref="C6">IFERROR(VLOOKUP($A6&amp;"-"&amp;C$2, CHOOSE({1,2}, 'S18 Operations'!$B$2:$B$534&amp;"-"&amp;'S18 Operations'!$D$2:$D$534, 'S18 Operations'!$C$2:$C$534), 2, 0), "")</f>
        <v>20</v>
      </c>
      <c r="D6" s="4" t="str" cm="1">
        <f t="array" ref="D6">IFERROR(VLOOKUP($A6&amp;"-"&amp;D$2, CHOOSE({1,2}, 'S18 Operations'!$B$2:$B$534&amp;"-"&amp;'S18 Operations'!$D$2:$D$534, 'S18 Operations'!$C$2:$C$534), 2, 0), "")</f>
        <v/>
      </c>
      <c r="E6" s="4" t="str" cm="1">
        <f t="array" ref="E6">IFERROR(VLOOKUP($A6&amp;"-"&amp;E$2, CHOOSE({1,2}, 'S18 Operations'!$B$2:$B$534&amp;"-"&amp;'S18 Operations'!$D$2:$D$534, 'S18 Operations'!$C$2:$C$534), 2, 0), "")</f>
        <v/>
      </c>
      <c r="F6" s="4" t="str" cm="1">
        <f t="array" ref="F6">IFERROR(VLOOKUP($A6&amp;"-"&amp;F$2, CHOOSE({1,2}, 'S18 Operations'!$B$2:$B$534&amp;"-"&amp;'S18 Operations'!$D$2:$D$534, 'S18 Operations'!$C$2:$C$534), 2, 0), "")</f>
        <v/>
      </c>
      <c r="G6" s="4" t="str" cm="1">
        <f t="array" ref="G6">IFERROR(VLOOKUP($A6&amp;"-"&amp;G$2, CHOOSE({1,2}, 'S18 Operations'!$B$2:$B$534&amp;"-"&amp;'S18 Operations'!$D$2:$D$534, 'S18 Operations'!$C$2:$C$534), 2, 0), "")</f>
        <v/>
      </c>
      <c r="H6" s="4" t="str" cm="1">
        <f t="array" ref="H6">IFERROR(VLOOKUP($A6&amp;"-"&amp;H$2, CHOOSE({1,2}, 'S18 Operations'!$B$2:$B$534&amp;"-"&amp;'S18 Operations'!$D$2:$D$534, 'S18 Operations'!$C$2:$C$534), 2, 0), "")</f>
        <v/>
      </c>
      <c r="I6" s="4" t="str" cm="1">
        <f t="array" ref="I6">IFERROR(VLOOKUP($A6&amp;"-"&amp;I$2, CHOOSE({1,2}, 'S18 Operations'!$B$2:$B$534&amp;"-"&amp;'S18 Operations'!$D$2:$D$534, 'S18 Operations'!$C$2:$C$534), 2, 0), "")</f>
        <v/>
      </c>
      <c r="J6" s="4" cm="1">
        <f t="array" ref="J6">IFERROR(VLOOKUP($A6&amp;"-"&amp;J$2, CHOOSE({1,2}, 'S18 Operations'!$B$2:$B$534&amp;"-"&amp;'S18 Operations'!$D$2:$D$534, 'S18 Operations'!$C$2:$C$534), 2, 0), "")</f>
        <v>30</v>
      </c>
      <c r="K6" s="4" t="str" cm="1">
        <f t="array" ref="K6">IFERROR(VLOOKUP($A6&amp;"-"&amp;K$2, CHOOSE({1,2}, 'S18 Operations'!$B$2:$B$534&amp;"-"&amp;'S18 Operations'!$D$2:$D$534, 'S18 Operations'!$C$2:$C$534), 2, 0), "")</f>
        <v/>
      </c>
      <c r="L6" s="4" t="str" cm="1">
        <f t="array" ref="L6">IFERROR(VLOOKUP($A6&amp;"-"&amp;L$2, CHOOSE({1,2}, 'S18 Operations'!$B$2:$B$534&amp;"-"&amp;'S18 Operations'!$D$2:$D$534, 'S18 Operations'!$C$2:$C$534), 2, 0), "")</f>
        <v/>
      </c>
      <c r="M6" s="4" t="str" cm="1">
        <f t="array" ref="M6">IFERROR(VLOOKUP($A6&amp;"-"&amp;M$2, CHOOSE({1,2}, 'S18 Operations'!$B$2:$B$534&amp;"-"&amp;'S18 Operations'!$D$2:$D$534, 'S18 Operations'!$C$2:$C$534), 2, 0), "")</f>
        <v/>
      </c>
      <c r="N6" s="4" t="str" cm="1">
        <f t="array" ref="N6">IFERROR(VLOOKUP($A6&amp;"-"&amp;N$2, CHOOSE({1,2}, 'S18 Operations'!$B$2:$B$534&amp;"-"&amp;'S18 Operations'!$D$2:$D$534, 'S18 Operations'!$C$2:$C$534), 2, 0), "")</f>
        <v/>
      </c>
      <c r="O6" s="4" t="str" cm="1">
        <f t="array" ref="O6">IFERROR(VLOOKUP($A6&amp;"-"&amp;O$2, CHOOSE({1,2}, 'S18 Operations'!$B$2:$B$534&amp;"-"&amp;'S18 Operations'!$D$2:$D$534, 'S18 Operations'!$C$2:$C$534), 2, 0), "")</f>
        <v/>
      </c>
      <c r="P6" s="4" t="str" cm="1">
        <f t="array" ref="P6">IFERROR(VLOOKUP($A6&amp;"-"&amp;P$2, CHOOSE({1,2}, 'S18 Operations'!$B$2:$B$534&amp;"-"&amp;'S18 Operations'!$D$2:$D$534, 'S18 Operations'!$C$2:$C$534), 2, 0), "")</f>
        <v/>
      </c>
      <c r="Q6" s="4" cm="1">
        <f t="array" ref="Q6">IFERROR(VLOOKUP($A6&amp;"-"&amp;Q$2, CHOOSE({1,2}, 'S18 Operations'!$B$2:$B$534&amp;"-"&amp;'S18 Operations'!$D$2:$D$534, 'S18 Operations'!$C$2:$C$534), 2, 0), "")</f>
        <v>40</v>
      </c>
      <c r="R6" s="4" t="str" cm="1">
        <f t="array" ref="R6">IFERROR(VLOOKUP($A6&amp;"-"&amp;R$2, CHOOSE({1,2}, 'S18 Operations'!$B$2:$B$534&amp;"-"&amp;'S18 Operations'!$D$2:$D$534, 'S18 Operations'!$C$2:$C$534), 2, 0), "")</f>
        <v/>
      </c>
      <c r="S6" s="4" t="str" cm="1">
        <f t="array" ref="S6">IFERROR(VLOOKUP($A6&amp;"-"&amp;S$2, CHOOSE({1,2}, 'S18 Operations'!$B$2:$B$534&amp;"-"&amp;'S18 Operations'!$D$2:$D$534, 'S18 Operations'!$C$2:$C$534), 2, 0), "")</f>
        <v/>
      </c>
      <c r="T6" s="4" t="str" cm="1">
        <f t="array" ref="T6">IFERROR(VLOOKUP($A6&amp;"-"&amp;T$2, CHOOSE({1,2}, 'S18 Operations'!$B$2:$B$534&amp;"-"&amp;'S18 Operations'!$D$2:$D$534, 'S18 Operations'!$C$2:$C$534), 2, 0), "")</f>
        <v/>
      </c>
      <c r="U6" s="4" t="str" cm="1">
        <f t="array" ref="U6">IFERROR(VLOOKUP($A6&amp;"-"&amp;U$2, CHOOSE({1,2}, 'S18 Operations'!$B$2:$B$534&amp;"-"&amp;'S18 Operations'!$D$2:$D$534, 'S18 Operations'!$C$2:$C$534), 2, 0), "")</f>
        <v/>
      </c>
      <c r="V6" s="4" t="str" cm="1">
        <f t="array" ref="V6">IFERROR(VLOOKUP($A6&amp;"-"&amp;V$2, CHOOSE({1,2}, 'S18 Operations'!$B$2:$B$534&amp;"-"&amp;'S18 Operations'!$D$2:$D$534, 'S18 Operations'!$C$2:$C$534), 2, 0), "")</f>
        <v/>
      </c>
      <c r="W6" s="4" t="str" cm="1">
        <f t="array" ref="W6">IFERROR(VLOOKUP($A6&amp;"-"&amp;W$2, CHOOSE({1,2}, 'S18 Operations'!$B$2:$B$534&amp;"-"&amp;'S18 Operations'!$D$2:$D$534, 'S18 Operations'!$C$2:$C$534), 2, 0), "")</f>
        <v/>
      </c>
      <c r="X6" s="4" t="str" cm="1">
        <f t="array" ref="X6">IFERROR(VLOOKUP($A6&amp;"-"&amp;X$2, CHOOSE({1,2}, 'S18 Operations'!$B$2:$B$534&amp;"-"&amp;'S18 Operations'!$D$2:$D$534, 'S18 Operations'!$C$2:$C$534), 2, 0), "")</f>
        <v/>
      </c>
      <c r="Y6" s="4" cm="1">
        <f t="array" ref="Y6">IFERROR(VLOOKUP($A6&amp;"-"&amp;Y$2, CHOOSE({1,2}, 'S18 Operations'!$B$2:$B$534&amp;"-"&amp;'S18 Operations'!$D$2:$D$534, 'S18 Operations'!$C$2:$C$534), 2, 0), "")</f>
        <v>50</v>
      </c>
      <c r="Z6" s="4" t="str" cm="1">
        <f t="array" ref="Z6">IFERROR(VLOOKUP($A6&amp;"-"&amp;Z$2, CHOOSE({1,2}, 'S18 Operations'!$B$2:$B$534&amp;"-"&amp;'S18 Operations'!$D$2:$D$534, 'S18 Operations'!$C$2:$C$534), 2, 0), "")</f>
        <v/>
      </c>
      <c r="AA6" s="324" cm="1">
        <f t="array" ref="AA6">IFERROR(VLOOKUP($A6&amp;"-"&amp;AA$2, CHOOSE({1,2}, 'S18 Operations'!$B$2:$B$534&amp;"-"&amp;'S18 Operations'!$D$2:$D$534, 'S18 Operations'!$C$2:$C$534), 2, 0), "")</f>
        <v>60</v>
      </c>
    </row>
    <row r="7" spans="1:27">
      <c r="A7" s="323" t="str">
        <f>'S14 ABC Output'!A13</f>
        <v>I-070</v>
      </c>
      <c r="B7" s="4" cm="1">
        <f t="array" ref="B7">IFERROR(VLOOKUP($A7&amp;"-"&amp;B$2, CHOOSE({1,2}, 'S18 Operations'!$B$2:$B$534&amp;"-"&amp;'S18 Operations'!$D$2:$D$534, 'S18 Operations'!$C$2:$C$534), 2, 0), "")</f>
        <v>10</v>
      </c>
      <c r="C7" s="4" cm="1">
        <f t="array" ref="C7">IFERROR(VLOOKUP($A7&amp;"-"&amp;C$2, CHOOSE({1,2}, 'S18 Operations'!$B$2:$B$534&amp;"-"&amp;'S18 Operations'!$D$2:$D$534, 'S18 Operations'!$C$2:$C$534), 2, 0), "")</f>
        <v>20</v>
      </c>
      <c r="D7" s="4" t="str" cm="1">
        <f t="array" ref="D7">IFERROR(VLOOKUP($A7&amp;"-"&amp;D$2, CHOOSE({1,2}, 'S18 Operations'!$B$2:$B$534&amp;"-"&amp;'S18 Operations'!$D$2:$D$534, 'S18 Operations'!$C$2:$C$534), 2, 0), "")</f>
        <v/>
      </c>
      <c r="E7" s="4" t="str" cm="1">
        <f t="array" ref="E7">IFERROR(VLOOKUP($A7&amp;"-"&amp;E$2, CHOOSE({1,2}, 'S18 Operations'!$B$2:$B$534&amp;"-"&amp;'S18 Operations'!$D$2:$D$534, 'S18 Operations'!$C$2:$C$534), 2, 0), "")</f>
        <v/>
      </c>
      <c r="F7" s="4" t="str" cm="1">
        <f t="array" ref="F7">IFERROR(VLOOKUP($A7&amp;"-"&amp;F$2, CHOOSE({1,2}, 'S18 Operations'!$B$2:$B$534&amp;"-"&amp;'S18 Operations'!$D$2:$D$534, 'S18 Operations'!$C$2:$C$534), 2, 0), "")</f>
        <v/>
      </c>
      <c r="G7" s="4" t="str" cm="1">
        <f t="array" ref="G7">IFERROR(VLOOKUP($A7&amp;"-"&amp;G$2, CHOOSE({1,2}, 'S18 Operations'!$B$2:$B$534&amp;"-"&amp;'S18 Operations'!$D$2:$D$534, 'S18 Operations'!$C$2:$C$534), 2, 0), "")</f>
        <v/>
      </c>
      <c r="H7" s="4" t="str" cm="1">
        <f t="array" ref="H7">IFERROR(VLOOKUP($A7&amp;"-"&amp;H$2, CHOOSE({1,2}, 'S18 Operations'!$B$2:$B$534&amp;"-"&amp;'S18 Operations'!$D$2:$D$534, 'S18 Operations'!$C$2:$C$534), 2, 0), "")</f>
        <v/>
      </c>
      <c r="I7" s="4" t="str" cm="1">
        <f t="array" ref="I7">IFERROR(VLOOKUP($A7&amp;"-"&amp;I$2, CHOOSE({1,2}, 'S18 Operations'!$B$2:$B$534&amp;"-"&amp;'S18 Operations'!$D$2:$D$534, 'S18 Operations'!$C$2:$C$534), 2, 0), "")</f>
        <v/>
      </c>
      <c r="J7" s="4" cm="1">
        <f t="array" ref="J7">IFERROR(VLOOKUP($A7&amp;"-"&amp;J$2, CHOOSE({1,2}, 'S18 Operations'!$B$2:$B$534&amp;"-"&amp;'S18 Operations'!$D$2:$D$534, 'S18 Operations'!$C$2:$C$534), 2, 0), "")</f>
        <v>30</v>
      </c>
      <c r="K7" s="4" t="str" cm="1">
        <f t="array" ref="K7">IFERROR(VLOOKUP($A7&amp;"-"&amp;K$2, CHOOSE({1,2}, 'S18 Operations'!$B$2:$B$534&amp;"-"&amp;'S18 Operations'!$D$2:$D$534, 'S18 Operations'!$C$2:$C$534), 2, 0), "")</f>
        <v/>
      </c>
      <c r="L7" s="4" t="str" cm="1">
        <f t="array" ref="L7">IFERROR(VLOOKUP($A7&amp;"-"&amp;L$2, CHOOSE({1,2}, 'S18 Operations'!$B$2:$B$534&amp;"-"&amp;'S18 Operations'!$D$2:$D$534, 'S18 Operations'!$C$2:$C$534), 2, 0), "")</f>
        <v/>
      </c>
      <c r="M7" s="4" t="str" cm="1">
        <f t="array" ref="M7">IFERROR(VLOOKUP($A7&amp;"-"&amp;M$2, CHOOSE({1,2}, 'S18 Operations'!$B$2:$B$534&amp;"-"&amp;'S18 Operations'!$D$2:$D$534, 'S18 Operations'!$C$2:$C$534), 2, 0), "")</f>
        <v/>
      </c>
      <c r="N7" s="4" t="str" cm="1">
        <f t="array" ref="N7">IFERROR(VLOOKUP($A7&amp;"-"&amp;N$2, CHOOSE({1,2}, 'S18 Operations'!$B$2:$B$534&amp;"-"&amp;'S18 Operations'!$D$2:$D$534, 'S18 Operations'!$C$2:$C$534), 2, 0), "")</f>
        <v/>
      </c>
      <c r="O7" s="4" t="str" cm="1">
        <f t="array" ref="O7">IFERROR(VLOOKUP($A7&amp;"-"&amp;O$2, CHOOSE({1,2}, 'S18 Operations'!$B$2:$B$534&amp;"-"&amp;'S18 Operations'!$D$2:$D$534, 'S18 Operations'!$C$2:$C$534), 2, 0), "")</f>
        <v/>
      </c>
      <c r="P7" s="4" t="str" cm="1">
        <f t="array" ref="P7">IFERROR(VLOOKUP($A7&amp;"-"&amp;P$2, CHOOSE({1,2}, 'S18 Operations'!$B$2:$B$534&amp;"-"&amp;'S18 Operations'!$D$2:$D$534, 'S18 Operations'!$C$2:$C$534), 2, 0), "")</f>
        <v/>
      </c>
      <c r="Q7" s="4" cm="1">
        <f t="array" ref="Q7">IFERROR(VLOOKUP($A7&amp;"-"&amp;Q$2, CHOOSE({1,2}, 'S18 Operations'!$B$2:$B$534&amp;"-"&amp;'S18 Operations'!$D$2:$D$534, 'S18 Operations'!$C$2:$C$534), 2, 0), "")</f>
        <v>40</v>
      </c>
      <c r="R7" s="4" t="str" cm="1">
        <f t="array" ref="R7">IFERROR(VLOOKUP($A7&amp;"-"&amp;R$2, CHOOSE({1,2}, 'S18 Operations'!$B$2:$B$534&amp;"-"&amp;'S18 Operations'!$D$2:$D$534, 'S18 Operations'!$C$2:$C$534), 2, 0), "")</f>
        <v/>
      </c>
      <c r="S7" s="4" t="str" cm="1">
        <f t="array" ref="S7">IFERROR(VLOOKUP($A7&amp;"-"&amp;S$2, CHOOSE({1,2}, 'S18 Operations'!$B$2:$B$534&amp;"-"&amp;'S18 Operations'!$D$2:$D$534, 'S18 Operations'!$C$2:$C$534), 2, 0), "")</f>
        <v/>
      </c>
      <c r="T7" s="4" t="str" cm="1">
        <f t="array" ref="T7">IFERROR(VLOOKUP($A7&amp;"-"&amp;T$2, CHOOSE({1,2}, 'S18 Operations'!$B$2:$B$534&amp;"-"&amp;'S18 Operations'!$D$2:$D$534, 'S18 Operations'!$C$2:$C$534), 2, 0), "")</f>
        <v/>
      </c>
      <c r="U7" s="4" t="str" cm="1">
        <f t="array" ref="U7">IFERROR(VLOOKUP($A7&amp;"-"&amp;U$2, CHOOSE({1,2}, 'S18 Operations'!$B$2:$B$534&amp;"-"&amp;'S18 Operations'!$D$2:$D$534, 'S18 Operations'!$C$2:$C$534), 2, 0), "")</f>
        <v/>
      </c>
      <c r="V7" s="4" t="str" cm="1">
        <f t="array" ref="V7">IFERROR(VLOOKUP($A7&amp;"-"&amp;V$2, CHOOSE({1,2}, 'S18 Operations'!$B$2:$B$534&amp;"-"&amp;'S18 Operations'!$D$2:$D$534, 'S18 Operations'!$C$2:$C$534), 2, 0), "")</f>
        <v/>
      </c>
      <c r="W7" s="4" t="str" cm="1">
        <f t="array" ref="W7">IFERROR(VLOOKUP($A7&amp;"-"&amp;W$2, CHOOSE({1,2}, 'S18 Operations'!$B$2:$B$534&amp;"-"&amp;'S18 Operations'!$D$2:$D$534, 'S18 Operations'!$C$2:$C$534), 2, 0), "")</f>
        <v/>
      </c>
      <c r="X7" s="4" t="str" cm="1">
        <f t="array" ref="X7">IFERROR(VLOOKUP($A7&amp;"-"&amp;X$2, CHOOSE({1,2}, 'S18 Operations'!$B$2:$B$534&amp;"-"&amp;'S18 Operations'!$D$2:$D$534, 'S18 Operations'!$C$2:$C$534), 2, 0), "")</f>
        <v/>
      </c>
      <c r="Y7" s="4" cm="1">
        <f t="array" ref="Y7">IFERROR(VLOOKUP($A7&amp;"-"&amp;Y$2, CHOOSE({1,2}, 'S18 Operations'!$B$2:$B$534&amp;"-"&amp;'S18 Operations'!$D$2:$D$534, 'S18 Operations'!$C$2:$C$534), 2, 0), "")</f>
        <v>50</v>
      </c>
      <c r="Z7" s="4" t="str" cm="1">
        <f t="array" ref="Z7">IFERROR(VLOOKUP($A7&amp;"-"&amp;Z$2, CHOOSE({1,2}, 'S18 Operations'!$B$2:$B$534&amp;"-"&amp;'S18 Operations'!$D$2:$D$534, 'S18 Operations'!$C$2:$C$534), 2, 0), "")</f>
        <v/>
      </c>
      <c r="AA7" s="324" cm="1">
        <f t="array" ref="AA7">IFERROR(VLOOKUP($A7&amp;"-"&amp;AA$2, CHOOSE({1,2}, 'S18 Operations'!$B$2:$B$534&amp;"-"&amp;'S18 Operations'!$D$2:$D$534, 'S18 Operations'!$C$2:$C$534), 2, 0), "")</f>
        <v>60</v>
      </c>
    </row>
    <row r="8" spans="1:27" ht="16" thickBot="1">
      <c r="A8" s="325" t="str">
        <f>'S14 ABC Output'!A16</f>
        <v>I-071</v>
      </c>
      <c r="B8" s="326" cm="1">
        <f t="array" ref="B8">IFERROR(VLOOKUP($A8&amp;"-"&amp;B$2, CHOOSE({1,2}, 'S18 Operations'!$B$2:$B$534&amp;"-"&amp;'S18 Operations'!$D$2:$D$534, 'S18 Operations'!$C$2:$C$534), 2, 0), "")</f>
        <v>10</v>
      </c>
      <c r="C8" s="326" cm="1">
        <f t="array" ref="C8">IFERROR(VLOOKUP($A8&amp;"-"&amp;C$2, CHOOSE({1,2}, 'S18 Operations'!$B$2:$B$534&amp;"-"&amp;'S18 Operations'!$D$2:$D$534, 'S18 Operations'!$C$2:$C$534), 2, 0), "")</f>
        <v>20</v>
      </c>
      <c r="D8" s="326" t="str" cm="1">
        <f t="array" ref="D8">IFERROR(VLOOKUP($A8&amp;"-"&amp;D$2, CHOOSE({1,2}, 'S18 Operations'!$B$2:$B$534&amp;"-"&amp;'S18 Operations'!$D$2:$D$534, 'S18 Operations'!$C$2:$C$534), 2, 0), "")</f>
        <v/>
      </c>
      <c r="E8" s="326" t="str" cm="1">
        <f t="array" ref="E8">IFERROR(VLOOKUP($A8&amp;"-"&amp;E$2, CHOOSE({1,2}, 'S18 Operations'!$B$2:$B$534&amp;"-"&amp;'S18 Operations'!$D$2:$D$534, 'S18 Operations'!$C$2:$C$534), 2, 0), "")</f>
        <v/>
      </c>
      <c r="F8" s="326" t="str" cm="1">
        <f t="array" ref="F8">IFERROR(VLOOKUP($A8&amp;"-"&amp;F$2, CHOOSE({1,2}, 'S18 Operations'!$B$2:$B$534&amp;"-"&amp;'S18 Operations'!$D$2:$D$534, 'S18 Operations'!$C$2:$C$534), 2, 0), "")</f>
        <v/>
      </c>
      <c r="G8" s="326" t="str" cm="1">
        <f t="array" ref="G8">IFERROR(VLOOKUP($A8&amp;"-"&amp;G$2, CHOOSE({1,2}, 'S18 Operations'!$B$2:$B$534&amp;"-"&amp;'S18 Operations'!$D$2:$D$534, 'S18 Operations'!$C$2:$C$534), 2, 0), "")</f>
        <v/>
      </c>
      <c r="H8" s="326" t="str" cm="1">
        <f t="array" ref="H8">IFERROR(VLOOKUP($A8&amp;"-"&amp;H$2, CHOOSE({1,2}, 'S18 Operations'!$B$2:$B$534&amp;"-"&amp;'S18 Operations'!$D$2:$D$534, 'S18 Operations'!$C$2:$C$534), 2, 0), "")</f>
        <v/>
      </c>
      <c r="I8" s="326" t="str" cm="1">
        <f t="array" ref="I8">IFERROR(VLOOKUP($A8&amp;"-"&amp;I$2, CHOOSE({1,2}, 'S18 Operations'!$B$2:$B$534&amp;"-"&amp;'S18 Operations'!$D$2:$D$534, 'S18 Operations'!$C$2:$C$534), 2, 0), "")</f>
        <v/>
      </c>
      <c r="J8" s="326" cm="1">
        <f t="array" ref="J8">IFERROR(VLOOKUP($A8&amp;"-"&amp;J$2, CHOOSE({1,2}, 'S18 Operations'!$B$2:$B$534&amp;"-"&amp;'S18 Operations'!$D$2:$D$534, 'S18 Operations'!$C$2:$C$534), 2, 0), "")</f>
        <v>30</v>
      </c>
      <c r="K8" s="326" t="str" cm="1">
        <f t="array" ref="K8">IFERROR(VLOOKUP($A8&amp;"-"&amp;K$2, CHOOSE({1,2}, 'S18 Operations'!$B$2:$B$534&amp;"-"&amp;'S18 Operations'!$D$2:$D$534, 'S18 Operations'!$C$2:$C$534), 2, 0), "")</f>
        <v/>
      </c>
      <c r="L8" s="326" t="str" cm="1">
        <f t="array" ref="L8">IFERROR(VLOOKUP($A8&amp;"-"&amp;L$2, CHOOSE({1,2}, 'S18 Operations'!$B$2:$B$534&amp;"-"&amp;'S18 Operations'!$D$2:$D$534, 'S18 Operations'!$C$2:$C$534), 2, 0), "")</f>
        <v/>
      </c>
      <c r="M8" s="326" t="str" cm="1">
        <f t="array" ref="M8">IFERROR(VLOOKUP($A8&amp;"-"&amp;M$2, CHOOSE({1,2}, 'S18 Operations'!$B$2:$B$534&amp;"-"&amp;'S18 Operations'!$D$2:$D$534, 'S18 Operations'!$C$2:$C$534), 2, 0), "")</f>
        <v/>
      </c>
      <c r="N8" s="326" t="str" cm="1">
        <f t="array" ref="N8">IFERROR(VLOOKUP($A8&amp;"-"&amp;N$2, CHOOSE({1,2}, 'S18 Operations'!$B$2:$B$534&amp;"-"&amp;'S18 Operations'!$D$2:$D$534, 'S18 Operations'!$C$2:$C$534), 2, 0), "")</f>
        <v/>
      </c>
      <c r="O8" s="326" t="str" cm="1">
        <f t="array" ref="O8">IFERROR(VLOOKUP($A8&amp;"-"&amp;O$2, CHOOSE({1,2}, 'S18 Operations'!$B$2:$B$534&amp;"-"&amp;'S18 Operations'!$D$2:$D$534, 'S18 Operations'!$C$2:$C$534), 2, 0), "")</f>
        <v/>
      </c>
      <c r="P8" s="326" t="str" cm="1">
        <f t="array" ref="P8">IFERROR(VLOOKUP($A8&amp;"-"&amp;P$2, CHOOSE({1,2}, 'S18 Operations'!$B$2:$B$534&amp;"-"&amp;'S18 Operations'!$D$2:$D$534, 'S18 Operations'!$C$2:$C$534), 2, 0), "")</f>
        <v/>
      </c>
      <c r="Q8" s="326" cm="1">
        <f t="array" ref="Q8">IFERROR(VLOOKUP($A8&amp;"-"&amp;Q$2, CHOOSE({1,2}, 'S18 Operations'!$B$2:$B$534&amp;"-"&amp;'S18 Operations'!$D$2:$D$534, 'S18 Operations'!$C$2:$C$534), 2, 0), "")</f>
        <v>40</v>
      </c>
      <c r="R8" s="326" t="str" cm="1">
        <f t="array" ref="R8">IFERROR(VLOOKUP($A8&amp;"-"&amp;R$2, CHOOSE({1,2}, 'S18 Operations'!$B$2:$B$534&amp;"-"&amp;'S18 Operations'!$D$2:$D$534, 'S18 Operations'!$C$2:$C$534), 2, 0), "")</f>
        <v/>
      </c>
      <c r="S8" s="326" t="str" cm="1">
        <f t="array" ref="S8">IFERROR(VLOOKUP($A8&amp;"-"&amp;S$2, CHOOSE({1,2}, 'S18 Operations'!$B$2:$B$534&amp;"-"&amp;'S18 Operations'!$D$2:$D$534, 'S18 Operations'!$C$2:$C$534), 2, 0), "")</f>
        <v/>
      </c>
      <c r="T8" s="326" t="str" cm="1">
        <f t="array" ref="T8">IFERROR(VLOOKUP($A8&amp;"-"&amp;T$2, CHOOSE({1,2}, 'S18 Operations'!$B$2:$B$534&amp;"-"&amp;'S18 Operations'!$D$2:$D$534, 'S18 Operations'!$C$2:$C$534), 2, 0), "")</f>
        <v/>
      </c>
      <c r="U8" s="326" t="str" cm="1">
        <f t="array" ref="U8">IFERROR(VLOOKUP($A8&amp;"-"&amp;U$2, CHOOSE({1,2}, 'S18 Operations'!$B$2:$B$534&amp;"-"&amp;'S18 Operations'!$D$2:$D$534, 'S18 Operations'!$C$2:$C$534), 2, 0), "")</f>
        <v/>
      </c>
      <c r="V8" s="326" t="str" cm="1">
        <f t="array" ref="V8">IFERROR(VLOOKUP($A8&amp;"-"&amp;V$2, CHOOSE({1,2}, 'S18 Operations'!$B$2:$B$534&amp;"-"&amp;'S18 Operations'!$D$2:$D$534, 'S18 Operations'!$C$2:$C$534), 2, 0), "")</f>
        <v/>
      </c>
      <c r="W8" s="326" t="str" cm="1">
        <f t="array" ref="W8">IFERROR(VLOOKUP($A8&amp;"-"&amp;W$2, CHOOSE({1,2}, 'S18 Operations'!$B$2:$B$534&amp;"-"&amp;'S18 Operations'!$D$2:$D$534, 'S18 Operations'!$C$2:$C$534), 2, 0), "")</f>
        <v/>
      </c>
      <c r="X8" s="326" t="str" cm="1">
        <f t="array" ref="X8">IFERROR(VLOOKUP($A8&amp;"-"&amp;X$2, CHOOSE({1,2}, 'S18 Operations'!$B$2:$B$534&amp;"-"&amp;'S18 Operations'!$D$2:$D$534, 'S18 Operations'!$C$2:$C$534), 2, 0), "")</f>
        <v/>
      </c>
      <c r="Y8" s="326" cm="1">
        <f t="array" ref="Y8">IFERROR(VLOOKUP($A8&amp;"-"&amp;Y$2, CHOOSE({1,2}, 'S18 Operations'!$B$2:$B$534&amp;"-"&amp;'S18 Operations'!$D$2:$D$534, 'S18 Operations'!$C$2:$C$534), 2, 0), "")</f>
        <v>50</v>
      </c>
      <c r="Z8" s="326" t="str" cm="1">
        <f t="array" ref="Z8">IFERROR(VLOOKUP($A8&amp;"-"&amp;Z$2, CHOOSE({1,2}, 'S18 Operations'!$B$2:$B$534&amp;"-"&amp;'S18 Operations'!$D$2:$D$534, 'S18 Operations'!$C$2:$C$534), 2, 0), "")</f>
        <v/>
      </c>
      <c r="AA8" s="327" cm="1">
        <f t="array" ref="AA8">IFERROR(VLOOKUP($A8&amp;"-"&amp;AA$2, CHOOSE({1,2}, 'S18 Operations'!$B$2:$B$534&amp;"-"&amp;'S18 Operations'!$D$2:$D$534, 'S18 Operations'!$C$2:$C$534), 2, 0), "")</f>
        <v>60</v>
      </c>
    </row>
    <row r="9" spans="1:27">
      <c r="A9" s="320" t="str">
        <f>'S14 ABC Output'!A5</f>
        <v>I-037</v>
      </c>
      <c r="B9" s="321" cm="1">
        <f t="array" ref="B9">IFERROR(VLOOKUP($A9&amp;"-"&amp;B$2, CHOOSE({1,2}, 'S18 Operations'!$B$2:$B$534&amp;"-"&amp;'S18 Operations'!$D$2:$D$534, 'S18 Operations'!$C$2:$C$534), 2, 0), "")</f>
        <v>10</v>
      </c>
      <c r="C9" s="321" t="str" cm="1">
        <f t="array" ref="C9">IFERROR(VLOOKUP($A9&amp;"-"&amp;C$2, CHOOSE({1,2}, 'S18 Operations'!$B$2:$B$534&amp;"-"&amp;'S18 Operations'!$D$2:$D$534, 'S18 Operations'!$C$2:$C$534), 2, 0), "")</f>
        <v/>
      </c>
      <c r="D9" s="321" cm="1">
        <f t="array" ref="D9">IFERROR(VLOOKUP($A9&amp;"-"&amp;D$2, CHOOSE({1,2}, 'S18 Operations'!$B$2:$B$534&amp;"-"&amp;'S18 Operations'!$D$2:$D$534, 'S18 Operations'!$C$2:$C$534), 2, 0), "")</f>
        <v>20</v>
      </c>
      <c r="E9" s="321" t="str" cm="1">
        <f t="array" ref="E9">IFERROR(VLOOKUP($A9&amp;"-"&amp;E$2, CHOOSE({1,2}, 'S18 Operations'!$B$2:$B$534&amp;"-"&amp;'S18 Operations'!$D$2:$D$534, 'S18 Operations'!$C$2:$C$534), 2, 0), "")</f>
        <v/>
      </c>
      <c r="F9" s="321" t="str" cm="1">
        <f t="array" ref="F9">IFERROR(VLOOKUP($A9&amp;"-"&amp;F$2, CHOOSE({1,2}, 'S18 Operations'!$B$2:$B$534&amp;"-"&amp;'S18 Operations'!$D$2:$D$534, 'S18 Operations'!$C$2:$C$534), 2, 0), "")</f>
        <v/>
      </c>
      <c r="G9" s="321" t="str" cm="1">
        <f t="array" ref="G9">IFERROR(VLOOKUP($A9&amp;"-"&amp;G$2, CHOOSE({1,2}, 'S18 Operations'!$B$2:$B$534&amp;"-"&amp;'S18 Operations'!$D$2:$D$534, 'S18 Operations'!$C$2:$C$534), 2, 0), "")</f>
        <v/>
      </c>
      <c r="H9" s="321" cm="1">
        <f t="array" ref="H9">IFERROR(VLOOKUP($A9&amp;"-"&amp;H$2, CHOOSE({1,2}, 'S18 Operations'!$B$2:$B$534&amp;"-"&amp;'S18 Operations'!$D$2:$D$534, 'S18 Operations'!$C$2:$C$534), 2, 0), "")</f>
        <v>30</v>
      </c>
      <c r="I9" s="321" t="str" cm="1">
        <f t="array" ref="I9">IFERROR(VLOOKUP($A9&amp;"-"&amp;I$2, CHOOSE({1,2}, 'S18 Operations'!$B$2:$B$534&amp;"-"&amp;'S18 Operations'!$D$2:$D$534, 'S18 Operations'!$C$2:$C$534), 2, 0), "")</f>
        <v/>
      </c>
      <c r="J9" s="321" t="str" cm="1">
        <f t="array" ref="J9">IFERROR(VLOOKUP($A9&amp;"-"&amp;J$2, CHOOSE({1,2}, 'S18 Operations'!$B$2:$B$534&amp;"-"&amp;'S18 Operations'!$D$2:$D$534, 'S18 Operations'!$C$2:$C$534), 2, 0), "")</f>
        <v/>
      </c>
      <c r="K9" s="321" t="str" cm="1">
        <f t="array" ref="K9">IFERROR(VLOOKUP($A9&amp;"-"&amp;K$2, CHOOSE({1,2}, 'S18 Operations'!$B$2:$B$534&amp;"-"&amp;'S18 Operations'!$D$2:$D$534, 'S18 Operations'!$C$2:$C$534), 2, 0), "")</f>
        <v/>
      </c>
      <c r="L9" s="321" t="str" cm="1">
        <f t="array" ref="L9">IFERROR(VLOOKUP($A9&amp;"-"&amp;L$2, CHOOSE({1,2}, 'S18 Operations'!$B$2:$B$534&amp;"-"&amp;'S18 Operations'!$D$2:$D$534, 'S18 Operations'!$C$2:$C$534), 2, 0), "")</f>
        <v/>
      </c>
      <c r="M9" s="321" t="str" cm="1">
        <f t="array" ref="M9">IFERROR(VLOOKUP($A9&amp;"-"&amp;M$2, CHOOSE({1,2}, 'S18 Operations'!$B$2:$B$534&amp;"-"&amp;'S18 Operations'!$D$2:$D$534, 'S18 Operations'!$C$2:$C$534), 2, 0), "")</f>
        <v/>
      </c>
      <c r="N9" s="321" cm="1">
        <f t="array" ref="N9">IFERROR(VLOOKUP($A9&amp;"-"&amp;N$2, CHOOSE({1,2}, 'S18 Operations'!$B$2:$B$534&amp;"-"&amp;'S18 Operations'!$D$2:$D$534, 'S18 Operations'!$C$2:$C$534), 2, 0), "")</f>
        <v>40</v>
      </c>
      <c r="O9" s="321" t="str" cm="1">
        <f t="array" ref="O9">IFERROR(VLOOKUP($A9&amp;"-"&amp;O$2, CHOOSE({1,2}, 'S18 Operations'!$B$2:$B$534&amp;"-"&amp;'S18 Operations'!$D$2:$D$534, 'S18 Operations'!$C$2:$C$534), 2, 0), "")</f>
        <v/>
      </c>
      <c r="P9" s="321" t="str" cm="1">
        <f t="array" ref="P9">IFERROR(VLOOKUP($A9&amp;"-"&amp;P$2, CHOOSE({1,2}, 'S18 Operations'!$B$2:$B$534&amp;"-"&amp;'S18 Operations'!$D$2:$D$534, 'S18 Operations'!$C$2:$C$534), 2, 0), "")</f>
        <v/>
      </c>
      <c r="Q9" s="321" t="str" cm="1">
        <f t="array" ref="Q9">IFERROR(VLOOKUP($A9&amp;"-"&amp;Q$2, CHOOSE({1,2}, 'S18 Operations'!$B$2:$B$534&amp;"-"&amp;'S18 Operations'!$D$2:$D$534, 'S18 Operations'!$C$2:$C$534), 2, 0), "")</f>
        <v/>
      </c>
      <c r="R9" s="321" t="str" cm="1">
        <f t="array" ref="R9">IFERROR(VLOOKUP($A9&amp;"-"&amp;R$2, CHOOSE({1,2}, 'S18 Operations'!$B$2:$B$534&amp;"-"&amp;'S18 Operations'!$D$2:$D$534, 'S18 Operations'!$C$2:$C$534), 2, 0), "")</f>
        <v/>
      </c>
      <c r="S9" s="321" cm="1">
        <f t="array" ref="S9">IFERROR(VLOOKUP($A9&amp;"-"&amp;S$2, CHOOSE({1,2}, 'S18 Operations'!$B$2:$B$534&amp;"-"&amp;'S18 Operations'!$D$2:$D$534, 'S18 Operations'!$C$2:$C$534), 2, 0), "")</f>
        <v>50</v>
      </c>
      <c r="T9" s="321" t="str" cm="1">
        <f t="array" ref="T9">IFERROR(VLOOKUP($A9&amp;"-"&amp;T$2, CHOOSE({1,2}, 'S18 Operations'!$B$2:$B$534&amp;"-"&amp;'S18 Operations'!$D$2:$D$534, 'S18 Operations'!$C$2:$C$534), 2, 0), "")</f>
        <v/>
      </c>
      <c r="U9" s="321" cm="1">
        <f t="array" ref="U9">IFERROR(VLOOKUP($A9&amp;"-"&amp;U$2, CHOOSE({1,2}, 'S18 Operations'!$B$2:$B$534&amp;"-"&amp;'S18 Operations'!$D$2:$D$534, 'S18 Operations'!$C$2:$C$534), 2, 0), "")</f>
        <v>60</v>
      </c>
      <c r="V9" s="321" t="str" cm="1">
        <f t="array" ref="V9">IFERROR(VLOOKUP($A9&amp;"-"&amp;V$2, CHOOSE({1,2}, 'S18 Operations'!$B$2:$B$534&amp;"-"&amp;'S18 Operations'!$D$2:$D$534, 'S18 Operations'!$C$2:$C$534), 2, 0), "")</f>
        <v/>
      </c>
      <c r="W9" s="321" cm="1">
        <f t="array" ref="W9">IFERROR(VLOOKUP($A9&amp;"-"&amp;W$2, CHOOSE({1,2}, 'S18 Operations'!$B$2:$B$534&amp;"-"&amp;'S18 Operations'!$D$2:$D$534, 'S18 Operations'!$C$2:$C$534), 2, 0), "")</f>
        <v>70</v>
      </c>
      <c r="X9" s="321" t="str" cm="1">
        <f t="array" ref="X9">IFERROR(VLOOKUP($A9&amp;"-"&amp;X$2, CHOOSE({1,2}, 'S18 Operations'!$B$2:$B$534&amp;"-"&amp;'S18 Operations'!$D$2:$D$534, 'S18 Operations'!$C$2:$C$534), 2, 0), "")</f>
        <v/>
      </c>
      <c r="Y9" s="321" t="str" cm="1">
        <f t="array" ref="Y9">IFERROR(VLOOKUP($A9&amp;"-"&amp;Y$2, CHOOSE({1,2}, 'S18 Operations'!$B$2:$B$534&amp;"-"&amp;'S18 Operations'!$D$2:$D$534, 'S18 Operations'!$C$2:$C$534), 2, 0), "")</f>
        <v/>
      </c>
      <c r="Z9" s="321" t="str" cm="1">
        <f t="array" ref="Z9">IFERROR(VLOOKUP($A9&amp;"-"&amp;Z$2, CHOOSE({1,2}, 'S18 Operations'!$B$2:$B$534&amp;"-"&amp;'S18 Operations'!$D$2:$D$534, 'S18 Operations'!$C$2:$C$534), 2, 0), "")</f>
        <v/>
      </c>
      <c r="AA9" s="322" cm="1">
        <f t="array" ref="AA9">IFERROR(VLOOKUP($A9&amp;"-"&amp;AA$2, CHOOSE({1,2}, 'S18 Operations'!$B$2:$B$534&amp;"-"&amp;'S18 Operations'!$D$2:$D$534, 'S18 Operations'!$C$2:$C$534), 2, 0), "")</f>
        <v>80</v>
      </c>
    </row>
    <row r="10" spans="1:27">
      <c r="A10" s="323" t="str">
        <f>'S14 ABC Output'!A15</f>
        <v>I-073</v>
      </c>
      <c r="B10" s="4" cm="1">
        <f t="array" ref="B10">IFERROR(VLOOKUP($A10&amp;"-"&amp;B$2, CHOOSE({1,2}, 'S18 Operations'!$B$2:$B$534&amp;"-"&amp;'S18 Operations'!$D$2:$D$534, 'S18 Operations'!$C$2:$C$534), 2, 0), "")</f>
        <v>10</v>
      </c>
      <c r="C10" s="4" t="str" cm="1">
        <f t="array" ref="C10">IFERROR(VLOOKUP($A10&amp;"-"&amp;C$2, CHOOSE({1,2}, 'S18 Operations'!$B$2:$B$534&amp;"-"&amp;'S18 Operations'!$D$2:$D$534, 'S18 Operations'!$C$2:$C$534), 2, 0), "")</f>
        <v/>
      </c>
      <c r="D10" s="4" cm="1">
        <f t="array" ref="D10">IFERROR(VLOOKUP($A10&amp;"-"&amp;D$2, CHOOSE({1,2}, 'S18 Operations'!$B$2:$B$534&amp;"-"&amp;'S18 Operations'!$D$2:$D$534, 'S18 Operations'!$C$2:$C$534), 2, 0), "")</f>
        <v>20</v>
      </c>
      <c r="E10" s="4" t="str" cm="1">
        <f t="array" ref="E10">IFERROR(VLOOKUP($A10&amp;"-"&amp;E$2, CHOOSE({1,2}, 'S18 Operations'!$B$2:$B$534&amp;"-"&amp;'S18 Operations'!$D$2:$D$534, 'S18 Operations'!$C$2:$C$534), 2, 0), "")</f>
        <v/>
      </c>
      <c r="F10" s="4" t="str" cm="1">
        <f t="array" ref="F10">IFERROR(VLOOKUP($A10&amp;"-"&amp;F$2, CHOOSE({1,2}, 'S18 Operations'!$B$2:$B$534&amp;"-"&amp;'S18 Operations'!$D$2:$D$534, 'S18 Operations'!$C$2:$C$534), 2, 0), "")</f>
        <v/>
      </c>
      <c r="G10" s="4" t="str" cm="1">
        <f t="array" ref="G10">IFERROR(VLOOKUP($A10&amp;"-"&amp;G$2, CHOOSE({1,2}, 'S18 Operations'!$B$2:$B$534&amp;"-"&amp;'S18 Operations'!$D$2:$D$534, 'S18 Operations'!$C$2:$C$534), 2, 0), "")</f>
        <v/>
      </c>
      <c r="H10" s="4" cm="1">
        <f t="array" ref="H10">IFERROR(VLOOKUP($A10&amp;"-"&amp;H$2, CHOOSE({1,2}, 'S18 Operations'!$B$2:$B$534&amp;"-"&amp;'S18 Operations'!$D$2:$D$534, 'S18 Operations'!$C$2:$C$534), 2, 0), "")</f>
        <v>30</v>
      </c>
      <c r="I10" s="4" t="str" cm="1">
        <f t="array" ref="I10">IFERROR(VLOOKUP($A10&amp;"-"&amp;I$2, CHOOSE({1,2}, 'S18 Operations'!$B$2:$B$534&amp;"-"&amp;'S18 Operations'!$D$2:$D$534, 'S18 Operations'!$C$2:$C$534), 2, 0), "")</f>
        <v/>
      </c>
      <c r="J10" s="4" t="str" cm="1">
        <f t="array" ref="J10">IFERROR(VLOOKUP($A10&amp;"-"&amp;J$2, CHOOSE({1,2}, 'S18 Operations'!$B$2:$B$534&amp;"-"&amp;'S18 Operations'!$D$2:$D$534, 'S18 Operations'!$C$2:$C$534), 2, 0), "")</f>
        <v/>
      </c>
      <c r="K10" s="4" t="str" cm="1">
        <f t="array" ref="K10">IFERROR(VLOOKUP($A10&amp;"-"&amp;K$2, CHOOSE({1,2}, 'S18 Operations'!$B$2:$B$534&amp;"-"&amp;'S18 Operations'!$D$2:$D$534, 'S18 Operations'!$C$2:$C$534), 2, 0), "")</f>
        <v/>
      </c>
      <c r="L10" s="4" t="str" cm="1">
        <f t="array" ref="L10">IFERROR(VLOOKUP($A10&amp;"-"&amp;L$2, CHOOSE({1,2}, 'S18 Operations'!$B$2:$B$534&amp;"-"&amp;'S18 Operations'!$D$2:$D$534, 'S18 Operations'!$C$2:$C$534), 2, 0), "")</f>
        <v/>
      </c>
      <c r="M10" s="4" t="str" cm="1">
        <f t="array" ref="M10">IFERROR(VLOOKUP($A10&amp;"-"&amp;M$2, CHOOSE({1,2}, 'S18 Operations'!$B$2:$B$534&amp;"-"&amp;'S18 Operations'!$D$2:$D$534, 'S18 Operations'!$C$2:$C$534), 2, 0), "")</f>
        <v/>
      </c>
      <c r="N10" s="4" cm="1">
        <f t="array" ref="N10">IFERROR(VLOOKUP($A10&amp;"-"&amp;N$2, CHOOSE({1,2}, 'S18 Operations'!$B$2:$B$534&amp;"-"&amp;'S18 Operations'!$D$2:$D$534, 'S18 Operations'!$C$2:$C$534), 2, 0), "")</f>
        <v>40</v>
      </c>
      <c r="O10" s="4" t="str" cm="1">
        <f t="array" ref="O10">IFERROR(VLOOKUP($A10&amp;"-"&amp;O$2, CHOOSE({1,2}, 'S18 Operations'!$B$2:$B$534&amp;"-"&amp;'S18 Operations'!$D$2:$D$534, 'S18 Operations'!$C$2:$C$534), 2, 0), "")</f>
        <v/>
      </c>
      <c r="P10" s="4" t="str" cm="1">
        <f t="array" ref="P10">IFERROR(VLOOKUP($A10&amp;"-"&amp;P$2, CHOOSE({1,2}, 'S18 Operations'!$B$2:$B$534&amp;"-"&amp;'S18 Operations'!$D$2:$D$534, 'S18 Operations'!$C$2:$C$534), 2, 0), "")</f>
        <v/>
      </c>
      <c r="Q10" s="4" t="str" cm="1">
        <f t="array" ref="Q10">IFERROR(VLOOKUP($A10&amp;"-"&amp;Q$2, CHOOSE({1,2}, 'S18 Operations'!$B$2:$B$534&amp;"-"&amp;'S18 Operations'!$D$2:$D$534, 'S18 Operations'!$C$2:$C$534), 2, 0), "")</f>
        <v/>
      </c>
      <c r="R10" s="4" t="str" cm="1">
        <f t="array" ref="R10">IFERROR(VLOOKUP($A10&amp;"-"&amp;R$2, CHOOSE({1,2}, 'S18 Operations'!$B$2:$B$534&amp;"-"&amp;'S18 Operations'!$D$2:$D$534, 'S18 Operations'!$C$2:$C$534), 2, 0), "")</f>
        <v/>
      </c>
      <c r="S10" s="4" cm="1">
        <f t="array" ref="S10">IFERROR(VLOOKUP($A10&amp;"-"&amp;S$2, CHOOSE({1,2}, 'S18 Operations'!$B$2:$B$534&amp;"-"&amp;'S18 Operations'!$D$2:$D$534, 'S18 Operations'!$C$2:$C$534), 2, 0), "")</f>
        <v>50</v>
      </c>
      <c r="T10" s="4" t="str" cm="1">
        <f t="array" ref="T10">IFERROR(VLOOKUP($A10&amp;"-"&amp;T$2, CHOOSE({1,2}, 'S18 Operations'!$B$2:$B$534&amp;"-"&amp;'S18 Operations'!$D$2:$D$534, 'S18 Operations'!$C$2:$C$534), 2, 0), "")</f>
        <v/>
      </c>
      <c r="U10" s="4" cm="1">
        <f t="array" ref="U10">IFERROR(VLOOKUP($A10&amp;"-"&amp;U$2, CHOOSE({1,2}, 'S18 Operations'!$B$2:$B$534&amp;"-"&amp;'S18 Operations'!$D$2:$D$534, 'S18 Operations'!$C$2:$C$534), 2, 0), "")</f>
        <v>60</v>
      </c>
      <c r="V10" s="4" t="str" cm="1">
        <f t="array" ref="V10">IFERROR(VLOOKUP($A10&amp;"-"&amp;V$2, CHOOSE({1,2}, 'S18 Operations'!$B$2:$B$534&amp;"-"&amp;'S18 Operations'!$D$2:$D$534, 'S18 Operations'!$C$2:$C$534), 2, 0), "")</f>
        <v/>
      </c>
      <c r="W10" s="4" cm="1">
        <f t="array" ref="W10">IFERROR(VLOOKUP($A10&amp;"-"&amp;W$2, CHOOSE({1,2}, 'S18 Operations'!$B$2:$B$534&amp;"-"&amp;'S18 Operations'!$D$2:$D$534, 'S18 Operations'!$C$2:$C$534), 2, 0), "")</f>
        <v>70</v>
      </c>
      <c r="X10" s="4" t="str" cm="1">
        <f t="array" ref="X10">IFERROR(VLOOKUP($A10&amp;"-"&amp;X$2, CHOOSE({1,2}, 'S18 Operations'!$B$2:$B$534&amp;"-"&amp;'S18 Operations'!$D$2:$D$534, 'S18 Operations'!$C$2:$C$534), 2, 0), "")</f>
        <v/>
      </c>
      <c r="Y10" s="4" t="str" cm="1">
        <f t="array" ref="Y10">IFERROR(VLOOKUP($A10&amp;"-"&amp;Y$2, CHOOSE({1,2}, 'S18 Operations'!$B$2:$B$534&amp;"-"&amp;'S18 Operations'!$D$2:$D$534, 'S18 Operations'!$C$2:$C$534), 2, 0), "")</f>
        <v/>
      </c>
      <c r="Z10" s="4" t="str" cm="1">
        <f t="array" ref="Z10">IFERROR(VLOOKUP($A10&amp;"-"&amp;Z$2, CHOOSE({1,2}, 'S18 Operations'!$B$2:$B$534&amp;"-"&amp;'S18 Operations'!$D$2:$D$534, 'S18 Operations'!$C$2:$C$534), 2, 0), "")</f>
        <v/>
      </c>
      <c r="AA10" s="324" cm="1">
        <f t="array" ref="AA10">IFERROR(VLOOKUP($A10&amp;"-"&amp;AA$2, CHOOSE({1,2}, 'S18 Operations'!$B$2:$B$534&amp;"-"&amp;'S18 Operations'!$D$2:$D$534, 'S18 Operations'!$C$2:$C$534), 2, 0), "")</f>
        <v>80</v>
      </c>
    </row>
    <row r="11" spans="1:27" ht="16" thickBot="1">
      <c r="A11" s="325" t="str">
        <f>'S14 ABC Output'!A18</f>
        <v>I-074</v>
      </c>
      <c r="B11" s="326" cm="1">
        <f t="array" ref="B11">IFERROR(VLOOKUP($A11&amp;"-"&amp;B$2, CHOOSE({1,2}, 'S18 Operations'!$B$2:$B$534&amp;"-"&amp;'S18 Operations'!$D$2:$D$534, 'S18 Operations'!$C$2:$C$534), 2, 0), "")</f>
        <v>10</v>
      </c>
      <c r="C11" s="326" t="str" cm="1">
        <f t="array" ref="C11">IFERROR(VLOOKUP($A11&amp;"-"&amp;C$2, CHOOSE({1,2}, 'S18 Operations'!$B$2:$B$534&amp;"-"&amp;'S18 Operations'!$D$2:$D$534, 'S18 Operations'!$C$2:$C$534), 2, 0), "")</f>
        <v/>
      </c>
      <c r="D11" s="326" cm="1">
        <f t="array" ref="D11">IFERROR(VLOOKUP($A11&amp;"-"&amp;D$2, CHOOSE({1,2}, 'S18 Operations'!$B$2:$B$534&amp;"-"&amp;'S18 Operations'!$D$2:$D$534, 'S18 Operations'!$C$2:$C$534), 2, 0), "")</f>
        <v>20</v>
      </c>
      <c r="E11" s="326" t="str" cm="1">
        <f t="array" ref="E11">IFERROR(VLOOKUP($A11&amp;"-"&amp;E$2, CHOOSE({1,2}, 'S18 Operations'!$B$2:$B$534&amp;"-"&amp;'S18 Operations'!$D$2:$D$534, 'S18 Operations'!$C$2:$C$534), 2, 0), "")</f>
        <v/>
      </c>
      <c r="F11" s="326" t="str" cm="1">
        <f t="array" ref="F11">IFERROR(VLOOKUP($A11&amp;"-"&amp;F$2, CHOOSE({1,2}, 'S18 Operations'!$B$2:$B$534&amp;"-"&amp;'S18 Operations'!$D$2:$D$534, 'S18 Operations'!$C$2:$C$534), 2, 0), "")</f>
        <v/>
      </c>
      <c r="G11" s="326" t="str" cm="1">
        <f t="array" ref="G11">IFERROR(VLOOKUP($A11&amp;"-"&amp;G$2, CHOOSE({1,2}, 'S18 Operations'!$B$2:$B$534&amp;"-"&amp;'S18 Operations'!$D$2:$D$534, 'S18 Operations'!$C$2:$C$534), 2, 0), "")</f>
        <v/>
      </c>
      <c r="H11" s="326" cm="1">
        <f t="array" ref="H11">IFERROR(VLOOKUP($A11&amp;"-"&amp;H$2, CHOOSE({1,2}, 'S18 Operations'!$B$2:$B$534&amp;"-"&amp;'S18 Operations'!$D$2:$D$534, 'S18 Operations'!$C$2:$C$534), 2, 0), "")</f>
        <v>30</v>
      </c>
      <c r="I11" s="326" t="str" cm="1">
        <f t="array" ref="I11">IFERROR(VLOOKUP($A11&amp;"-"&amp;I$2, CHOOSE({1,2}, 'S18 Operations'!$B$2:$B$534&amp;"-"&amp;'S18 Operations'!$D$2:$D$534, 'S18 Operations'!$C$2:$C$534), 2, 0), "")</f>
        <v/>
      </c>
      <c r="J11" s="326" t="str" cm="1">
        <f t="array" ref="J11">IFERROR(VLOOKUP($A11&amp;"-"&amp;J$2, CHOOSE({1,2}, 'S18 Operations'!$B$2:$B$534&amp;"-"&amp;'S18 Operations'!$D$2:$D$534, 'S18 Operations'!$C$2:$C$534), 2, 0), "")</f>
        <v/>
      </c>
      <c r="K11" s="326" t="str" cm="1">
        <f t="array" ref="K11">IFERROR(VLOOKUP($A11&amp;"-"&amp;K$2, CHOOSE({1,2}, 'S18 Operations'!$B$2:$B$534&amp;"-"&amp;'S18 Operations'!$D$2:$D$534, 'S18 Operations'!$C$2:$C$534), 2, 0), "")</f>
        <v/>
      </c>
      <c r="L11" s="326" t="str" cm="1">
        <f t="array" ref="L11">IFERROR(VLOOKUP($A11&amp;"-"&amp;L$2, CHOOSE({1,2}, 'S18 Operations'!$B$2:$B$534&amp;"-"&amp;'S18 Operations'!$D$2:$D$534, 'S18 Operations'!$C$2:$C$534), 2, 0), "")</f>
        <v/>
      </c>
      <c r="M11" s="326" t="str" cm="1">
        <f t="array" ref="M11">IFERROR(VLOOKUP($A11&amp;"-"&amp;M$2, CHOOSE({1,2}, 'S18 Operations'!$B$2:$B$534&amp;"-"&amp;'S18 Operations'!$D$2:$D$534, 'S18 Operations'!$C$2:$C$534), 2, 0), "")</f>
        <v/>
      </c>
      <c r="N11" s="326" cm="1">
        <f t="array" ref="N11">IFERROR(VLOOKUP($A11&amp;"-"&amp;N$2, CHOOSE({1,2}, 'S18 Operations'!$B$2:$B$534&amp;"-"&amp;'S18 Operations'!$D$2:$D$534, 'S18 Operations'!$C$2:$C$534), 2, 0), "")</f>
        <v>40</v>
      </c>
      <c r="O11" s="326" t="str" cm="1">
        <f t="array" ref="O11">IFERROR(VLOOKUP($A11&amp;"-"&amp;O$2, CHOOSE({1,2}, 'S18 Operations'!$B$2:$B$534&amp;"-"&amp;'S18 Operations'!$D$2:$D$534, 'S18 Operations'!$C$2:$C$534), 2, 0), "")</f>
        <v/>
      </c>
      <c r="P11" s="326" t="str" cm="1">
        <f t="array" ref="P11">IFERROR(VLOOKUP($A11&amp;"-"&amp;P$2, CHOOSE({1,2}, 'S18 Operations'!$B$2:$B$534&amp;"-"&amp;'S18 Operations'!$D$2:$D$534, 'S18 Operations'!$C$2:$C$534), 2, 0), "")</f>
        <v/>
      </c>
      <c r="Q11" s="326" t="str" cm="1">
        <f t="array" ref="Q11">IFERROR(VLOOKUP($A11&amp;"-"&amp;Q$2, CHOOSE({1,2}, 'S18 Operations'!$B$2:$B$534&amp;"-"&amp;'S18 Operations'!$D$2:$D$534, 'S18 Operations'!$C$2:$C$534), 2, 0), "")</f>
        <v/>
      </c>
      <c r="R11" s="326" t="str" cm="1">
        <f t="array" ref="R11">IFERROR(VLOOKUP($A11&amp;"-"&amp;R$2, CHOOSE({1,2}, 'S18 Operations'!$B$2:$B$534&amp;"-"&amp;'S18 Operations'!$D$2:$D$534, 'S18 Operations'!$C$2:$C$534), 2, 0), "")</f>
        <v/>
      </c>
      <c r="S11" s="326" cm="1">
        <f t="array" ref="S11">IFERROR(VLOOKUP($A11&amp;"-"&amp;S$2, CHOOSE({1,2}, 'S18 Operations'!$B$2:$B$534&amp;"-"&amp;'S18 Operations'!$D$2:$D$534, 'S18 Operations'!$C$2:$C$534), 2, 0), "")</f>
        <v>50</v>
      </c>
      <c r="T11" s="326" t="str" cm="1">
        <f t="array" ref="T11">IFERROR(VLOOKUP($A11&amp;"-"&amp;T$2, CHOOSE({1,2}, 'S18 Operations'!$B$2:$B$534&amp;"-"&amp;'S18 Operations'!$D$2:$D$534, 'S18 Operations'!$C$2:$C$534), 2, 0), "")</f>
        <v/>
      </c>
      <c r="U11" s="326" cm="1">
        <f t="array" ref="U11">IFERROR(VLOOKUP($A11&amp;"-"&amp;U$2, CHOOSE({1,2}, 'S18 Operations'!$B$2:$B$534&amp;"-"&amp;'S18 Operations'!$D$2:$D$534, 'S18 Operations'!$C$2:$C$534), 2, 0), "")</f>
        <v>60</v>
      </c>
      <c r="V11" s="326" t="str" cm="1">
        <f t="array" ref="V11">IFERROR(VLOOKUP($A11&amp;"-"&amp;V$2, CHOOSE({1,2}, 'S18 Operations'!$B$2:$B$534&amp;"-"&amp;'S18 Operations'!$D$2:$D$534, 'S18 Operations'!$C$2:$C$534), 2, 0), "")</f>
        <v/>
      </c>
      <c r="W11" s="326" cm="1">
        <f t="array" ref="W11">IFERROR(VLOOKUP($A11&amp;"-"&amp;W$2, CHOOSE({1,2}, 'S18 Operations'!$B$2:$B$534&amp;"-"&amp;'S18 Operations'!$D$2:$D$534, 'S18 Operations'!$C$2:$C$534), 2, 0), "")</f>
        <v>70</v>
      </c>
      <c r="X11" s="326" t="str" cm="1">
        <f t="array" ref="X11">IFERROR(VLOOKUP($A11&amp;"-"&amp;X$2, CHOOSE({1,2}, 'S18 Operations'!$B$2:$B$534&amp;"-"&amp;'S18 Operations'!$D$2:$D$534, 'S18 Operations'!$C$2:$C$534), 2, 0), "")</f>
        <v/>
      </c>
      <c r="Y11" s="326" t="str" cm="1">
        <f t="array" ref="Y11">IFERROR(VLOOKUP($A11&amp;"-"&amp;Y$2, CHOOSE({1,2}, 'S18 Operations'!$B$2:$B$534&amp;"-"&amp;'S18 Operations'!$D$2:$D$534, 'S18 Operations'!$C$2:$C$534), 2, 0), "")</f>
        <v/>
      </c>
      <c r="Z11" s="326" t="str" cm="1">
        <f t="array" ref="Z11">IFERROR(VLOOKUP($A11&amp;"-"&amp;Z$2, CHOOSE({1,2}, 'S18 Operations'!$B$2:$B$534&amp;"-"&amp;'S18 Operations'!$D$2:$D$534, 'S18 Operations'!$C$2:$C$534), 2, 0), "")</f>
        <v/>
      </c>
      <c r="AA11" s="327" cm="1">
        <f t="array" ref="AA11">IFERROR(VLOOKUP($A11&amp;"-"&amp;AA$2, CHOOSE({1,2}, 'S18 Operations'!$B$2:$B$534&amp;"-"&amp;'S18 Operations'!$D$2:$D$534, 'S18 Operations'!$C$2:$C$534), 2, 0), "")</f>
        <v>80</v>
      </c>
    </row>
    <row r="12" spans="1:27">
      <c r="A12" s="320" t="str">
        <f>'S14 ABC Output'!A14</f>
        <v>I-006</v>
      </c>
      <c r="B12" s="321" cm="1">
        <f t="array" ref="B12">IFERROR(VLOOKUP($A12&amp;"-"&amp;B$2, CHOOSE({1,2}, 'S18 Operations'!$B$2:$B$534&amp;"-"&amp;'S18 Operations'!$D$2:$D$534, 'S18 Operations'!$C$2:$C$534), 2, 0), "")</f>
        <v>10</v>
      </c>
      <c r="C12" s="321" t="str" cm="1">
        <f t="array" ref="C12">IFERROR(VLOOKUP($A12&amp;"-"&amp;C$2, CHOOSE({1,2}, 'S18 Operations'!$B$2:$B$534&amp;"-"&amp;'S18 Operations'!$D$2:$D$534, 'S18 Operations'!$C$2:$C$534), 2, 0), "")</f>
        <v/>
      </c>
      <c r="D12" s="321" t="str" cm="1">
        <f t="array" ref="D12">IFERROR(VLOOKUP($A12&amp;"-"&amp;D$2, CHOOSE({1,2}, 'S18 Operations'!$B$2:$B$534&amp;"-"&amp;'S18 Operations'!$D$2:$D$534, 'S18 Operations'!$C$2:$C$534), 2, 0), "")</f>
        <v/>
      </c>
      <c r="E12" s="321" cm="1">
        <f t="array" ref="E12">IFERROR(VLOOKUP($A12&amp;"-"&amp;E$2, CHOOSE({1,2}, 'S18 Operations'!$B$2:$B$534&amp;"-"&amp;'S18 Operations'!$D$2:$D$534, 'S18 Operations'!$C$2:$C$534), 2, 0), "")</f>
        <v>20</v>
      </c>
      <c r="F12" s="321" cm="1">
        <f t="array" ref="F12">IFERROR(VLOOKUP($A12&amp;"-"&amp;F$2, CHOOSE({1,2}, 'S18 Operations'!$B$2:$B$534&amp;"-"&amp;'S18 Operations'!$D$2:$D$534, 'S18 Operations'!$C$2:$C$534), 2, 0), "")</f>
        <v>30</v>
      </c>
      <c r="G12" s="321" t="str" cm="1">
        <f t="array" ref="G12">IFERROR(VLOOKUP($A12&amp;"-"&amp;G$2, CHOOSE({1,2}, 'S18 Operations'!$B$2:$B$534&amp;"-"&amp;'S18 Operations'!$D$2:$D$534, 'S18 Operations'!$C$2:$C$534), 2, 0), "")</f>
        <v/>
      </c>
      <c r="H12" s="321" t="str" cm="1">
        <f t="array" ref="H12">IFERROR(VLOOKUP($A12&amp;"-"&amp;H$2, CHOOSE({1,2}, 'S18 Operations'!$B$2:$B$534&amp;"-"&amp;'S18 Operations'!$D$2:$D$534, 'S18 Operations'!$C$2:$C$534), 2, 0), "")</f>
        <v/>
      </c>
      <c r="I12" s="321" t="str" cm="1">
        <f t="array" ref="I12">IFERROR(VLOOKUP($A12&amp;"-"&amp;I$2, CHOOSE({1,2}, 'S18 Operations'!$B$2:$B$534&amp;"-"&amp;'S18 Operations'!$D$2:$D$534, 'S18 Operations'!$C$2:$C$534), 2, 0), "")</f>
        <v/>
      </c>
      <c r="J12" s="321" t="str" cm="1">
        <f t="array" ref="J12">IFERROR(VLOOKUP($A12&amp;"-"&amp;J$2, CHOOSE({1,2}, 'S18 Operations'!$B$2:$B$534&amp;"-"&amp;'S18 Operations'!$D$2:$D$534, 'S18 Operations'!$C$2:$C$534), 2, 0), "")</f>
        <v/>
      </c>
      <c r="K12" s="321" t="str" cm="1">
        <f t="array" ref="K12">IFERROR(VLOOKUP($A12&amp;"-"&amp;K$2, CHOOSE({1,2}, 'S18 Operations'!$B$2:$B$534&amp;"-"&amp;'S18 Operations'!$D$2:$D$534, 'S18 Operations'!$C$2:$C$534), 2, 0), "")</f>
        <v/>
      </c>
      <c r="L12" s="321" cm="1">
        <f t="array" ref="L12">IFERROR(VLOOKUP($A12&amp;"-"&amp;L$2, CHOOSE({1,2}, 'S18 Operations'!$B$2:$B$534&amp;"-"&amp;'S18 Operations'!$D$2:$D$534, 'S18 Operations'!$C$2:$C$534), 2, 0), "")</f>
        <v>40</v>
      </c>
      <c r="M12" s="321" t="str" cm="1">
        <f t="array" ref="M12">IFERROR(VLOOKUP($A12&amp;"-"&amp;M$2, CHOOSE({1,2}, 'S18 Operations'!$B$2:$B$534&amp;"-"&amp;'S18 Operations'!$D$2:$D$534, 'S18 Operations'!$C$2:$C$534), 2, 0), "")</f>
        <v/>
      </c>
      <c r="N12" s="321" t="str" cm="1">
        <f t="array" ref="N12">IFERROR(VLOOKUP($A12&amp;"-"&amp;N$2, CHOOSE({1,2}, 'S18 Operations'!$B$2:$B$534&amp;"-"&amp;'S18 Operations'!$D$2:$D$534, 'S18 Operations'!$C$2:$C$534), 2, 0), "")</f>
        <v/>
      </c>
      <c r="O12" s="321" t="str" cm="1">
        <f t="array" ref="O12">IFERROR(VLOOKUP($A12&amp;"-"&amp;O$2, CHOOSE({1,2}, 'S18 Operations'!$B$2:$B$534&amp;"-"&amp;'S18 Operations'!$D$2:$D$534, 'S18 Operations'!$C$2:$C$534), 2, 0), "")</f>
        <v/>
      </c>
      <c r="P12" s="321" cm="1">
        <f t="array" ref="P12">IFERROR(VLOOKUP($A12&amp;"-"&amp;P$2, CHOOSE({1,2}, 'S18 Operations'!$B$2:$B$534&amp;"-"&amp;'S18 Operations'!$D$2:$D$534, 'S18 Operations'!$C$2:$C$534), 2, 0), "")</f>
        <v>50</v>
      </c>
      <c r="Q12" s="321" t="str" cm="1">
        <f t="array" ref="Q12">IFERROR(VLOOKUP($A12&amp;"-"&amp;Q$2, CHOOSE({1,2}, 'S18 Operations'!$B$2:$B$534&amp;"-"&amp;'S18 Operations'!$D$2:$D$534, 'S18 Operations'!$C$2:$C$534), 2, 0), "")</f>
        <v/>
      </c>
      <c r="R12" s="321" t="str" cm="1">
        <f t="array" ref="R12">IFERROR(VLOOKUP($A12&amp;"-"&amp;R$2, CHOOSE({1,2}, 'S18 Operations'!$B$2:$B$534&amp;"-"&amp;'S18 Operations'!$D$2:$D$534, 'S18 Operations'!$C$2:$C$534), 2, 0), "")</f>
        <v/>
      </c>
      <c r="S12" s="321" t="str" cm="1">
        <f t="array" ref="S12">IFERROR(VLOOKUP($A12&amp;"-"&amp;S$2, CHOOSE({1,2}, 'S18 Operations'!$B$2:$B$534&amp;"-"&amp;'S18 Operations'!$D$2:$D$534, 'S18 Operations'!$C$2:$C$534), 2, 0), "")</f>
        <v/>
      </c>
      <c r="T12" s="321" t="str" cm="1">
        <f t="array" ref="T12">IFERROR(VLOOKUP($A12&amp;"-"&amp;T$2, CHOOSE({1,2}, 'S18 Operations'!$B$2:$B$534&amp;"-"&amp;'S18 Operations'!$D$2:$D$534, 'S18 Operations'!$C$2:$C$534), 2, 0), "")</f>
        <v/>
      </c>
      <c r="U12" s="321" t="str" cm="1">
        <f t="array" ref="U12">IFERROR(VLOOKUP($A12&amp;"-"&amp;U$2, CHOOSE({1,2}, 'S18 Operations'!$B$2:$B$534&amp;"-"&amp;'S18 Operations'!$D$2:$D$534, 'S18 Operations'!$C$2:$C$534), 2, 0), "")</f>
        <v/>
      </c>
      <c r="V12" s="321" cm="1">
        <f t="array" ref="V12">IFERROR(VLOOKUP($A12&amp;"-"&amp;V$2, CHOOSE({1,2}, 'S18 Operations'!$B$2:$B$534&amp;"-"&amp;'S18 Operations'!$D$2:$D$534, 'S18 Operations'!$C$2:$C$534), 2, 0), "")</f>
        <v>60</v>
      </c>
      <c r="W12" s="321" t="str" cm="1">
        <f t="array" ref="W12">IFERROR(VLOOKUP($A12&amp;"-"&amp;W$2, CHOOSE({1,2}, 'S18 Operations'!$B$2:$B$534&amp;"-"&amp;'S18 Operations'!$D$2:$D$534, 'S18 Operations'!$C$2:$C$534), 2, 0), "")</f>
        <v/>
      </c>
      <c r="X12" s="321" cm="1">
        <f t="array" ref="X12">IFERROR(VLOOKUP($A12&amp;"-"&amp;X$2, CHOOSE({1,2}, 'S18 Operations'!$B$2:$B$534&amp;"-"&amp;'S18 Operations'!$D$2:$D$534, 'S18 Operations'!$C$2:$C$534), 2, 0), "")</f>
        <v>70</v>
      </c>
      <c r="Y12" s="321" t="str" cm="1">
        <f t="array" ref="Y12">IFERROR(VLOOKUP($A12&amp;"-"&amp;Y$2, CHOOSE({1,2}, 'S18 Operations'!$B$2:$B$534&amp;"-"&amp;'S18 Operations'!$D$2:$D$534, 'S18 Operations'!$C$2:$C$534), 2, 0), "")</f>
        <v/>
      </c>
      <c r="Z12" s="321" t="str" cm="1">
        <f t="array" ref="Z12">IFERROR(VLOOKUP($A12&amp;"-"&amp;Z$2, CHOOSE({1,2}, 'S18 Operations'!$B$2:$B$534&amp;"-"&amp;'S18 Operations'!$D$2:$D$534, 'S18 Operations'!$C$2:$C$534), 2, 0), "")</f>
        <v/>
      </c>
      <c r="AA12" s="322" cm="1">
        <f t="array" ref="AA12">IFERROR(VLOOKUP($A12&amp;"-"&amp;AA$2, CHOOSE({1,2}, 'S18 Operations'!$B$2:$B$534&amp;"-"&amp;'S18 Operations'!$D$2:$D$534, 'S18 Operations'!$C$2:$C$534), 2, 0), "")</f>
        <v>80</v>
      </c>
    </row>
    <row r="13" spans="1:27">
      <c r="A13" s="323" t="str">
        <f>'S14 ABC Output'!A17</f>
        <v>I-007</v>
      </c>
      <c r="B13" s="4" cm="1">
        <f t="array" ref="B13">IFERROR(VLOOKUP($A13&amp;"-"&amp;B$2, CHOOSE({1,2}, 'S18 Operations'!$B$2:$B$534&amp;"-"&amp;'S18 Operations'!$D$2:$D$534, 'S18 Operations'!$C$2:$C$534), 2, 0), "")</f>
        <v>10</v>
      </c>
      <c r="C13" s="4" t="str" cm="1">
        <f t="array" ref="C13">IFERROR(VLOOKUP($A13&amp;"-"&amp;C$2, CHOOSE({1,2}, 'S18 Operations'!$B$2:$B$534&amp;"-"&amp;'S18 Operations'!$D$2:$D$534, 'S18 Operations'!$C$2:$C$534), 2, 0), "")</f>
        <v/>
      </c>
      <c r="D13" s="4" t="str" cm="1">
        <f t="array" ref="D13">IFERROR(VLOOKUP($A13&amp;"-"&amp;D$2, CHOOSE({1,2}, 'S18 Operations'!$B$2:$B$534&amp;"-"&amp;'S18 Operations'!$D$2:$D$534, 'S18 Operations'!$C$2:$C$534), 2, 0), "")</f>
        <v/>
      </c>
      <c r="E13" s="4" cm="1">
        <f t="array" ref="E13">IFERROR(VLOOKUP($A13&amp;"-"&amp;E$2, CHOOSE({1,2}, 'S18 Operations'!$B$2:$B$534&amp;"-"&amp;'S18 Operations'!$D$2:$D$534, 'S18 Operations'!$C$2:$C$534), 2, 0), "")</f>
        <v>20</v>
      </c>
      <c r="F13" s="4" cm="1">
        <f t="array" ref="F13">IFERROR(VLOOKUP($A13&amp;"-"&amp;F$2, CHOOSE({1,2}, 'S18 Operations'!$B$2:$B$534&amp;"-"&amp;'S18 Operations'!$D$2:$D$534, 'S18 Operations'!$C$2:$C$534), 2, 0), "")</f>
        <v>30</v>
      </c>
      <c r="G13" s="4" t="str" cm="1">
        <f t="array" ref="G13">IFERROR(VLOOKUP($A13&amp;"-"&amp;G$2, CHOOSE({1,2}, 'S18 Operations'!$B$2:$B$534&amp;"-"&amp;'S18 Operations'!$D$2:$D$534, 'S18 Operations'!$C$2:$C$534), 2, 0), "")</f>
        <v/>
      </c>
      <c r="H13" s="4" t="str" cm="1">
        <f t="array" ref="H13">IFERROR(VLOOKUP($A13&amp;"-"&amp;H$2, CHOOSE({1,2}, 'S18 Operations'!$B$2:$B$534&amp;"-"&amp;'S18 Operations'!$D$2:$D$534, 'S18 Operations'!$C$2:$C$534), 2, 0), "")</f>
        <v/>
      </c>
      <c r="I13" s="4" t="str" cm="1">
        <f t="array" ref="I13">IFERROR(VLOOKUP($A13&amp;"-"&amp;I$2, CHOOSE({1,2}, 'S18 Operations'!$B$2:$B$534&amp;"-"&amp;'S18 Operations'!$D$2:$D$534, 'S18 Operations'!$C$2:$C$534), 2, 0), "")</f>
        <v/>
      </c>
      <c r="J13" s="4" t="str" cm="1">
        <f t="array" ref="J13">IFERROR(VLOOKUP($A13&amp;"-"&amp;J$2, CHOOSE({1,2}, 'S18 Operations'!$B$2:$B$534&amp;"-"&amp;'S18 Operations'!$D$2:$D$534, 'S18 Operations'!$C$2:$C$534), 2, 0), "")</f>
        <v/>
      </c>
      <c r="K13" s="4" t="str" cm="1">
        <f t="array" ref="K13">IFERROR(VLOOKUP($A13&amp;"-"&amp;K$2, CHOOSE({1,2}, 'S18 Operations'!$B$2:$B$534&amp;"-"&amp;'S18 Operations'!$D$2:$D$534, 'S18 Operations'!$C$2:$C$534), 2, 0), "")</f>
        <v/>
      </c>
      <c r="L13" s="4" cm="1">
        <f t="array" ref="L13">IFERROR(VLOOKUP($A13&amp;"-"&amp;L$2, CHOOSE({1,2}, 'S18 Operations'!$B$2:$B$534&amp;"-"&amp;'S18 Operations'!$D$2:$D$534, 'S18 Operations'!$C$2:$C$534), 2, 0), "")</f>
        <v>40</v>
      </c>
      <c r="M13" s="4" t="str" cm="1">
        <f t="array" ref="M13">IFERROR(VLOOKUP($A13&amp;"-"&amp;M$2, CHOOSE({1,2}, 'S18 Operations'!$B$2:$B$534&amp;"-"&amp;'S18 Operations'!$D$2:$D$534, 'S18 Operations'!$C$2:$C$534), 2, 0), "")</f>
        <v/>
      </c>
      <c r="N13" s="4" t="str" cm="1">
        <f t="array" ref="N13">IFERROR(VLOOKUP($A13&amp;"-"&amp;N$2, CHOOSE({1,2}, 'S18 Operations'!$B$2:$B$534&amp;"-"&amp;'S18 Operations'!$D$2:$D$534, 'S18 Operations'!$C$2:$C$534), 2, 0), "")</f>
        <v/>
      </c>
      <c r="O13" s="4" t="str" cm="1">
        <f t="array" ref="O13">IFERROR(VLOOKUP($A13&amp;"-"&amp;O$2, CHOOSE({1,2}, 'S18 Operations'!$B$2:$B$534&amp;"-"&amp;'S18 Operations'!$D$2:$D$534, 'S18 Operations'!$C$2:$C$534), 2, 0), "")</f>
        <v/>
      </c>
      <c r="P13" s="4" cm="1">
        <f t="array" ref="P13">IFERROR(VLOOKUP($A13&amp;"-"&amp;P$2, CHOOSE({1,2}, 'S18 Operations'!$B$2:$B$534&amp;"-"&amp;'S18 Operations'!$D$2:$D$534, 'S18 Operations'!$C$2:$C$534), 2, 0), "")</f>
        <v>50</v>
      </c>
      <c r="Q13" s="4" t="str" cm="1">
        <f t="array" ref="Q13">IFERROR(VLOOKUP($A13&amp;"-"&amp;Q$2, CHOOSE({1,2}, 'S18 Operations'!$B$2:$B$534&amp;"-"&amp;'S18 Operations'!$D$2:$D$534, 'S18 Operations'!$C$2:$C$534), 2, 0), "")</f>
        <v/>
      </c>
      <c r="R13" s="4" t="str" cm="1">
        <f t="array" ref="R13">IFERROR(VLOOKUP($A13&amp;"-"&amp;R$2, CHOOSE({1,2}, 'S18 Operations'!$B$2:$B$534&amp;"-"&amp;'S18 Operations'!$D$2:$D$534, 'S18 Operations'!$C$2:$C$534), 2, 0), "")</f>
        <v/>
      </c>
      <c r="S13" s="4" t="str" cm="1">
        <f t="array" ref="S13">IFERROR(VLOOKUP($A13&amp;"-"&amp;S$2, CHOOSE({1,2}, 'S18 Operations'!$B$2:$B$534&amp;"-"&amp;'S18 Operations'!$D$2:$D$534, 'S18 Operations'!$C$2:$C$534), 2, 0), "")</f>
        <v/>
      </c>
      <c r="T13" s="4" t="str" cm="1">
        <f t="array" ref="T13">IFERROR(VLOOKUP($A13&amp;"-"&amp;T$2, CHOOSE({1,2}, 'S18 Operations'!$B$2:$B$534&amp;"-"&amp;'S18 Operations'!$D$2:$D$534, 'S18 Operations'!$C$2:$C$534), 2, 0), "")</f>
        <v/>
      </c>
      <c r="U13" s="4" t="str" cm="1">
        <f t="array" ref="U13">IFERROR(VLOOKUP($A13&amp;"-"&amp;U$2, CHOOSE({1,2}, 'S18 Operations'!$B$2:$B$534&amp;"-"&amp;'S18 Operations'!$D$2:$D$534, 'S18 Operations'!$C$2:$C$534), 2, 0), "")</f>
        <v/>
      </c>
      <c r="V13" s="4" cm="1">
        <f t="array" ref="V13">IFERROR(VLOOKUP($A13&amp;"-"&amp;V$2, CHOOSE({1,2}, 'S18 Operations'!$B$2:$B$534&amp;"-"&amp;'S18 Operations'!$D$2:$D$534, 'S18 Operations'!$C$2:$C$534), 2, 0), "")</f>
        <v>60</v>
      </c>
      <c r="W13" s="4" t="str" cm="1">
        <f t="array" ref="W13">IFERROR(VLOOKUP($A13&amp;"-"&amp;W$2, CHOOSE({1,2}, 'S18 Operations'!$B$2:$B$534&amp;"-"&amp;'S18 Operations'!$D$2:$D$534, 'S18 Operations'!$C$2:$C$534), 2, 0), "")</f>
        <v/>
      </c>
      <c r="X13" s="4" cm="1">
        <f t="array" ref="X13">IFERROR(VLOOKUP($A13&amp;"-"&amp;X$2, CHOOSE({1,2}, 'S18 Operations'!$B$2:$B$534&amp;"-"&amp;'S18 Operations'!$D$2:$D$534, 'S18 Operations'!$C$2:$C$534), 2, 0), "")</f>
        <v>70</v>
      </c>
      <c r="Y13" s="4" t="str" cm="1">
        <f t="array" ref="Y13">IFERROR(VLOOKUP($A13&amp;"-"&amp;Y$2, CHOOSE({1,2}, 'S18 Operations'!$B$2:$B$534&amp;"-"&amp;'S18 Operations'!$D$2:$D$534, 'S18 Operations'!$C$2:$C$534), 2, 0), "")</f>
        <v/>
      </c>
      <c r="Z13" s="4" t="str" cm="1">
        <f t="array" ref="Z13">IFERROR(VLOOKUP($A13&amp;"-"&amp;Z$2, CHOOSE({1,2}, 'S18 Operations'!$B$2:$B$534&amp;"-"&amp;'S18 Operations'!$D$2:$D$534, 'S18 Operations'!$C$2:$C$534), 2, 0), "")</f>
        <v/>
      </c>
      <c r="AA13" s="324" cm="1">
        <f t="array" ref="AA13">IFERROR(VLOOKUP($A13&amp;"-"&amp;AA$2, CHOOSE({1,2}, 'S18 Operations'!$B$2:$B$534&amp;"-"&amp;'S18 Operations'!$D$2:$D$534, 'S18 Operations'!$C$2:$C$534), 2, 0), "")</f>
        <v>80</v>
      </c>
    </row>
    <row r="14" spans="1:27" ht="16" thickBot="1">
      <c r="A14" s="325" t="str">
        <f>'S14 ABC Output'!A3</f>
        <v>I-010</v>
      </c>
      <c r="B14" s="326" cm="1">
        <f t="array" ref="B14">IFERROR(VLOOKUP($A14&amp;"-"&amp;B$2, CHOOSE({1,2}, 'S18 Operations'!$B$2:$B$534&amp;"-"&amp;'S18 Operations'!$D$2:$D$534, 'S18 Operations'!$C$2:$C$534), 2, 0), "")</f>
        <v>10</v>
      </c>
      <c r="C14" s="326" t="str" cm="1">
        <f t="array" ref="C14">IFERROR(VLOOKUP($A14&amp;"-"&amp;C$2, CHOOSE({1,2}, 'S18 Operations'!$B$2:$B$534&amp;"-"&amp;'S18 Operations'!$D$2:$D$534, 'S18 Operations'!$C$2:$C$534), 2, 0), "")</f>
        <v/>
      </c>
      <c r="D14" s="326" t="str" cm="1">
        <f t="array" ref="D14">IFERROR(VLOOKUP($A14&amp;"-"&amp;D$2, CHOOSE({1,2}, 'S18 Operations'!$B$2:$B$534&amp;"-"&amp;'S18 Operations'!$D$2:$D$534, 'S18 Operations'!$C$2:$C$534), 2, 0), "")</f>
        <v/>
      </c>
      <c r="E14" s="326" cm="1">
        <f t="array" ref="E14">IFERROR(VLOOKUP($A14&amp;"-"&amp;E$2, CHOOSE({1,2}, 'S18 Operations'!$B$2:$B$534&amp;"-"&amp;'S18 Operations'!$D$2:$D$534, 'S18 Operations'!$C$2:$C$534), 2, 0), "")</f>
        <v>20</v>
      </c>
      <c r="F14" s="326" cm="1">
        <f t="array" ref="F14">IFERROR(VLOOKUP($A14&amp;"-"&amp;F$2, CHOOSE({1,2}, 'S18 Operations'!$B$2:$B$534&amp;"-"&amp;'S18 Operations'!$D$2:$D$534, 'S18 Operations'!$C$2:$C$534), 2, 0), "")</f>
        <v>30</v>
      </c>
      <c r="G14" s="326" t="str" cm="1">
        <f t="array" ref="G14">IFERROR(VLOOKUP($A14&amp;"-"&amp;G$2, CHOOSE({1,2}, 'S18 Operations'!$B$2:$B$534&amp;"-"&amp;'S18 Operations'!$D$2:$D$534, 'S18 Operations'!$C$2:$C$534), 2, 0), "")</f>
        <v/>
      </c>
      <c r="H14" s="326" t="str" cm="1">
        <f t="array" ref="H14">IFERROR(VLOOKUP($A14&amp;"-"&amp;H$2, CHOOSE({1,2}, 'S18 Operations'!$B$2:$B$534&amp;"-"&amp;'S18 Operations'!$D$2:$D$534, 'S18 Operations'!$C$2:$C$534), 2, 0), "")</f>
        <v/>
      </c>
      <c r="I14" s="326" t="str" cm="1">
        <f t="array" ref="I14">IFERROR(VLOOKUP($A14&amp;"-"&amp;I$2, CHOOSE({1,2}, 'S18 Operations'!$B$2:$B$534&amp;"-"&amp;'S18 Operations'!$D$2:$D$534, 'S18 Operations'!$C$2:$C$534), 2, 0), "")</f>
        <v/>
      </c>
      <c r="J14" s="326" t="str" cm="1">
        <f t="array" ref="J14">IFERROR(VLOOKUP($A14&amp;"-"&amp;J$2, CHOOSE({1,2}, 'S18 Operations'!$B$2:$B$534&amp;"-"&amp;'S18 Operations'!$D$2:$D$534, 'S18 Operations'!$C$2:$C$534), 2, 0), "")</f>
        <v/>
      </c>
      <c r="K14" s="326" t="str" cm="1">
        <f t="array" ref="K14">IFERROR(VLOOKUP($A14&amp;"-"&amp;K$2, CHOOSE({1,2}, 'S18 Operations'!$B$2:$B$534&amp;"-"&amp;'S18 Operations'!$D$2:$D$534, 'S18 Operations'!$C$2:$C$534), 2, 0), "")</f>
        <v/>
      </c>
      <c r="L14" s="326" cm="1">
        <f t="array" ref="L14">IFERROR(VLOOKUP($A14&amp;"-"&amp;L$2, CHOOSE({1,2}, 'S18 Operations'!$B$2:$B$534&amp;"-"&amp;'S18 Operations'!$D$2:$D$534, 'S18 Operations'!$C$2:$C$534), 2, 0), "")</f>
        <v>40</v>
      </c>
      <c r="M14" s="326" t="str" cm="1">
        <f t="array" ref="M14">IFERROR(VLOOKUP($A14&amp;"-"&amp;M$2, CHOOSE({1,2}, 'S18 Operations'!$B$2:$B$534&amp;"-"&amp;'S18 Operations'!$D$2:$D$534, 'S18 Operations'!$C$2:$C$534), 2, 0), "")</f>
        <v/>
      </c>
      <c r="N14" s="326" t="str" cm="1">
        <f t="array" ref="N14">IFERROR(VLOOKUP($A14&amp;"-"&amp;N$2, CHOOSE({1,2}, 'S18 Operations'!$B$2:$B$534&amp;"-"&amp;'S18 Operations'!$D$2:$D$534, 'S18 Operations'!$C$2:$C$534), 2, 0), "")</f>
        <v/>
      </c>
      <c r="O14" s="326" t="str" cm="1">
        <f t="array" ref="O14">IFERROR(VLOOKUP($A14&amp;"-"&amp;O$2, CHOOSE({1,2}, 'S18 Operations'!$B$2:$B$534&amp;"-"&amp;'S18 Operations'!$D$2:$D$534, 'S18 Operations'!$C$2:$C$534), 2, 0), "")</f>
        <v/>
      </c>
      <c r="P14" s="326" cm="1">
        <f t="array" ref="P14">IFERROR(VLOOKUP($A14&amp;"-"&amp;P$2, CHOOSE({1,2}, 'S18 Operations'!$B$2:$B$534&amp;"-"&amp;'S18 Operations'!$D$2:$D$534, 'S18 Operations'!$C$2:$C$534), 2, 0), "")</f>
        <v>50</v>
      </c>
      <c r="Q14" s="326" t="str" cm="1">
        <f t="array" ref="Q14">IFERROR(VLOOKUP($A14&amp;"-"&amp;Q$2, CHOOSE({1,2}, 'S18 Operations'!$B$2:$B$534&amp;"-"&amp;'S18 Operations'!$D$2:$D$534, 'S18 Operations'!$C$2:$C$534), 2, 0), "")</f>
        <v/>
      </c>
      <c r="R14" s="326" t="str" cm="1">
        <f t="array" ref="R14">IFERROR(VLOOKUP($A14&amp;"-"&amp;R$2, CHOOSE({1,2}, 'S18 Operations'!$B$2:$B$534&amp;"-"&amp;'S18 Operations'!$D$2:$D$534, 'S18 Operations'!$C$2:$C$534), 2, 0), "")</f>
        <v/>
      </c>
      <c r="S14" s="326" t="str" cm="1">
        <f t="array" ref="S14">IFERROR(VLOOKUP($A14&amp;"-"&amp;S$2, CHOOSE({1,2}, 'S18 Operations'!$B$2:$B$534&amp;"-"&amp;'S18 Operations'!$D$2:$D$534, 'S18 Operations'!$C$2:$C$534), 2, 0), "")</f>
        <v/>
      </c>
      <c r="T14" s="326" t="str" cm="1">
        <f t="array" ref="T14">IFERROR(VLOOKUP($A14&amp;"-"&amp;T$2, CHOOSE({1,2}, 'S18 Operations'!$B$2:$B$534&amp;"-"&amp;'S18 Operations'!$D$2:$D$534, 'S18 Operations'!$C$2:$C$534), 2, 0), "")</f>
        <v/>
      </c>
      <c r="U14" s="326" t="str" cm="1">
        <f t="array" ref="U14">IFERROR(VLOOKUP($A14&amp;"-"&amp;U$2, CHOOSE({1,2}, 'S18 Operations'!$B$2:$B$534&amp;"-"&amp;'S18 Operations'!$D$2:$D$534, 'S18 Operations'!$C$2:$C$534), 2, 0), "")</f>
        <v/>
      </c>
      <c r="V14" s="326" cm="1">
        <f t="array" ref="V14">IFERROR(VLOOKUP($A14&amp;"-"&amp;V$2, CHOOSE({1,2}, 'S18 Operations'!$B$2:$B$534&amp;"-"&amp;'S18 Operations'!$D$2:$D$534, 'S18 Operations'!$C$2:$C$534), 2, 0), "")</f>
        <v>60</v>
      </c>
      <c r="W14" s="326" t="str" cm="1">
        <f t="array" ref="W14">IFERROR(VLOOKUP($A14&amp;"-"&amp;W$2, CHOOSE({1,2}, 'S18 Operations'!$B$2:$B$534&amp;"-"&amp;'S18 Operations'!$D$2:$D$534, 'S18 Operations'!$C$2:$C$534), 2, 0), "")</f>
        <v/>
      </c>
      <c r="X14" s="326" cm="1">
        <f t="array" ref="X14">IFERROR(VLOOKUP($A14&amp;"-"&amp;X$2, CHOOSE({1,2}, 'S18 Operations'!$B$2:$B$534&amp;"-"&amp;'S18 Operations'!$D$2:$D$534, 'S18 Operations'!$C$2:$C$534), 2, 0), "")</f>
        <v>70</v>
      </c>
      <c r="Y14" s="326" t="str" cm="1">
        <f t="array" ref="Y14">IFERROR(VLOOKUP($A14&amp;"-"&amp;Y$2, CHOOSE({1,2}, 'S18 Operations'!$B$2:$B$534&amp;"-"&amp;'S18 Operations'!$D$2:$D$534, 'S18 Operations'!$C$2:$C$534), 2, 0), "")</f>
        <v/>
      </c>
      <c r="Z14" s="326" t="str" cm="1">
        <f t="array" ref="Z14">IFERROR(VLOOKUP($A14&amp;"-"&amp;Z$2, CHOOSE({1,2}, 'S18 Operations'!$B$2:$B$534&amp;"-"&amp;'S18 Operations'!$D$2:$D$534, 'S18 Operations'!$C$2:$C$534), 2, 0), "")</f>
        <v/>
      </c>
      <c r="AA14" s="327" cm="1">
        <f t="array" ref="AA14">IFERROR(VLOOKUP($A14&amp;"-"&amp;AA$2, CHOOSE({1,2}, 'S18 Operations'!$B$2:$B$534&amp;"-"&amp;'S18 Operations'!$D$2:$D$534, 'S18 Operations'!$C$2:$C$534), 2, 0), "")</f>
        <v>80</v>
      </c>
    </row>
    <row r="15" spans="1:27">
      <c r="A15" s="320" t="str">
        <f>'S14 ABC Output'!A10</f>
        <v>I-012</v>
      </c>
      <c r="B15" s="321" cm="1">
        <f t="array" ref="B15">IFERROR(VLOOKUP($A15&amp;"-"&amp;B$2, CHOOSE({1,2}, 'S18 Operations'!$B$2:$B$534&amp;"-"&amp;'S18 Operations'!$D$2:$D$534, 'S18 Operations'!$C$2:$C$534), 2, 0), "")</f>
        <v>10</v>
      </c>
      <c r="C15" s="321" t="str" cm="1">
        <f t="array" ref="C15">IFERROR(VLOOKUP($A15&amp;"-"&amp;C$2, CHOOSE({1,2}, 'S18 Operations'!$B$2:$B$534&amp;"-"&amp;'S18 Operations'!$D$2:$D$534, 'S18 Operations'!$C$2:$C$534), 2, 0), "")</f>
        <v/>
      </c>
      <c r="D15" s="321" t="str" cm="1">
        <f t="array" ref="D15">IFERROR(VLOOKUP($A15&amp;"-"&amp;D$2, CHOOSE({1,2}, 'S18 Operations'!$B$2:$B$534&amp;"-"&amp;'S18 Operations'!$D$2:$D$534, 'S18 Operations'!$C$2:$C$534), 2, 0), "")</f>
        <v/>
      </c>
      <c r="E15" s="321" cm="1">
        <f t="array" ref="E15">IFERROR(VLOOKUP($A15&amp;"-"&amp;E$2, CHOOSE({1,2}, 'S18 Operations'!$B$2:$B$534&amp;"-"&amp;'S18 Operations'!$D$2:$D$534, 'S18 Operations'!$C$2:$C$534), 2, 0), "")</f>
        <v>20</v>
      </c>
      <c r="F15" s="321" t="str" cm="1">
        <f t="array" ref="F15">IFERROR(VLOOKUP($A15&amp;"-"&amp;F$2, CHOOSE({1,2}, 'S18 Operations'!$B$2:$B$534&amp;"-"&amp;'S18 Operations'!$D$2:$D$534, 'S18 Operations'!$C$2:$C$534), 2, 0), "")</f>
        <v/>
      </c>
      <c r="G15" s="321" t="str" cm="1">
        <f t="array" ref="G15">IFERROR(VLOOKUP($A15&amp;"-"&amp;G$2, CHOOSE({1,2}, 'S18 Operations'!$B$2:$B$534&amp;"-"&amp;'S18 Operations'!$D$2:$D$534, 'S18 Operations'!$C$2:$C$534), 2, 0), "")</f>
        <v/>
      </c>
      <c r="H15" s="321" cm="1">
        <f t="array" ref="H15">IFERROR(VLOOKUP($A15&amp;"-"&amp;H$2, CHOOSE({1,2}, 'S18 Operations'!$B$2:$B$534&amp;"-"&amp;'S18 Operations'!$D$2:$D$534, 'S18 Operations'!$C$2:$C$534), 2, 0), "")</f>
        <v>30</v>
      </c>
      <c r="I15" s="321" t="str" cm="1">
        <f t="array" ref="I15">IFERROR(VLOOKUP($A15&amp;"-"&amp;I$2, CHOOSE({1,2}, 'S18 Operations'!$B$2:$B$534&amp;"-"&amp;'S18 Operations'!$D$2:$D$534, 'S18 Operations'!$C$2:$C$534), 2, 0), "")</f>
        <v/>
      </c>
      <c r="J15" s="321" t="str" cm="1">
        <f t="array" ref="J15">IFERROR(VLOOKUP($A15&amp;"-"&amp;J$2, CHOOSE({1,2}, 'S18 Operations'!$B$2:$B$534&amp;"-"&amp;'S18 Operations'!$D$2:$D$534, 'S18 Operations'!$C$2:$C$534), 2, 0), "")</f>
        <v/>
      </c>
      <c r="K15" s="321" cm="1">
        <f t="array" ref="K15">IFERROR(VLOOKUP($A15&amp;"-"&amp;K$2, CHOOSE({1,2}, 'S18 Operations'!$B$2:$B$534&amp;"-"&amp;'S18 Operations'!$D$2:$D$534, 'S18 Operations'!$C$2:$C$534), 2, 0), "")</f>
        <v>40</v>
      </c>
      <c r="L15" s="321" t="str" cm="1">
        <f t="array" ref="L15">IFERROR(VLOOKUP($A15&amp;"-"&amp;L$2, CHOOSE({1,2}, 'S18 Operations'!$B$2:$B$534&amp;"-"&amp;'S18 Operations'!$D$2:$D$534, 'S18 Operations'!$C$2:$C$534), 2, 0), "")</f>
        <v/>
      </c>
      <c r="M15" s="321" cm="1">
        <f t="array" ref="M15">IFERROR(VLOOKUP($A15&amp;"-"&amp;M$2, CHOOSE({1,2}, 'S18 Operations'!$B$2:$B$534&amp;"-"&amp;'S18 Operations'!$D$2:$D$534, 'S18 Operations'!$C$2:$C$534), 2, 0), "")</f>
        <v>50</v>
      </c>
      <c r="N15" s="321" t="str" cm="1">
        <f t="array" ref="N15">IFERROR(VLOOKUP($A15&amp;"-"&amp;N$2, CHOOSE({1,2}, 'S18 Operations'!$B$2:$B$534&amp;"-"&amp;'S18 Operations'!$D$2:$D$534, 'S18 Operations'!$C$2:$C$534), 2, 0), "")</f>
        <v/>
      </c>
      <c r="O15" s="321" t="str" cm="1">
        <f t="array" ref="O15">IFERROR(VLOOKUP($A15&amp;"-"&amp;O$2, CHOOSE({1,2}, 'S18 Operations'!$B$2:$B$534&amp;"-"&amp;'S18 Operations'!$D$2:$D$534, 'S18 Operations'!$C$2:$C$534), 2, 0), "")</f>
        <v/>
      </c>
      <c r="P15" s="321" t="str" cm="1">
        <f t="array" ref="P15">IFERROR(VLOOKUP($A15&amp;"-"&amp;P$2, CHOOSE({1,2}, 'S18 Operations'!$B$2:$B$534&amp;"-"&amp;'S18 Operations'!$D$2:$D$534, 'S18 Operations'!$C$2:$C$534), 2, 0), "")</f>
        <v/>
      </c>
      <c r="Q15" s="321" t="str" cm="1">
        <f t="array" ref="Q15">IFERROR(VLOOKUP($A15&amp;"-"&amp;Q$2, CHOOSE({1,2}, 'S18 Operations'!$B$2:$B$534&amp;"-"&amp;'S18 Operations'!$D$2:$D$534, 'S18 Operations'!$C$2:$C$534), 2, 0), "")</f>
        <v/>
      </c>
      <c r="R15" s="321" cm="1">
        <f t="array" ref="R15">IFERROR(VLOOKUP($A15&amp;"-"&amp;R$2, CHOOSE({1,2}, 'S18 Operations'!$B$2:$B$534&amp;"-"&amp;'S18 Operations'!$D$2:$D$534, 'S18 Operations'!$C$2:$C$534), 2, 0), "")</f>
        <v>60</v>
      </c>
      <c r="S15" s="321" t="str" cm="1">
        <f t="array" ref="S15">IFERROR(VLOOKUP($A15&amp;"-"&amp;S$2, CHOOSE({1,2}, 'S18 Operations'!$B$2:$B$534&amp;"-"&amp;'S18 Operations'!$D$2:$D$534, 'S18 Operations'!$C$2:$C$534), 2, 0), "")</f>
        <v/>
      </c>
      <c r="T15" s="321" t="str" cm="1">
        <f t="array" ref="T15">IFERROR(VLOOKUP($A15&amp;"-"&amp;T$2, CHOOSE({1,2}, 'S18 Operations'!$B$2:$B$534&amp;"-"&amp;'S18 Operations'!$D$2:$D$534, 'S18 Operations'!$C$2:$C$534), 2, 0), "")</f>
        <v/>
      </c>
      <c r="U15" s="321" t="str" cm="1">
        <f t="array" ref="U15">IFERROR(VLOOKUP($A15&amp;"-"&amp;U$2, CHOOSE({1,2}, 'S18 Operations'!$B$2:$B$534&amp;"-"&amp;'S18 Operations'!$D$2:$D$534, 'S18 Operations'!$C$2:$C$534), 2, 0), "")</f>
        <v/>
      </c>
      <c r="V15" s="321" t="str" cm="1">
        <f t="array" ref="V15">IFERROR(VLOOKUP($A15&amp;"-"&amp;V$2, CHOOSE({1,2}, 'S18 Operations'!$B$2:$B$534&amp;"-"&amp;'S18 Operations'!$D$2:$D$534, 'S18 Operations'!$C$2:$C$534), 2, 0), "")</f>
        <v/>
      </c>
      <c r="W15" s="321" cm="1">
        <f t="array" ref="W15">IFERROR(VLOOKUP($A15&amp;"-"&amp;W$2, CHOOSE({1,2}, 'S18 Operations'!$B$2:$B$534&amp;"-"&amp;'S18 Operations'!$D$2:$D$534, 'S18 Operations'!$C$2:$C$534), 2, 0), "")</f>
        <v>70</v>
      </c>
      <c r="X15" s="321" t="str" cm="1">
        <f t="array" ref="X15">IFERROR(VLOOKUP($A15&amp;"-"&amp;X$2, CHOOSE({1,2}, 'S18 Operations'!$B$2:$B$534&amp;"-"&amp;'S18 Operations'!$D$2:$D$534, 'S18 Operations'!$C$2:$C$534), 2, 0), "")</f>
        <v/>
      </c>
      <c r="Y15" s="321" t="str" cm="1">
        <f t="array" ref="Y15">IFERROR(VLOOKUP($A15&amp;"-"&amp;Y$2, CHOOSE({1,2}, 'S18 Operations'!$B$2:$B$534&amp;"-"&amp;'S18 Operations'!$D$2:$D$534, 'S18 Operations'!$C$2:$C$534), 2, 0), "")</f>
        <v/>
      </c>
      <c r="Z15" s="321" t="str" cm="1">
        <f t="array" ref="Z15">IFERROR(VLOOKUP($A15&amp;"-"&amp;Z$2, CHOOSE({1,2}, 'S18 Operations'!$B$2:$B$534&amp;"-"&amp;'S18 Operations'!$D$2:$D$534, 'S18 Operations'!$C$2:$C$534), 2, 0), "")</f>
        <v/>
      </c>
      <c r="AA15" s="322" cm="1">
        <f t="array" ref="AA15">IFERROR(VLOOKUP($A15&amp;"-"&amp;AA$2, CHOOSE({1,2}, 'S18 Operations'!$B$2:$B$534&amp;"-"&amp;'S18 Operations'!$D$2:$D$534, 'S18 Operations'!$C$2:$C$534), 2, 0), "")</f>
        <v>80</v>
      </c>
    </row>
    <row r="16" spans="1:27" ht="16" thickBot="1">
      <c r="A16" s="325" t="str">
        <f>'S14 ABC Output'!A7</f>
        <v>I-052</v>
      </c>
      <c r="B16" s="326" cm="1">
        <f t="array" ref="B16">IFERROR(VLOOKUP($A16&amp;"-"&amp;B$2, CHOOSE({1,2}, 'S18 Operations'!$B$2:$B$534&amp;"-"&amp;'S18 Operations'!$D$2:$D$534, 'S18 Operations'!$C$2:$C$534), 2, 0), "")</f>
        <v>10</v>
      </c>
      <c r="C16" s="326" t="str" cm="1">
        <f t="array" ref="C16">IFERROR(VLOOKUP($A16&amp;"-"&amp;C$2, CHOOSE({1,2}, 'S18 Operations'!$B$2:$B$534&amp;"-"&amp;'S18 Operations'!$D$2:$D$534, 'S18 Operations'!$C$2:$C$534), 2, 0), "")</f>
        <v/>
      </c>
      <c r="D16" s="326" t="str" cm="1">
        <f t="array" ref="D16">IFERROR(VLOOKUP($A16&amp;"-"&amp;D$2, CHOOSE({1,2}, 'S18 Operations'!$B$2:$B$534&amp;"-"&amp;'S18 Operations'!$D$2:$D$534, 'S18 Operations'!$C$2:$C$534), 2, 0), "")</f>
        <v/>
      </c>
      <c r="E16" s="326" cm="1">
        <f t="array" ref="E16">IFERROR(VLOOKUP($A16&amp;"-"&amp;E$2, CHOOSE({1,2}, 'S18 Operations'!$B$2:$B$534&amp;"-"&amp;'S18 Operations'!$D$2:$D$534, 'S18 Operations'!$C$2:$C$534), 2, 0), "")</f>
        <v>20</v>
      </c>
      <c r="F16" s="326" t="str" cm="1">
        <f t="array" ref="F16">IFERROR(VLOOKUP($A16&amp;"-"&amp;F$2, CHOOSE({1,2}, 'S18 Operations'!$B$2:$B$534&amp;"-"&amp;'S18 Operations'!$D$2:$D$534, 'S18 Operations'!$C$2:$C$534), 2, 0), "")</f>
        <v/>
      </c>
      <c r="G16" s="326" t="str" cm="1">
        <f t="array" ref="G16">IFERROR(VLOOKUP($A16&amp;"-"&amp;G$2, CHOOSE({1,2}, 'S18 Operations'!$B$2:$B$534&amp;"-"&amp;'S18 Operations'!$D$2:$D$534, 'S18 Operations'!$C$2:$C$534), 2, 0), "")</f>
        <v/>
      </c>
      <c r="H16" s="326" cm="1">
        <f t="array" ref="H16">IFERROR(VLOOKUP($A16&amp;"-"&amp;H$2, CHOOSE({1,2}, 'S18 Operations'!$B$2:$B$534&amp;"-"&amp;'S18 Operations'!$D$2:$D$534, 'S18 Operations'!$C$2:$C$534), 2, 0), "")</f>
        <v>30</v>
      </c>
      <c r="I16" s="326" t="str" cm="1">
        <f t="array" ref="I16">IFERROR(VLOOKUP($A16&amp;"-"&amp;I$2, CHOOSE({1,2}, 'S18 Operations'!$B$2:$B$534&amp;"-"&amp;'S18 Operations'!$D$2:$D$534, 'S18 Operations'!$C$2:$C$534), 2, 0), "")</f>
        <v/>
      </c>
      <c r="J16" s="326" t="str" cm="1">
        <f t="array" ref="J16">IFERROR(VLOOKUP($A16&amp;"-"&amp;J$2, CHOOSE({1,2}, 'S18 Operations'!$B$2:$B$534&amp;"-"&amp;'S18 Operations'!$D$2:$D$534, 'S18 Operations'!$C$2:$C$534), 2, 0), "")</f>
        <v/>
      </c>
      <c r="K16" s="326" cm="1">
        <f t="array" ref="K16">IFERROR(VLOOKUP($A16&amp;"-"&amp;K$2, CHOOSE({1,2}, 'S18 Operations'!$B$2:$B$534&amp;"-"&amp;'S18 Operations'!$D$2:$D$534, 'S18 Operations'!$C$2:$C$534), 2, 0), "")</f>
        <v>40</v>
      </c>
      <c r="L16" s="326" t="str" cm="1">
        <f t="array" ref="L16">IFERROR(VLOOKUP($A16&amp;"-"&amp;L$2, CHOOSE({1,2}, 'S18 Operations'!$B$2:$B$534&amp;"-"&amp;'S18 Operations'!$D$2:$D$534, 'S18 Operations'!$C$2:$C$534), 2, 0), "")</f>
        <v/>
      </c>
      <c r="M16" s="326" cm="1">
        <f t="array" ref="M16">IFERROR(VLOOKUP($A16&amp;"-"&amp;M$2, CHOOSE({1,2}, 'S18 Operations'!$B$2:$B$534&amp;"-"&amp;'S18 Operations'!$D$2:$D$534, 'S18 Operations'!$C$2:$C$534), 2, 0), "")</f>
        <v>50</v>
      </c>
      <c r="N16" s="326" t="str" cm="1">
        <f t="array" ref="N16">IFERROR(VLOOKUP($A16&amp;"-"&amp;N$2, CHOOSE({1,2}, 'S18 Operations'!$B$2:$B$534&amp;"-"&amp;'S18 Operations'!$D$2:$D$534, 'S18 Operations'!$C$2:$C$534), 2, 0), "")</f>
        <v/>
      </c>
      <c r="O16" s="326" t="str" cm="1">
        <f t="array" ref="O16">IFERROR(VLOOKUP($A16&amp;"-"&amp;O$2, CHOOSE({1,2}, 'S18 Operations'!$B$2:$B$534&amp;"-"&amp;'S18 Operations'!$D$2:$D$534, 'S18 Operations'!$C$2:$C$534), 2, 0), "")</f>
        <v/>
      </c>
      <c r="P16" s="326" t="str" cm="1">
        <f t="array" ref="P16">IFERROR(VLOOKUP($A16&amp;"-"&amp;P$2, CHOOSE({1,2}, 'S18 Operations'!$B$2:$B$534&amp;"-"&amp;'S18 Operations'!$D$2:$D$534, 'S18 Operations'!$C$2:$C$534), 2, 0), "")</f>
        <v/>
      </c>
      <c r="Q16" s="326" t="str" cm="1">
        <f t="array" ref="Q16">IFERROR(VLOOKUP($A16&amp;"-"&amp;Q$2, CHOOSE({1,2}, 'S18 Operations'!$B$2:$B$534&amp;"-"&amp;'S18 Operations'!$D$2:$D$534, 'S18 Operations'!$C$2:$C$534), 2, 0), "")</f>
        <v/>
      </c>
      <c r="R16" s="326" cm="1">
        <f t="array" ref="R16">IFERROR(VLOOKUP($A16&amp;"-"&amp;R$2, CHOOSE({1,2}, 'S18 Operations'!$B$2:$B$534&amp;"-"&amp;'S18 Operations'!$D$2:$D$534, 'S18 Operations'!$C$2:$C$534), 2, 0), "")</f>
        <v>60</v>
      </c>
      <c r="S16" s="326" t="str" cm="1">
        <f t="array" ref="S16">IFERROR(VLOOKUP($A16&amp;"-"&amp;S$2, CHOOSE({1,2}, 'S18 Operations'!$B$2:$B$534&amp;"-"&amp;'S18 Operations'!$D$2:$D$534, 'S18 Operations'!$C$2:$C$534), 2, 0), "")</f>
        <v/>
      </c>
      <c r="T16" s="326" t="str" cm="1">
        <f t="array" ref="T16">IFERROR(VLOOKUP($A16&amp;"-"&amp;T$2, CHOOSE({1,2}, 'S18 Operations'!$B$2:$B$534&amp;"-"&amp;'S18 Operations'!$D$2:$D$534, 'S18 Operations'!$C$2:$C$534), 2, 0), "")</f>
        <v/>
      </c>
      <c r="U16" s="326" t="str" cm="1">
        <f t="array" ref="U16">IFERROR(VLOOKUP($A16&amp;"-"&amp;U$2, CHOOSE({1,2}, 'S18 Operations'!$B$2:$B$534&amp;"-"&amp;'S18 Operations'!$D$2:$D$534, 'S18 Operations'!$C$2:$C$534), 2, 0), "")</f>
        <v/>
      </c>
      <c r="V16" s="326" t="str" cm="1">
        <f t="array" ref="V16">IFERROR(VLOOKUP($A16&amp;"-"&amp;V$2, CHOOSE({1,2}, 'S18 Operations'!$B$2:$B$534&amp;"-"&amp;'S18 Operations'!$D$2:$D$534, 'S18 Operations'!$C$2:$C$534), 2, 0), "")</f>
        <v/>
      </c>
      <c r="W16" s="326" cm="1">
        <f t="array" ref="W16">IFERROR(VLOOKUP($A16&amp;"-"&amp;W$2, CHOOSE({1,2}, 'S18 Operations'!$B$2:$B$534&amp;"-"&amp;'S18 Operations'!$D$2:$D$534, 'S18 Operations'!$C$2:$C$534), 2, 0), "")</f>
        <v>70</v>
      </c>
      <c r="X16" s="326" t="str" cm="1">
        <f t="array" ref="X16">IFERROR(VLOOKUP($A16&amp;"-"&amp;X$2, CHOOSE({1,2}, 'S18 Operations'!$B$2:$B$534&amp;"-"&amp;'S18 Operations'!$D$2:$D$534, 'S18 Operations'!$C$2:$C$534), 2, 0), "")</f>
        <v/>
      </c>
      <c r="Y16" s="326" t="str" cm="1">
        <f t="array" ref="Y16">IFERROR(VLOOKUP($A16&amp;"-"&amp;Y$2, CHOOSE({1,2}, 'S18 Operations'!$B$2:$B$534&amp;"-"&amp;'S18 Operations'!$D$2:$D$534, 'S18 Operations'!$C$2:$C$534), 2, 0), "")</f>
        <v/>
      </c>
      <c r="Z16" s="326" t="str" cm="1">
        <f t="array" ref="Z16">IFERROR(VLOOKUP($A16&amp;"-"&amp;Z$2, CHOOSE({1,2}, 'S18 Operations'!$B$2:$B$534&amp;"-"&amp;'S18 Operations'!$D$2:$D$534, 'S18 Operations'!$C$2:$C$534), 2, 0), "")</f>
        <v/>
      </c>
      <c r="AA16" s="327" cm="1">
        <f t="array" ref="AA16">IFERROR(VLOOKUP($A16&amp;"-"&amp;AA$2, CHOOSE({1,2}, 'S18 Operations'!$B$2:$B$534&amp;"-"&amp;'S18 Operations'!$D$2:$D$534, 'S18 Operations'!$C$2:$C$534), 2, 0), "")</f>
        <v>80</v>
      </c>
    </row>
    <row r="17" spans="1:27">
      <c r="A17" s="319" t="str">
        <f>'S14 ABC Output'!A9</f>
        <v>I-053</v>
      </c>
      <c r="B17" s="307" cm="1">
        <f t="array" ref="B17">IFERROR(VLOOKUP($A17&amp;"-"&amp;B$2, CHOOSE({1,2}, 'S18 Operations'!$B$2:$B$534&amp;"-"&amp;'S18 Operations'!$D$2:$D$534, 'S18 Operations'!$C$2:$C$534), 2, 0), "")</f>
        <v>10</v>
      </c>
      <c r="C17" s="307" t="str" cm="1">
        <f t="array" ref="C17">IFERROR(VLOOKUP($A17&amp;"-"&amp;C$2, CHOOSE({1,2}, 'S18 Operations'!$B$2:$B$534&amp;"-"&amp;'S18 Operations'!$D$2:$D$534, 'S18 Operations'!$C$2:$C$534), 2, 0), "")</f>
        <v/>
      </c>
      <c r="D17" s="307" t="str" cm="1">
        <f t="array" ref="D17">IFERROR(VLOOKUP($A17&amp;"-"&amp;D$2, CHOOSE({1,2}, 'S18 Operations'!$B$2:$B$534&amp;"-"&amp;'S18 Operations'!$D$2:$D$534, 'S18 Operations'!$C$2:$C$534), 2, 0), "")</f>
        <v/>
      </c>
      <c r="E17" s="307" cm="1">
        <f t="array" ref="E17">IFERROR(VLOOKUP($A17&amp;"-"&amp;E$2, CHOOSE({1,2}, 'S18 Operations'!$B$2:$B$534&amp;"-"&amp;'S18 Operations'!$D$2:$D$534, 'S18 Operations'!$C$2:$C$534), 2, 0), "")</f>
        <v>20</v>
      </c>
      <c r="F17" s="307" t="str" cm="1">
        <f t="array" ref="F17">IFERROR(VLOOKUP($A17&amp;"-"&amp;F$2, CHOOSE({1,2}, 'S18 Operations'!$B$2:$B$534&amp;"-"&amp;'S18 Operations'!$D$2:$D$534, 'S18 Operations'!$C$2:$C$534), 2, 0), "")</f>
        <v/>
      </c>
      <c r="G17" s="307" cm="1">
        <f t="array" ref="G17">IFERROR(VLOOKUP($A17&amp;"-"&amp;G$2, CHOOSE({1,2}, 'S18 Operations'!$B$2:$B$534&amp;"-"&amp;'S18 Operations'!$D$2:$D$534, 'S18 Operations'!$C$2:$C$534), 2, 0), "")</f>
        <v>30</v>
      </c>
      <c r="H17" s="307" t="str" cm="1">
        <f t="array" ref="H17">IFERROR(VLOOKUP($A17&amp;"-"&amp;H$2, CHOOSE({1,2}, 'S18 Operations'!$B$2:$B$534&amp;"-"&amp;'S18 Operations'!$D$2:$D$534, 'S18 Operations'!$C$2:$C$534), 2, 0), "")</f>
        <v/>
      </c>
      <c r="I17" s="307" cm="1">
        <f t="array" ref="I17">IFERROR(VLOOKUP($A17&amp;"-"&amp;I$2, CHOOSE({1,2}, 'S18 Operations'!$B$2:$B$534&amp;"-"&amp;'S18 Operations'!$D$2:$D$534, 'S18 Operations'!$C$2:$C$534), 2, 0), "")</f>
        <v>40</v>
      </c>
      <c r="J17" s="307" t="str" cm="1">
        <f t="array" ref="J17">IFERROR(VLOOKUP($A17&amp;"-"&amp;J$2, CHOOSE({1,2}, 'S18 Operations'!$B$2:$B$534&amp;"-"&amp;'S18 Operations'!$D$2:$D$534, 'S18 Operations'!$C$2:$C$534), 2, 0), "")</f>
        <v/>
      </c>
      <c r="K17" s="307" t="str" cm="1">
        <f t="array" ref="K17">IFERROR(VLOOKUP($A17&amp;"-"&amp;K$2, CHOOSE({1,2}, 'S18 Operations'!$B$2:$B$534&amp;"-"&amp;'S18 Operations'!$D$2:$D$534, 'S18 Operations'!$C$2:$C$534), 2, 0), "")</f>
        <v/>
      </c>
      <c r="L17" s="307" t="str" cm="1">
        <f t="array" ref="L17">IFERROR(VLOOKUP($A17&amp;"-"&amp;L$2, CHOOSE({1,2}, 'S18 Operations'!$B$2:$B$534&amp;"-"&amp;'S18 Operations'!$D$2:$D$534, 'S18 Operations'!$C$2:$C$534), 2, 0), "")</f>
        <v/>
      </c>
      <c r="M17" s="307" t="str" cm="1">
        <f t="array" ref="M17">IFERROR(VLOOKUP($A17&amp;"-"&amp;M$2, CHOOSE({1,2}, 'S18 Operations'!$B$2:$B$534&amp;"-"&amp;'S18 Operations'!$D$2:$D$534, 'S18 Operations'!$C$2:$C$534), 2, 0), "")</f>
        <v/>
      </c>
      <c r="N17" s="307" t="str" cm="1">
        <f t="array" ref="N17">IFERROR(VLOOKUP($A17&amp;"-"&amp;N$2, CHOOSE({1,2}, 'S18 Operations'!$B$2:$B$534&amp;"-"&amp;'S18 Operations'!$D$2:$D$534, 'S18 Operations'!$C$2:$C$534), 2, 0), "")</f>
        <v/>
      </c>
      <c r="O17" s="307" cm="1">
        <f t="array" ref="O17">IFERROR(VLOOKUP($A17&amp;"-"&amp;O$2, CHOOSE({1,2}, 'S18 Operations'!$B$2:$B$534&amp;"-"&amp;'S18 Operations'!$D$2:$D$534, 'S18 Operations'!$C$2:$C$534), 2, 0), "")</f>
        <v>50</v>
      </c>
      <c r="P17" s="307" t="str" cm="1">
        <f t="array" ref="P17">IFERROR(VLOOKUP($A17&amp;"-"&amp;P$2, CHOOSE({1,2}, 'S18 Operations'!$B$2:$B$534&amp;"-"&amp;'S18 Operations'!$D$2:$D$534, 'S18 Operations'!$C$2:$C$534), 2, 0), "")</f>
        <v/>
      </c>
      <c r="Q17" s="307" t="str" cm="1">
        <f t="array" ref="Q17">IFERROR(VLOOKUP($A17&amp;"-"&amp;Q$2, CHOOSE({1,2}, 'S18 Operations'!$B$2:$B$534&amp;"-"&amp;'S18 Operations'!$D$2:$D$534, 'S18 Operations'!$C$2:$C$534), 2, 0), "")</f>
        <v/>
      </c>
      <c r="R17" s="307" t="str" cm="1">
        <f t="array" ref="R17">IFERROR(VLOOKUP($A17&amp;"-"&amp;R$2, CHOOSE({1,2}, 'S18 Operations'!$B$2:$B$534&amp;"-"&amp;'S18 Operations'!$D$2:$D$534, 'S18 Operations'!$C$2:$C$534), 2, 0), "")</f>
        <v/>
      </c>
      <c r="S17" s="307" t="str" cm="1">
        <f t="array" ref="S17">IFERROR(VLOOKUP($A17&amp;"-"&amp;S$2, CHOOSE({1,2}, 'S18 Operations'!$B$2:$B$534&amp;"-"&amp;'S18 Operations'!$D$2:$D$534, 'S18 Operations'!$C$2:$C$534), 2, 0), "")</f>
        <v/>
      </c>
      <c r="T17" s="307" cm="1">
        <f t="array" ref="T17">IFERROR(VLOOKUP($A17&amp;"-"&amp;T$2, CHOOSE({1,2}, 'S18 Operations'!$B$2:$B$534&amp;"-"&amp;'S18 Operations'!$D$2:$D$534, 'S18 Operations'!$C$2:$C$534), 2, 0), "")</f>
        <v>60</v>
      </c>
      <c r="U17" s="307" t="str" cm="1">
        <f t="array" ref="U17">IFERROR(VLOOKUP($A17&amp;"-"&amp;U$2, CHOOSE({1,2}, 'S18 Operations'!$B$2:$B$534&amp;"-"&amp;'S18 Operations'!$D$2:$D$534, 'S18 Operations'!$C$2:$C$534), 2, 0), "")</f>
        <v/>
      </c>
      <c r="V17" s="307" t="str" cm="1">
        <f t="array" ref="V17">IFERROR(VLOOKUP($A17&amp;"-"&amp;V$2, CHOOSE({1,2}, 'S18 Operations'!$B$2:$B$534&amp;"-"&amp;'S18 Operations'!$D$2:$D$534, 'S18 Operations'!$C$2:$C$534), 2, 0), "")</f>
        <v/>
      </c>
      <c r="W17" s="307" cm="1">
        <f t="array" ref="W17">IFERROR(VLOOKUP($A17&amp;"-"&amp;W$2, CHOOSE({1,2}, 'S18 Operations'!$B$2:$B$534&amp;"-"&amp;'S18 Operations'!$D$2:$D$534, 'S18 Operations'!$C$2:$C$534), 2, 0), "")</f>
        <v>70</v>
      </c>
      <c r="X17" s="307" t="str" cm="1">
        <f t="array" ref="X17">IFERROR(VLOOKUP($A17&amp;"-"&amp;X$2, CHOOSE({1,2}, 'S18 Operations'!$B$2:$B$534&amp;"-"&amp;'S18 Operations'!$D$2:$D$534, 'S18 Operations'!$C$2:$C$534), 2, 0), "")</f>
        <v/>
      </c>
      <c r="Y17" s="307" t="str" cm="1">
        <f t="array" ref="Y17">IFERROR(VLOOKUP($A17&amp;"-"&amp;Y$2, CHOOSE({1,2}, 'S18 Operations'!$B$2:$B$534&amp;"-"&amp;'S18 Operations'!$D$2:$D$534, 'S18 Operations'!$C$2:$C$534), 2, 0), "")</f>
        <v/>
      </c>
      <c r="Z17" s="307" t="str" cm="1">
        <f t="array" ref="Z17">IFERROR(VLOOKUP($A17&amp;"-"&amp;Z$2, CHOOSE({1,2}, 'S18 Operations'!$B$2:$B$534&amp;"-"&amp;'S18 Operations'!$D$2:$D$534, 'S18 Operations'!$C$2:$C$534), 2, 0), "")</f>
        <v/>
      </c>
      <c r="AA17" s="307" cm="1">
        <f t="array" ref="AA17">IFERROR(VLOOKUP($A17&amp;"-"&amp;AA$2, CHOOSE({1,2}, 'S18 Operations'!$B$2:$B$534&amp;"-"&amp;'S18 Operations'!$D$2:$D$534, 'S18 Operations'!$C$2:$C$534), 2, 0), "")</f>
        <v>80</v>
      </c>
    </row>
    <row r="18" spans="1:27">
      <c r="A18" s="318" t="str">
        <f>'S14 ABC Output'!A6</f>
        <v>I-064</v>
      </c>
      <c r="B18" s="4" cm="1">
        <f t="array" ref="B18">IFERROR(VLOOKUP($A18&amp;"-"&amp;B$2, CHOOSE({1,2}, 'S18 Operations'!$B$2:$B$534&amp;"-"&amp;'S18 Operations'!$D$2:$D$534, 'S18 Operations'!$C$2:$C$534), 2, 0), "")</f>
        <v>10</v>
      </c>
      <c r="C18" s="4" t="str" cm="1">
        <f t="array" ref="C18">IFERROR(VLOOKUP($A18&amp;"-"&amp;C$2, CHOOSE({1,2}, 'S18 Operations'!$B$2:$B$534&amp;"-"&amp;'S18 Operations'!$D$2:$D$534, 'S18 Operations'!$C$2:$C$534), 2, 0), "")</f>
        <v/>
      </c>
      <c r="D18" s="4" t="str" cm="1">
        <f t="array" ref="D18">IFERROR(VLOOKUP($A18&amp;"-"&amp;D$2, CHOOSE({1,2}, 'S18 Operations'!$B$2:$B$534&amp;"-"&amp;'S18 Operations'!$D$2:$D$534, 'S18 Operations'!$C$2:$C$534), 2, 0), "")</f>
        <v/>
      </c>
      <c r="E18" s="4" cm="1">
        <f t="array" ref="E18">IFERROR(VLOOKUP($A18&amp;"-"&amp;E$2, CHOOSE({1,2}, 'S18 Operations'!$B$2:$B$534&amp;"-"&amp;'S18 Operations'!$D$2:$D$534, 'S18 Operations'!$C$2:$C$534), 2, 0), "")</f>
        <v>20</v>
      </c>
      <c r="F18" s="4" t="str" cm="1">
        <f t="array" ref="F18">IFERROR(VLOOKUP($A18&amp;"-"&amp;F$2, CHOOSE({1,2}, 'S18 Operations'!$B$2:$B$534&amp;"-"&amp;'S18 Operations'!$D$2:$D$534, 'S18 Operations'!$C$2:$C$534), 2, 0), "")</f>
        <v/>
      </c>
      <c r="G18" s="4" cm="1">
        <f t="array" ref="G18">IFERROR(VLOOKUP($A18&amp;"-"&amp;G$2, CHOOSE({1,2}, 'S18 Operations'!$B$2:$B$534&amp;"-"&amp;'S18 Operations'!$D$2:$D$534, 'S18 Operations'!$C$2:$C$534), 2, 0), "")</f>
        <v>30</v>
      </c>
      <c r="H18" s="4" t="str" cm="1">
        <f t="array" ref="H18">IFERROR(VLOOKUP($A18&amp;"-"&amp;H$2, CHOOSE({1,2}, 'S18 Operations'!$B$2:$B$534&amp;"-"&amp;'S18 Operations'!$D$2:$D$534, 'S18 Operations'!$C$2:$C$534), 2, 0), "")</f>
        <v/>
      </c>
      <c r="I18" s="4" cm="1">
        <f t="array" ref="I18">IFERROR(VLOOKUP($A18&amp;"-"&amp;I$2, CHOOSE({1,2}, 'S18 Operations'!$B$2:$B$534&amp;"-"&amp;'S18 Operations'!$D$2:$D$534, 'S18 Operations'!$C$2:$C$534), 2, 0), "")</f>
        <v>40</v>
      </c>
      <c r="J18" s="4" t="str" cm="1">
        <f t="array" ref="J18">IFERROR(VLOOKUP($A18&amp;"-"&amp;J$2, CHOOSE({1,2}, 'S18 Operations'!$B$2:$B$534&amp;"-"&amp;'S18 Operations'!$D$2:$D$534, 'S18 Operations'!$C$2:$C$534), 2, 0), "")</f>
        <v/>
      </c>
      <c r="K18" s="4" t="str" cm="1">
        <f t="array" ref="K18">IFERROR(VLOOKUP($A18&amp;"-"&amp;K$2, CHOOSE({1,2}, 'S18 Operations'!$B$2:$B$534&amp;"-"&amp;'S18 Operations'!$D$2:$D$534, 'S18 Operations'!$C$2:$C$534), 2, 0), "")</f>
        <v/>
      </c>
      <c r="L18" s="4" t="str" cm="1">
        <f t="array" ref="L18">IFERROR(VLOOKUP($A18&amp;"-"&amp;L$2, CHOOSE({1,2}, 'S18 Operations'!$B$2:$B$534&amp;"-"&amp;'S18 Operations'!$D$2:$D$534, 'S18 Operations'!$C$2:$C$534), 2, 0), "")</f>
        <v/>
      </c>
      <c r="M18" s="4" t="str" cm="1">
        <f t="array" ref="M18">IFERROR(VLOOKUP($A18&amp;"-"&amp;M$2, CHOOSE({1,2}, 'S18 Operations'!$B$2:$B$534&amp;"-"&amp;'S18 Operations'!$D$2:$D$534, 'S18 Operations'!$C$2:$C$534), 2, 0), "")</f>
        <v/>
      </c>
      <c r="N18" s="4" t="str" cm="1">
        <f t="array" ref="N18">IFERROR(VLOOKUP($A18&amp;"-"&amp;N$2, CHOOSE({1,2}, 'S18 Operations'!$B$2:$B$534&amp;"-"&amp;'S18 Operations'!$D$2:$D$534, 'S18 Operations'!$C$2:$C$534), 2, 0), "")</f>
        <v/>
      </c>
      <c r="O18" s="4" cm="1">
        <f t="array" ref="O18">IFERROR(VLOOKUP($A18&amp;"-"&amp;O$2, CHOOSE({1,2}, 'S18 Operations'!$B$2:$B$534&amp;"-"&amp;'S18 Operations'!$D$2:$D$534, 'S18 Operations'!$C$2:$C$534), 2, 0), "")</f>
        <v>50</v>
      </c>
      <c r="P18" s="4" t="str" cm="1">
        <f t="array" ref="P18">IFERROR(VLOOKUP($A18&amp;"-"&amp;P$2, CHOOSE({1,2}, 'S18 Operations'!$B$2:$B$534&amp;"-"&amp;'S18 Operations'!$D$2:$D$534, 'S18 Operations'!$C$2:$C$534), 2, 0), "")</f>
        <v/>
      </c>
      <c r="Q18" s="4" t="str" cm="1">
        <f t="array" ref="Q18">IFERROR(VLOOKUP($A18&amp;"-"&amp;Q$2, CHOOSE({1,2}, 'S18 Operations'!$B$2:$B$534&amp;"-"&amp;'S18 Operations'!$D$2:$D$534, 'S18 Operations'!$C$2:$C$534), 2, 0), "")</f>
        <v/>
      </c>
      <c r="R18" s="4" t="str" cm="1">
        <f t="array" ref="R18">IFERROR(VLOOKUP($A18&amp;"-"&amp;R$2, CHOOSE({1,2}, 'S18 Operations'!$B$2:$B$534&amp;"-"&amp;'S18 Operations'!$D$2:$D$534, 'S18 Operations'!$C$2:$C$534), 2, 0), "")</f>
        <v/>
      </c>
      <c r="S18" s="4" t="str" cm="1">
        <f t="array" ref="S18">IFERROR(VLOOKUP($A18&amp;"-"&amp;S$2, CHOOSE({1,2}, 'S18 Operations'!$B$2:$B$534&amp;"-"&amp;'S18 Operations'!$D$2:$D$534, 'S18 Operations'!$C$2:$C$534), 2, 0), "")</f>
        <v/>
      </c>
      <c r="T18" s="4" cm="1">
        <f t="array" ref="T18">IFERROR(VLOOKUP($A18&amp;"-"&amp;T$2, CHOOSE({1,2}, 'S18 Operations'!$B$2:$B$534&amp;"-"&amp;'S18 Operations'!$D$2:$D$534, 'S18 Operations'!$C$2:$C$534), 2, 0), "")</f>
        <v>60</v>
      </c>
      <c r="U18" s="4" t="str" cm="1">
        <f t="array" ref="U18">IFERROR(VLOOKUP($A18&amp;"-"&amp;U$2, CHOOSE({1,2}, 'S18 Operations'!$B$2:$B$534&amp;"-"&amp;'S18 Operations'!$D$2:$D$534, 'S18 Operations'!$C$2:$C$534), 2, 0), "")</f>
        <v/>
      </c>
      <c r="V18" s="4" t="str" cm="1">
        <f t="array" ref="V18">IFERROR(VLOOKUP($A18&amp;"-"&amp;V$2, CHOOSE({1,2}, 'S18 Operations'!$B$2:$B$534&amp;"-"&amp;'S18 Operations'!$D$2:$D$534, 'S18 Operations'!$C$2:$C$534), 2, 0), "")</f>
        <v/>
      </c>
      <c r="W18" s="4" cm="1">
        <f t="array" ref="W18">IFERROR(VLOOKUP($A18&amp;"-"&amp;W$2, CHOOSE({1,2}, 'S18 Operations'!$B$2:$B$534&amp;"-"&amp;'S18 Operations'!$D$2:$D$534, 'S18 Operations'!$C$2:$C$534), 2, 0), "")</f>
        <v>70</v>
      </c>
      <c r="X18" s="4" t="str" cm="1">
        <f t="array" ref="X18">IFERROR(VLOOKUP($A18&amp;"-"&amp;X$2, CHOOSE({1,2}, 'S18 Operations'!$B$2:$B$534&amp;"-"&amp;'S18 Operations'!$D$2:$D$534, 'S18 Operations'!$C$2:$C$534), 2, 0), "")</f>
        <v/>
      </c>
      <c r="Y18" s="4" t="str" cm="1">
        <f t="array" ref="Y18">IFERROR(VLOOKUP($A18&amp;"-"&amp;Y$2, CHOOSE({1,2}, 'S18 Operations'!$B$2:$B$534&amp;"-"&amp;'S18 Operations'!$D$2:$D$534, 'S18 Operations'!$C$2:$C$534), 2, 0), "")</f>
        <v/>
      </c>
      <c r="Z18" s="4" cm="1">
        <f t="array" ref="Z18">IFERROR(VLOOKUP($A18&amp;"-"&amp;Z$2, CHOOSE({1,2}, 'S18 Operations'!$B$2:$B$534&amp;"-"&amp;'S18 Operations'!$D$2:$D$534, 'S18 Operations'!$C$2:$C$534), 2, 0), "")</f>
        <v>80</v>
      </c>
      <c r="AA18" s="4" cm="1">
        <f t="array" ref="AA18">IFERROR(VLOOKUP($A18&amp;"-"&amp;AA$2, CHOOSE({1,2}, 'S18 Operations'!$B$2:$B$534&amp;"-"&amp;'S18 Operations'!$D$2:$D$534, 'S18 Operations'!$C$2:$C$534), 2, 0), "")</f>
        <v>90</v>
      </c>
    </row>
    <row r="19" spans="1:27" ht="16" thickBot="1"/>
    <row r="20" spans="1:27" ht="16" thickBot="1">
      <c r="A20" s="296" t="s">
        <v>1126</v>
      </c>
      <c r="B20" s="285" t="s">
        <v>1119</v>
      </c>
      <c r="C20" s="550" t="s">
        <v>1120</v>
      </c>
      <c r="D20" s="551"/>
      <c r="E20" s="552"/>
      <c r="F20" s="547" t="s">
        <v>1121</v>
      </c>
      <c r="G20" s="548"/>
      <c r="H20" s="549"/>
      <c r="I20" s="550" t="s">
        <v>1122</v>
      </c>
      <c r="J20" s="551"/>
      <c r="K20" s="551"/>
      <c r="L20" s="551"/>
      <c r="M20" s="551"/>
      <c r="N20" s="551"/>
      <c r="O20" s="551"/>
      <c r="P20" s="552"/>
      <c r="Q20" s="547" t="s">
        <v>1123</v>
      </c>
      <c r="R20" s="548"/>
      <c r="S20" s="548"/>
      <c r="T20" s="549"/>
      <c r="U20" s="550" t="s">
        <v>1124</v>
      </c>
      <c r="V20" s="552"/>
      <c r="W20" s="547" t="s">
        <v>1120</v>
      </c>
      <c r="X20" s="548"/>
      <c r="Y20" s="549"/>
      <c r="Z20" s="286" t="s">
        <v>1125</v>
      </c>
      <c r="AA20" s="285" t="s">
        <v>1119</v>
      </c>
    </row>
    <row r="21" spans="1:27" ht="16" thickBot="1">
      <c r="A21" s="297" t="s">
        <v>505</v>
      </c>
      <c r="B21" s="298" t="s">
        <v>1112</v>
      </c>
      <c r="C21" s="299" t="s">
        <v>1100</v>
      </c>
      <c r="D21" s="300" t="s">
        <v>1103</v>
      </c>
      <c r="E21" s="301" t="s">
        <v>1107</v>
      </c>
      <c r="F21" s="302" t="s">
        <v>1036</v>
      </c>
      <c r="G21" s="303" t="s">
        <v>1040</v>
      </c>
      <c r="H21" s="304" t="s">
        <v>1046</v>
      </c>
      <c r="I21" s="299" t="s">
        <v>1038</v>
      </c>
      <c r="J21" s="300" t="s">
        <v>1042</v>
      </c>
      <c r="K21" s="300" t="s">
        <v>1048</v>
      </c>
      <c r="L21" s="300" t="s">
        <v>1067</v>
      </c>
      <c r="M21" s="300" t="s">
        <v>1071</v>
      </c>
      <c r="N21" s="300" t="s">
        <v>1072</v>
      </c>
      <c r="O21" s="300" t="s">
        <v>1076</v>
      </c>
      <c r="P21" s="301" t="s">
        <v>1078</v>
      </c>
      <c r="Q21" s="302" t="s">
        <v>1080</v>
      </c>
      <c r="R21" s="303" t="s">
        <v>1082</v>
      </c>
      <c r="S21" s="303" t="s">
        <v>1085</v>
      </c>
      <c r="T21" s="304" t="s">
        <v>1091</v>
      </c>
      <c r="U21" s="299" t="s">
        <v>1083</v>
      </c>
      <c r="V21" s="301" t="s">
        <v>1087</v>
      </c>
      <c r="W21" s="302" t="s">
        <v>1093</v>
      </c>
      <c r="X21" s="303" t="s">
        <v>1094</v>
      </c>
      <c r="Y21" s="304" t="s">
        <v>1096</v>
      </c>
      <c r="Z21" s="305" t="s">
        <v>1111</v>
      </c>
      <c r="AA21" s="298" t="s">
        <v>1113</v>
      </c>
    </row>
    <row r="22" spans="1:27">
      <c r="A22" s="306" t="str">
        <f>'S14 ABC Output'!A3</f>
        <v>I-010</v>
      </c>
      <c r="B22" s="307" cm="1">
        <f t="array" ref="B22">IFERROR(VLOOKUP($A22&amp;"-"&amp;B$21, CHOOSE({1,2}, 'S18 Operations'!$B$2:$B$534&amp;"-"&amp;'S18 Operations'!$D$2:$D$534, 'S18 Operations'!$C$2:$C$534), 2, 0), "")</f>
        <v>10</v>
      </c>
      <c r="C22" s="307" t="str" cm="1">
        <f t="array" ref="C22">IFERROR(VLOOKUP($A22&amp;"-"&amp;C$21, CHOOSE({1,2}, 'S18 Operations'!$B$2:$B$534&amp;"-"&amp;'S18 Operations'!$D$2:$D$534, 'S18 Operations'!$C$2:$C$534), 2, 0), "")</f>
        <v/>
      </c>
      <c r="D22" s="307" t="str" cm="1">
        <f t="array" ref="D22">IFERROR(VLOOKUP($A22&amp;"-"&amp;D$21, CHOOSE({1,2}, 'S18 Operations'!$B$2:$B$534&amp;"-"&amp;'S18 Operations'!$D$2:$D$534, 'S18 Operations'!$C$2:$C$534), 2, 0), "")</f>
        <v/>
      </c>
      <c r="E22" s="307" cm="1">
        <f t="array" ref="E22">IFERROR(VLOOKUP($A22&amp;"-"&amp;E$21, CHOOSE({1,2}, 'S18 Operations'!$B$2:$B$534&amp;"-"&amp;'S18 Operations'!$D$2:$D$534, 'S18 Operations'!$C$2:$C$534), 2, 0), "")</f>
        <v>20</v>
      </c>
      <c r="F22" s="307" cm="1">
        <f t="array" ref="F22">IFERROR(VLOOKUP($A22&amp;"-"&amp;F$21, CHOOSE({1,2}, 'S18 Operations'!$B$2:$B$534&amp;"-"&amp;'S18 Operations'!$D$2:$D$534, 'S18 Operations'!$C$2:$C$534), 2, 0), "")</f>
        <v>30</v>
      </c>
      <c r="G22" s="307" t="str" cm="1">
        <f t="array" ref="G22">IFERROR(VLOOKUP($A22&amp;"-"&amp;G$21, CHOOSE({1,2}, 'S18 Operations'!$B$2:$B$534&amp;"-"&amp;'S18 Operations'!$D$2:$D$534, 'S18 Operations'!$C$2:$C$534), 2, 0), "")</f>
        <v/>
      </c>
      <c r="H22" s="307" t="str" cm="1">
        <f t="array" ref="H22">IFERROR(VLOOKUP($A22&amp;"-"&amp;H$21, CHOOSE({1,2}, 'S18 Operations'!$B$2:$B$534&amp;"-"&amp;'S18 Operations'!$D$2:$D$534, 'S18 Operations'!$C$2:$C$534), 2, 0), "")</f>
        <v/>
      </c>
      <c r="I22" s="307" t="str" cm="1">
        <f t="array" ref="I22">IFERROR(VLOOKUP($A22&amp;"-"&amp;I$21, CHOOSE({1,2}, 'S18 Operations'!$B$2:$B$534&amp;"-"&amp;'S18 Operations'!$D$2:$D$534, 'S18 Operations'!$C$2:$C$534), 2, 0), "")</f>
        <v/>
      </c>
      <c r="J22" s="307" t="str" cm="1">
        <f t="array" ref="J22">IFERROR(VLOOKUP($A22&amp;"-"&amp;J$21, CHOOSE({1,2}, 'S18 Operations'!$B$2:$B$534&amp;"-"&amp;'S18 Operations'!$D$2:$D$534, 'S18 Operations'!$C$2:$C$534), 2, 0), "")</f>
        <v/>
      </c>
      <c r="K22" s="307" t="str" cm="1">
        <f t="array" ref="K22">IFERROR(VLOOKUP($A22&amp;"-"&amp;K$21, CHOOSE({1,2}, 'S18 Operations'!$B$2:$B$534&amp;"-"&amp;'S18 Operations'!$D$2:$D$534, 'S18 Operations'!$C$2:$C$534), 2, 0), "")</f>
        <v/>
      </c>
      <c r="L22" s="307" cm="1">
        <f t="array" ref="L22">IFERROR(VLOOKUP($A22&amp;"-"&amp;L$21, CHOOSE({1,2}, 'S18 Operations'!$B$2:$B$534&amp;"-"&amp;'S18 Operations'!$D$2:$D$534, 'S18 Operations'!$C$2:$C$534), 2, 0), "")</f>
        <v>40</v>
      </c>
      <c r="M22" s="307" t="str" cm="1">
        <f t="array" ref="M22">IFERROR(VLOOKUP($A22&amp;"-"&amp;M$21, CHOOSE({1,2}, 'S18 Operations'!$B$2:$B$534&amp;"-"&amp;'S18 Operations'!$D$2:$D$534, 'S18 Operations'!$C$2:$C$534), 2, 0), "")</f>
        <v/>
      </c>
      <c r="N22" s="307" t="str" cm="1">
        <f t="array" ref="N22">IFERROR(VLOOKUP($A22&amp;"-"&amp;N$21, CHOOSE({1,2}, 'S18 Operations'!$B$2:$B$534&amp;"-"&amp;'S18 Operations'!$D$2:$D$534, 'S18 Operations'!$C$2:$C$534), 2, 0), "")</f>
        <v/>
      </c>
      <c r="O22" s="307" t="str" cm="1">
        <f t="array" ref="O22">IFERROR(VLOOKUP($A22&amp;"-"&amp;O$21, CHOOSE({1,2}, 'S18 Operations'!$B$2:$B$534&amp;"-"&amp;'S18 Operations'!$D$2:$D$534, 'S18 Operations'!$C$2:$C$534), 2, 0), "")</f>
        <v/>
      </c>
      <c r="P22" s="307" cm="1">
        <f t="array" ref="P22">IFERROR(VLOOKUP($A22&amp;"-"&amp;P$21, CHOOSE({1,2}, 'S18 Operations'!$B$2:$B$534&amp;"-"&amp;'S18 Operations'!$D$2:$D$534, 'S18 Operations'!$C$2:$C$534), 2, 0), "")</f>
        <v>50</v>
      </c>
      <c r="Q22" s="307" t="str" cm="1">
        <f t="array" ref="Q22">IFERROR(VLOOKUP($A22&amp;"-"&amp;Q$21, CHOOSE({1,2}, 'S18 Operations'!$B$2:$B$534&amp;"-"&amp;'S18 Operations'!$D$2:$D$534, 'S18 Operations'!$C$2:$C$534), 2, 0), "")</f>
        <v/>
      </c>
      <c r="R22" s="307" t="str" cm="1">
        <f t="array" ref="R22">IFERROR(VLOOKUP($A22&amp;"-"&amp;R$21, CHOOSE({1,2}, 'S18 Operations'!$B$2:$B$534&amp;"-"&amp;'S18 Operations'!$D$2:$D$534, 'S18 Operations'!$C$2:$C$534), 2, 0), "")</f>
        <v/>
      </c>
      <c r="S22" s="307" t="str" cm="1">
        <f t="array" ref="S22">IFERROR(VLOOKUP($A22&amp;"-"&amp;S$21, CHOOSE({1,2}, 'S18 Operations'!$B$2:$B$534&amp;"-"&amp;'S18 Operations'!$D$2:$D$534, 'S18 Operations'!$C$2:$C$534), 2, 0), "")</f>
        <v/>
      </c>
      <c r="T22" s="307" t="str" cm="1">
        <f t="array" ref="T22">IFERROR(VLOOKUP($A22&amp;"-"&amp;T$21, CHOOSE({1,2}, 'S18 Operations'!$B$2:$B$534&amp;"-"&amp;'S18 Operations'!$D$2:$D$534, 'S18 Operations'!$C$2:$C$534), 2, 0), "")</f>
        <v/>
      </c>
      <c r="U22" s="307" t="str" cm="1">
        <f t="array" ref="U22">IFERROR(VLOOKUP($A22&amp;"-"&amp;U$21, CHOOSE({1,2}, 'S18 Operations'!$B$2:$B$534&amp;"-"&amp;'S18 Operations'!$D$2:$D$534, 'S18 Operations'!$C$2:$C$534), 2, 0), "")</f>
        <v/>
      </c>
      <c r="V22" s="307" cm="1">
        <f t="array" ref="V22">IFERROR(VLOOKUP($A22&amp;"-"&amp;V$21, CHOOSE({1,2}, 'S18 Operations'!$B$2:$B$534&amp;"-"&amp;'S18 Operations'!$D$2:$D$534, 'S18 Operations'!$C$2:$C$534), 2, 0), "")</f>
        <v>60</v>
      </c>
      <c r="W22" s="307" t="str" cm="1">
        <f t="array" ref="W22">IFERROR(VLOOKUP($A22&amp;"-"&amp;W$21, CHOOSE({1,2}, 'S18 Operations'!$B$2:$B$534&amp;"-"&amp;'S18 Operations'!$D$2:$D$534, 'S18 Operations'!$C$2:$C$534), 2, 0), "")</f>
        <v/>
      </c>
      <c r="X22" s="307" cm="1">
        <f t="array" ref="X22">IFERROR(VLOOKUP($A22&amp;"-"&amp;X$21, CHOOSE({1,2}, 'S18 Operations'!$B$2:$B$534&amp;"-"&amp;'S18 Operations'!$D$2:$D$534, 'S18 Operations'!$C$2:$C$534), 2, 0), "")</f>
        <v>70</v>
      </c>
      <c r="Y22" s="307" t="str" cm="1">
        <f t="array" ref="Y22">IFERROR(VLOOKUP($A22&amp;"-"&amp;Y$21, CHOOSE({1,2}, 'S18 Operations'!$B$2:$B$534&amp;"-"&amp;'S18 Operations'!$D$2:$D$534, 'S18 Operations'!$C$2:$C$534), 2, 0), "")</f>
        <v/>
      </c>
      <c r="Z22" s="307" t="str" cm="1">
        <f t="array" ref="Z22">IFERROR(VLOOKUP($A22&amp;"-"&amp;Z$21, CHOOSE({1,2}, 'S18 Operations'!$B$2:$B$534&amp;"-"&amp;'S18 Operations'!$D$2:$D$534, 'S18 Operations'!$C$2:$C$534), 2, 0), "")</f>
        <v/>
      </c>
      <c r="AA22" s="307" cm="1">
        <f t="array" ref="AA22">IFERROR(VLOOKUP($A22&amp;"-"&amp;AA$21, CHOOSE({1,2}, 'S18 Operations'!$B$2:$B$534&amp;"-"&amp;'S18 Operations'!$D$2:$D$534, 'S18 Operations'!$C$2:$C$534), 2, 0), "")</f>
        <v>80</v>
      </c>
    </row>
    <row r="23" spans="1:27">
      <c r="A23" s="306" t="str">
        <f>'S14 ABC Output'!A4</f>
        <v>I-004</v>
      </c>
      <c r="B23" s="307" cm="1">
        <f t="array" ref="B23">IFERROR(VLOOKUP($A23&amp;"-"&amp;B$21, CHOOSE({1,2}, 'S18 Operations'!$B$2:$B$534&amp;"-"&amp;'S18 Operations'!$D$2:$D$534, 'S18 Operations'!$C$2:$C$534), 2, 0), "")</f>
        <v>10</v>
      </c>
      <c r="C23" s="307" cm="1">
        <f t="array" ref="C23">IFERROR(VLOOKUP($A23&amp;"-"&amp;C$21, CHOOSE({1,2}, 'S18 Operations'!$B$2:$B$534&amp;"-"&amp;'S18 Operations'!$D$2:$D$534, 'S18 Operations'!$C$2:$C$534), 2, 0), "")</f>
        <v>20</v>
      </c>
      <c r="D23" s="307" t="str" cm="1">
        <f t="array" ref="D23">IFERROR(VLOOKUP($A23&amp;"-"&amp;D$21, CHOOSE({1,2}, 'S18 Operations'!$B$2:$B$534&amp;"-"&amp;'S18 Operations'!$D$2:$D$534, 'S18 Operations'!$C$2:$C$534), 2, 0), "")</f>
        <v/>
      </c>
      <c r="E23" s="307" t="str" cm="1">
        <f t="array" ref="E23">IFERROR(VLOOKUP($A23&amp;"-"&amp;E$21, CHOOSE({1,2}, 'S18 Operations'!$B$2:$B$534&amp;"-"&amp;'S18 Operations'!$D$2:$D$534, 'S18 Operations'!$C$2:$C$534), 2, 0), "")</f>
        <v/>
      </c>
      <c r="F23" s="307" t="str" cm="1">
        <f t="array" ref="F23">IFERROR(VLOOKUP($A23&amp;"-"&amp;F$21, CHOOSE({1,2}, 'S18 Operations'!$B$2:$B$534&amp;"-"&amp;'S18 Operations'!$D$2:$D$534, 'S18 Operations'!$C$2:$C$534), 2, 0), "")</f>
        <v/>
      </c>
      <c r="G23" s="307" t="str" cm="1">
        <f t="array" ref="G23">IFERROR(VLOOKUP($A23&amp;"-"&amp;G$21, CHOOSE({1,2}, 'S18 Operations'!$B$2:$B$534&amp;"-"&amp;'S18 Operations'!$D$2:$D$534, 'S18 Operations'!$C$2:$C$534), 2, 0), "")</f>
        <v/>
      </c>
      <c r="H23" s="307" t="str" cm="1">
        <f t="array" ref="H23">IFERROR(VLOOKUP($A23&amp;"-"&amp;H$21, CHOOSE({1,2}, 'S18 Operations'!$B$2:$B$534&amp;"-"&amp;'S18 Operations'!$D$2:$D$534, 'S18 Operations'!$C$2:$C$534), 2, 0), "")</f>
        <v/>
      </c>
      <c r="I23" s="307" t="str" cm="1">
        <f t="array" ref="I23">IFERROR(VLOOKUP($A23&amp;"-"&amp;I$21, CHOOSE({1,2}, 'S18 Operations'!$B$2:$B$534&amp;"-"&amp;'S18 Operations'!$D$2:$D$534, 'S18 Operations'!$C$2:$C$534), 2, 0), "")</f>
        <v/>
      </c>
      <c r="J23" s="307" cm="1">
        <f t="array" ref="J23">IFERROR(VLOOKUP($A23&amp;"-"&amp;J$21, CHOOSE({1,2}, 'S18 Operations'!$B$2:$B$534&amp;"-"&amp;'S18 Operations'!$D$2:$D$534, 'S18 Operations'!$C$2:$C$534), 2, 0), "")</f>
        <v>30</v>
      </c>
      <c r="K23" s="307" t="str" cm="1">
        <f t="array" ref="K23">IFERROR(VLOOKUP($A23&amp;"-"&amp;K$21, CHOOSE({1,2}, 'S18 Operations'!$B$2:$B$534&amp;"-"&amp;'S18 Operations'!$D$2:$D$534, 'S18 Operations'!$C$2:$C$534), 2, 0), "")</f>
        <v/>
      </c>
      <c r="L23" s="307" t="str" cm="1">
        <f t="array" ref="L23">IFERROR(VLOOKUP($A23&amp;"-"&amp;L$21, CHOOSE({1,2}, 'S18 Operations'!$B$2:$B$534&amp;"-"&amp;'S18 Operations'!$D$2:$D$534, 'S18 Operations'!$C$2:$C$534), 2, 0), "")</f>
        <v/>
      </c>
      <c r="M23" s="307" t="str" cm="1">
        <f t="array" ref="M23">IFERROR(VLOOKUP($A23&amp;"-"&amp;M$21, CHOOSE({1,2}, 'S18 Operations'!$B$2:$B$534&amp;"-"&amp;'S18 Operations'!$D$2:$D$534, 'S18 Operations'!$C$2:$C$534), 2, 0), "")</f>
        <v/>
      </c>
      <c r="N23" s="307" t="str" cm="1">
        <f t="array" ref="N23">IFERROR(VLOOKUP($A23&amp;"-"&amp;N$21, CHOOSE({1,2}, 'S18 Operations'!$B$2:$B$534&amp;"-"&amp;'S18 Operations'!$D$2:$D$534, 'S18 Operations'!$C$2:$C$534), 2, 0), "")</f>
        <v/>
      </c>
      <c r="O23" s="307" t="str" cm="1">
        <f t="array" ref="O23">IFERROR(VLOOKUP($A23&amp;"-"&amp;O$21, CHOOSE({1,2}, 'S18 Operations'!$B$2:$B$534&amp;"-"&amp;'S18 Operations'!$D$2:$D$534, 'S18 Operations'!$C$2:$C$534), 2, 0), "")</f>
        <v/>
      </c>
      <c r="P23" s="307" t="str" cm="1">
        <f t="array" ref="P23">IFERROR(VLOOKUP($A23&amp;"-"&amp;P$21, CHOOSE({1,2}, 'S18 Operations'!$B$2:$B$534&amp;"-"&amp;'S18 Operations'!$D$2:$D$534, 'S18 Operations'!$C$2:$C$534), 2, 0), "")</f>
        <v/>
      </c>
      <c r="Q23" s="307" cm="1">
        <f t="array" ref="Q23">IFERROR(VLOOKUP($A23&amp;"-"&amp;Q$21, CHOOSE({1,2}, 'S18 Operations'!$B$2:$B$534&amp;"-"&amp;'S18 Operations'!$D$2:$D$534, 'S18 Operations'!$C$2:$C$534), 2, 0), "")</f>
        <v>40</v>
      </c>
      <c r="R23" s="307" t="str" cm="1">
        <f t="array" ref="R23">IFERROR(VLOOKUP($A23&amp;"-"&amp;R$21, CHOOSE({1,2}, 'S18 Operations'!$B$2:$B$534&amp;"-"&amp;'S18 Operations'!$D$2:$D$534, 'S18 Operations'!$C$2:$C$534), 2, 0), "")</f>
        <v/>
      </c>
      <c r="S23" s="307" t="str" cm="1">
        <f t="array" ref="S23">IFERROR(VLOOKUP($A23&amp;"-"&amp;S$21, CHOOSE({1,2}, 'S18 Operations'!$B$2:$B$534&amp;"-"&amp;'S18 Operations'!$D$2:$D$534, 'S18 Operations'!$C$2:$C$534), 2, 0), "")</f>
        <v/>
      </c>
      <c r="T23" s="307" t="str" cm="1">
        <f t="array" ref="T23">IFERROR(VLOOKUP($A23&amp;"-"&amp;T$21, CHOOSE({1,2}, 'S18 Operations'!$B$2:$B$534&amp;"-"&amp;'S18 Operations'!$D$2:$D$534, 'S18 Operations'!$C$2:$C$534), 2, 0), "")</f>
        <v/>
      </c>
      <c r="U23" s="307" t="str" cm="1">
        <f t="array" ref="U23">IFERROR(VLOOKUP($A23&amp;"-"&amp;U$21, CHOOSE({1,2}, 'S18 Operations'!$B$2:$B$534&amp;"-"&amp;'S18 Operations'!$D$2:$D$534, 'S18 Operations'!$C$2:$C$534), 2, 0), "")</f>
        <v/>
      </c>
      <c r="V23" s="307" t="str" cm="1">
        <f t="array" ref="V23">IFERROR(VLOOKUP($A23&amp;"-"&amp;V$21, CHOOSE({1,2}, 'S18 Operations'!$B$2:$B$534&amp;"-"&amp;'S18 Operations'!$D$2:$D$534, 'S18 Operations'!$C$2:$C$534), 2, 0), "")</f>
        <v/>
      </c>
      <c r="W23" s="307" t="str" cm="1">
        <f t="array" ref="W23">IFERROR(VLOOKUP($A23&amp;"-"&amp;W$21, CHOOSE({1,2}, 'S18 Operations'!$B$2:$B$534&amp;"-"&amp;'S18 Operations'!$D$2:$D$534, 'S18 Operations'!$C$2:$C$534), 2, 0), "")</f>
        <v/>
      </c>
      <c r="X23" s="307" t="str" cm="1">
        <f t="array" ref="X23">IFERROR(VLOOKUP($A23&amp;"-"&amp;X$21, CHOOSE({1,2}, 'S18 Operations'!$B$2:$B$534&amp;"-"&amp;'S18 Operations'!$D$2:$D$534, 'S18 Operations'!$C$2:$C$534), 2, 0), "")</f>
        <v/>
      </c>
      <c r="Y23" s="307" cm="1">
        <f t="array" ref="Y23">IFERROR(VLOOKUP($A23&amp;"-"&amp;Y$21, CHOOSE({1,2}, 'S18 Operations'!$B$2:$B$534&amp;"-"&amp;'S18 Operations'!$D$2:$D$534, 'S18 Operations'!$C$2:$C$534), 2, 0), "")</f>
        <v>50</v>
      </c>
      <c r="Z23" s="307" t="str" cm="1">
        <f t="array" ref="Z23">IFERROR(VLOOKUP($A23&amp;"-"&amp;Z$21, CHOOSE({1,2}, 'S18 Operations'!$B$2:$B$534&amp;"-"&amp;'S18 Operations'!$D$2:$D$534, 'S18 Operations'!$C$2:$C$534), 2, 0), "")</f>
        <v/>
      </c>
      <c r="AA23" s="307" cm="1">
        <f t="array" ref="AA23">IFERROR(VLOOKUP($A23&amp;"-"&amp;AA$21, CHOOSE({1,2}, 'S18 Operations'!$B$2:$B$534&amp;"-"&amp;'S18 Operations'!$D$2:$D$534, 'S18 Operations'!$C$2:$C$534), 2, 0), "")</f>
        <v>60</v>
      </c>
    </row>
    <row r="24" spans="1:27">
      <c r="A24" s="306" t="str">
        <f>'S14 ABC Output'!A5</f>
        <v>I-037</v>
      </c>
      <c r="B24" s="307" cm="1">
        <f t="array" ref="B24">IFERROR(VLOOKUP($A24&amp;"-"&amp;B$21, CHOOSE({1,2}, 'S18 Operations'!$B$2:$B$534&amp;"-"&amp;'S18 Operations'!$D$2:$D$534, 'S18 Operations'!$C$2:$C$534), 2, 0), "")</f>
        <v>10</v>
      </c>
      <c r="C24" s="307" t="str" cm="1">
        <f t="array" ref="C24">IFERROR(VLOOKUP($A24&amp;"-"&amp;C$21, CHOOSE({1,2}, 'S18 Operations'!$B$2:$B$534&amp;"-"&amp;'S18 Operations'!$D$2:$D$534, 'S18 Operations'!$C$2:$C$534), 2, 0), "")</f>
        <v/>
      </c>
      <c r="D24" s="307" cm="1">
        <f t="array" ref="D24">IFERROR(VLOOKUP($A24&amp;"-"&amp;D$21, CHOOSE({1,2}, 'S18 Operations'!$B$2:$B$534&amp;"-"&amp;'S18 Operations'!$D$2:$D$534, 'S18 Operations'!$C$2:$C$534), 2, 0), "")</f>
        <v>20</v>
      </c>
      <c r="E24" s="307" t="str" cm="1">
        <f t="array" ref="E24">IFERROR(VLOOKUP($A24&amp;"-"&amp;E$21, CHOOSE({1,2}, 'S18 Operations'!$B$2:$B$534&amp;"-"&amp;'S18 Operations'!$D$2:$D$534, 'S18 Operations'!$C$2:$C$534), 2, 0), "")</f>
        <v/>
      </c>
      <c r="F24" s="307" t="str" cm="1">
        <f t="array" ref="F24">IFERROR(VLOOKUP($A24&amp;"-"&amp;F$21, CHOOSE({1,2}, 'S18 Operations'!$B$2:$B$534&amp;"-"&amp;'S18 Operations'!$D$2:$D$534, 'S18 Operations'!$C$2:$C$534), 2, 0), "")</f>
        <v/>
      </c>
      <c r="G24" s="307" t="str" cm="1">
        <f t="array" ref="G24">IFERROR(VLOOKUP($A24&amp;"-"&amp;G$21, CHOOSE({1,2}, 'S18 Operations'!$B$2:$B$534&amp;"-"&amp;'S18 Operations'!$D$2:$D$534, 'S18 Operations'!$C$2:$C$534), 2, 0), "")</f>
        <v/>
      </c>
      <c r="H24" s="307" cm="1">
        <f t="array" ref="H24">IFERROR(VLOOKUP($A24&amp;"-"&amp;H$21, CHOOSE({1,2}, 'S18 Operations'!$B$2:$B$534&amp;"-"&amp;'S18 Operations'!$D$2:$D$534, 'S18 Operations'!$C$2:$C$534), 2, 0), "")</f>
        <v>30</v>
      </c>
      <c r="I24" s="307" t="str" cm="1">
        <f t="array" ref="I24">IFERROR(VLOOKUP($A24&amp;"-"&amp;I$21, CHOOSE({1,2}, 'S18 Operations'!$B$2:$B$534&amp;"-"&amp;'S18 Operations'!$D$2:$D$534, 'S18 Operations'!$C$2:$C$534), 2, 0), "")</f>
        <v/>
      </c>
      <c r="J24" s="307" t="str" cm="1">
        <f t="array" ref="J24">IFERROR(VLOOKUP($A24&amp;"-"&amp;J$21, CHOOSE({1,2}, 'S18 Operations'!$B$2:$B$534&amp;"-"&amp;'S18 Operations'!$D$2:$D$534, 'S18 Operations'!$C$2:$C$534), 2, 0), "")</f>
        <v/>
      </c>
      <c r="K24" s="307" t="str" cm="1">
        <f t="array" ref="K24">IFERROR(VLOOKUP($A24&amp;"-"&amp;K$21, CHOOSE({1,2}, 'S18 Operations'!$B$2:$B$534&amp;"-"&amp;'S18 Operations'!$D$2:$D$534, 'S18 Operations'!$C$2:$C$534), 2, 0), "")</f>
        <v/>
      </c>
      <c r="L24" s="307" t="str" cm="1">
        <f t="array" ref="L24">IFERROR(VLOOKUP($A24&amp;"-"&amp;L$21, CHOOSE({1,2}, 'S18 Operations'!$B$2:$B$534&amp;"-"&amp;'S18 Operations'!$D$2:$D$534, 'S18 Operations'!$C$2:$C$534), 2, 0), "")</f>
        <v/>
      </c>
      <c r="M24" s="307" t="str" cm="1">
        <f t="array" ref="M24">IFERROR(VLOOKUP($A24&amp;"-"&amp;M$21, CHOOSE({1,2}, 'S18 Operations'!$B$2:$B$534&amp;"-"&amp;'S18 Operations'!$D$2:$D$534, 'S18 Operations'!$C$2:$C$534), 2, 0), "")</f>
        <v/>
      </c>
      <c r="N24" s="307" cm="1">
        <f t="array" ref="N24">IFERROR(VLOOKUP($A24&amp;"-"&amp;N$21, CHOOSE({1,2}, 'S18 Operations'!$B$2:$B$534&amp;"-"&amp;'S18 Operations'!$D$2:$D$534, 'S18 Operations'!$C$2:$C$534), 2, 0), "")</f>
        <v>40</v>
      </c>
      <c r="O24" s="307" t="str" cm="1">
        <f t="array" ref="O24">IFERROR(VLOOKUP($A24&amp;"-"&amp;O$21, CHOOSE({1,2}, 'S18 Operations'!$B$2:$B$534&amp;"-"&amp;'S18 Operations'!$D$2:$D$534, 'S18 Operations'!$C$2:$C$534), 2, 0), "")</f>
        <v/>
      </c>
      <c r="P24" s="307" t="str" cm="1">
        <f t="array" ref="P24">IFERROR(VLOOKUP($A24&amp;"-"&amp;P$21, CHOOSE({1,2}, 'S18 Operations'!$B$2:$B$534&amp;"-"&amp;'S18 Operations'!$D$2:$D$534, 'S18 Operations'!$C$2:$C$534), 2, 0), "")</f>
        <v/>
      </c>
      <c r="Q24" s="307" t="str" cm="1">
        <f t="array" ref="Q24">IFERROR(VLOOKUP($A24&amp;"-"&amp;Q$21, CHOOSE({1,2}, 'S18 Operations'!$B$2:$B$534&amp;"-"&amp;'S18 Operations'!$D$2:$D$534, 'S18 Operations'!$C$2:$C$534), 2, 0), "")</f>
        <v/>
      </c>
      <c r="R24" s="307" t="str" cm="1">
        <f t="array" ref="R24">IFERROR(VLOOKUP($A24&amp;"-"&amp;R$21, CHOOSE({1,2}, 'S18 Operations'!$B$2:$B$534&amp;"-"&amp;'S18 Operations'!$D$2:$D$534, 'S18 Operations'!$C$2:$C$534), 2, 0), "")</f>
        <v/>
      </c>
      <c r="S24" s="307" cm="1">
        <f t="array" ref="S24">IFERROR(VLOOKUP($A24&amp;"-"&amp;S$21, CHOOSE({1,2}, 'S18 Operations'!$B$2:$B$534&amp;"-"&amp;'S18 Operations'!$D$2:$D$534, 'S18 Operations'!$C$2:$C$534), 2, 0), "")</f>
        <v>50</v>
      </c>
      <c r="T24" s="307" t="str" cm="1">
        <f t="array" ref="T24">IFERROR(VLOOKUP($A24&amp;"-"&amp;T$21, CHOOSE({1,2}, 'S18 Operations'!$B$2:$B$534&amp;"-"&amp;'S18 Operations'!$D$2:$D$534, 'S18 Operations'!$C$2:$C$534), 2, 0), "")</f>
        <v/>
      </c>
      <c r="U24" s="307" cm="1">
        <f t="array" ref="U24">IFERROR(VLOOKUP($A24&amp;"-"&amp;U$21, CHOOSE({1,2}, 'S18 Operations'!$B$2:$B$534&amp;"-"&amp;'S18 Operations'!$D$2:$D$534, 'S18 Operations'!$C$2:$C$534), 2, 0), "")</f>
        <v>60</v>
      </c>
      <c r="V24" s="307" t="str" cm="1">
        <f t="array" ref="V24">IFERROR(VLOOKUP($A24&amp;"-"&amp;V$21, CHOOSE({1,2}, 'S18 Operations'!$B$2:$B$534&amp;"-"&amp;'S18 Operations'!$D$2:$D$534, 'S18 Operations'!$C$2:$C$534), 2, 0), "")</f>
        <v/>
      </c>
      <c r="W24" s="307" cm="1">
        <f t="array" ref="W24">IFERROR(VLOOKUP($A24&amp;"-"&amp;W$21, CHOOSE({1,2}, 'S18 Operations'!$B$2:$B$534&amp;"-"&amp;'S18 Operations'!$D$2:$D$534, 'S18 Operations'!$C$2:$C$534), 2, 0), "")</f>
        <v>70</v>
      </c>
      <c r="X24" s="307" t="str" cm="1">
        <f t="array" ref="X24">IFERROR(VLOOKUP($A24&amp;"-"&amp;X$21, CHOOSE({1,2}, 'S18 Operations'!$B$2:$B$534&amp;"-"&amp;'S18 Operations'!$D$2:$D$534, 'S18 Operations'!$C$2:$C$534), 2, 0), "")</f>
        <v/>
      </c>
      <c r="Y24" s="307" t="str" cm="1">
        <f t="array" ref="Y24">IFERROR(VLOOKUP($A24&amp;"-"&amp;Y$21, CHOOSE({1,2}, 'S18 Operations'!$B$2:$B$534&amp;"-"&amp;'S18 Operations'!$D$2:$D$534, 'S18 Operations'!$C$2:$C$534), 2, 0), "")</f>
        <v/>
      </c>
      <c r="Z24" s="307" t="str" cm="1">
        <f t="array" ref="Z24">IFERROR(VLOOKUP($A24&amp;"-"&amp;Z$21, CHOOSE({1,2}, 'S18 Operations'!$B$2:$B$534&amp;"-"&amp;'S18 Operations'!$D$2:$D$534, 'S18 Operations'!$C$2:$C$534), 2, 0), "")</f>
        <v/>
      </c>
      <c r="AA24" s="307" cm="1">
        <f t="array" ref="AA24">IFERROR(VLOOKUP($A24&amp;"-"&amp;AA$21, CHOOSE({1,2}, 'S18 Operations'!$B$2:$B$534&amp;"-"&amp;'S18 Operations'!$D$2:$D$534, 'S18 Operations'!$C$2:$C$534), 2, 0), "")</f>
        <v>80</v>
      </c>
    </row>
    <row r="25" spans="1:27">
      <c r="A25" s="306" t="str">
        <f>'S14 ABC Output'!A6</f>
        <v>I-064</v>
      </c>
      <c r="B25" s="307" cm="1">
        <f t="array" ref="B25">IFERROR(VLOOKUP($A25&amp;"-"&amp;B$21, CHOOSE({1,2}, 'S18 Operations'!$B$2:$B$534&amp;"-"&amp;'S18 Operations'!$D$2:$D$534, 'S18 Operations'!$C$2:$C$534), 2, 0), "")</f>
        <v>10</v>
      </c>
      <c r="C25" s="307" t="str" cm="1">
        <f t="array" ref="C25">IFERROR(VLOOKUP($A25&amp;"-"&amp;C$21, CHOOSE({1,2}, 'S18 Operations'!$B$2:$B$534&amp;"-"&amp;'S18 Operations'!$D$2:$D$534, 'S18 Operations'!$C$2:$C$534), 2, 0), "")</f>
        <v/>
      </c>
      <c r="D25" s="307" t="str" cm="1">
        <f t="array" ref="D25">IFERROR(VLOOKUP($A25&amp;"-"&amp;D$21, CHOOSE({1,2}, 'S18 Operations'!$B$2:$B$534&amp;"-"&amp;'S18 Operations'!$D$2:$D$534, 'S18 Operations'!$C$2:$C$534), 2, 0), "")</f>
        <v/>
      </c>
      <c r="E25" s="307" cm="1">
        <f t="array" ref="E25">IFERROR(VLOOKUP($A25&amp;"-"&amp;E$21, CHOOSE({1,2}, 'S18 Operations'!$B$2:$B$534&amp;"-"&amp;'S18 Operations'!$D$2:$D$534, 'S18 Operations'!$C$2:$C$534), 2, 0), "")</f>
        <v>20</v>
      </c>
      <c r="F25" s="307" t="str" cm="1">
        <f t="array" ref="F25">IFERROR(VLOOKUP($A25&amp;"-"&amp;F$21, CHOOSE({1,2}, 'S18 Operations'!$B$2:$B$534&amp;"-"&amp;'S18 Operations'!$D$2:$D$534, 'S18 Operations'!$C$2:$C$534), 2, 0), "")</f>
        <v/>
      </c>
      <c r="G25" s="307" cm="1">
        <f t="array" ref="G25">IFERROR(VLOOKUP($A25&amp;"-"&amp;G$21, CHOOSE({1,2}, 'S18 Operations'!$B$2:$B$534&amp;"-"&amp;'S18 Operations'!$D$2:$D$534, 'S18 Operations'!$C$2:$C$534), 2, 0), "")</f>
        <v>30</v>
      </c>
      <c r="H25" s="307" t="str" cm="1">
        <f t="array" ref="H25">IFERROR(VLOOKUP($A25&amp;"-"&amp;H$21, CHOOSE({1,2}, 'S18 Operations'!$B$2:$B$534&amp;"-"&amp;'S18 Operations'!$D$2:$D$534, 'S18 Operations'!$C$2:$C$534), 2, 0), "")</f>
        <v/>
      </c>
      <c r="I25" s="307" cm="1">
        <f t="array" ref="I25">IFERROR(VLOOKUP($A25&amp;"-"&amp;I$21, CHOOSE({1,2}, 'S18 Operations'!$B$2:$B$534&amp;"-"&amp;'S18 Operations'!$D$2:$D$534, 'S18 Operations'!$C$2:$C$534), 2, 0), "")</f>
        <v>40</v>
      </c>
      <c r="J25" s="307" t="str" cm="1">
        <f t="array" ref="J25">IFERROR(VLOOKUP($A25&amp;"-"&amp;J$21, CHOOSE({1,2}, 'S18 Operations'!$B$2:$B$534&amp;"-"&amp;'S18 Operations'!$D$2:$D$534, 'S18 Operations'!$C$2:$C$534), 2, 0), "")</f>
        <v/>
      </c>
      <c r="K25" s="307" t="str" cm="1">
        <f t="array" ref="K25">IFERROR(VLOOKUP($A25&amp;"-"&amp;K$21, CHOOSE({1,2}, 'S18 Operations'!$B$2:$B$534&amp;"-"&amp;'S18 Operations'!$D$2:$D$534, 'S18 Operations'!$C$2:$C$534), 2, 0), "")</f>
        <v/>
      </c>
      <c r="L25" s="307" t="str" cm="1">
        <f t="array" ref="L25">IFERROR(VLOOKUP($A25&amp;"-"&amp;L$21, CHOOSE({1,2}, 'S18 Operations'!$B$2:$B$534&amp;"-"&amp;'S18 Operations'!$D$2:$D$534, 'S18 Operations'!$C$2:$C$534), 2, 0), "")</f>
        <v/>
      </c>
      <c r="M25" s="307" t="str" cm="1">
        <f t="array" ref="M25">IFERROR(VLOOKUP($A25&amp;"-"&amp;M$21, CHOOSE({1,2}, 'S18 Operations'!$B$2:$B$534&amp;"-"&amp;'S18 Operations'!$D$2:$D$534, 'S18 Operations'!$C$2:$C$534), 2, 0), "")</f>
        <v/>
      </c>
      <c r="N25" s="307" t="str" cm="1">
        <f t="array" ref="N25">IFERROR(VLOOKUP($A25&amp;"-"&amp;N$21, CHOOSE({1,2}, 'S18 Operations'!$B$2:$B$534&amp;"-"&amp;'S18 Operations'!$D$2:$D$534, 'S18 Operations'!$C$2:$C$534), 2, 0), "")</f>
        <v/>
      </c>
      <c r="O25" s="307" cm="1">
        <f t="array" ref="O25">IFERROR(VLOOKUP($A25&amp;"-"&amp;O$21, CHOOSE({1,2}, 'S18 Operations'!$B$2:$B$534&amp;"-"&amp;'S18 Operations'!$D$2:$D$534, 'S18 Operations'!$C$2:$C$534), 2, 0), "")</f>
        <v>50</v>
      </c>
      <c r="P25" s="307" t="str" cm="1">
        <f t="array" ref="P25">IFERROR(VLOOKUP($A25&amp;"-"&amp;P$21, CHOOSE({1,2}, 'S18 Operations'!$B$2:$B$534&amp;"-"&amp;'S18 Operations'!$D$2:$D$534, 'S18 Operations'!$C$2:$C$534), 2, 0), "")</f>
        <v/>
      </c>
      <c r="Q25" s="307" t="str" cm="1">
        <f t="array" ref="Q25">IFERROR(VLOOKUP($A25&amp;"-"&amp;Q$21, CHOOSE({1,2}, 'S18 Operations'!$B$2:$B$534&amp;"-"&amp;'S18 Operations'!$D$2:$D$534, 'S18 Operations'!$C$2:$C$534), 2, 0), "")</f>
        <v/>
      </c>
      <c r="R25" s="307" t="str" cm="1">
        <f t="array" ref="R25">IFERROR(VLOOKUP($A25&amp;"-"&amp;R$21, CHOOSE({1,2}, 'S18 Operations'!$B$2:$B$534&amp;"-"&amp;'S18 Operations'!$D$2:$D$534, 'S18 Operations'!$C$2:$C$534), 2, 0), "")</f>
        <v/>
      </c>
      <c r="S25" s="307" t="str" cm="1">
        <f t="array" ref="S25">IFERROR(VLOOKUP($A25&amp;"-"&amp;S$21, CHOOSE({1,2}, 'S18 Operations'!$B$2:$B$534&amp;"-"&amp;'S18 Operations'!$D$2:$D$534, 'S18 Operations'!$C$2:$C$534), 2, 0), "")</f>
        <v/>
      </c>
      <c r="T25" s="307" cm="1">
        <f t="array" ref="T25">IFERROR(VLOOKUP($A25&amp;"-"&amp;T$21, CHOOSE({1,2}, 'S18 Operations'!$B$2:$B$534&amp;"-"&amp;'S18 Operations'!$D$2:$D$534, 'S18 Operations'!$C$2:$C$534), 2, 0), "")</f>
        <v>60</v>
      </c>
      <c r="U25" s="307" t="str" cm="1">
        <f t="array" ref="U25">IFERROR(VLOOKUP($A25&amp;"-"&amp;U$21, CHOOSE({1,2}, 'S18 Operations'!$B$2:$B$534&amp;"-"&amp;'S18 Operations'!$D$2:$D$534, 'S18 Operations'!$C$2:$C$534), 2, 0), "")</f>
        <v/>
      </c>
      <c r="V25" s="307" t="str" cm="1">
        <f t="array" ref="V25">IFERROR(VLOOKUP($A25&amp;"-"&amp;V$21, CHOOSE({1,2}, 'S18 Operations'!$B$2:$B$534&amp;"-"&amp;'S18 Operations'!$D$2:$D$534, 'S18 Operations'!$C$2:$C$534), 2, 0), "")</f>
        <v/>
      </c>
      <c r="W25" s="307" cm="1">
        <f t="array" ref="W25">IFERROR(VLOOKUP($A25&amp;"-"&amp;W$21, CHOOSE({1,2}, 'S18 Operations'!$B$2:$B$534&amp;"-"&amp;'S18 Operations'!$D$2:$D$534, 'S18 Operations'!$C$2:$C$534), 2, 0), "")</f>
        <v>70</v>
      </c>
      <c r="X25" s="307" t="str" cm="1">
        <f t="array" ref="X25">IFERROR(VLOOKUP($A25&amp;"-"&amp;X$21, CHOOSE({1,2}, 'S18 Operations'!$B$2:$B$534&amp;"-"&amp;'S18 Operations'!$D$2:$D$534, 'S18 Operations'!$C$2:$C$534), 2, 0), "")</f>
        <v/>
      </c>
      <c r="Y25" s="307" t="str" cm="1">
        <f t="array" ref="Y25">IFERROR(VLOOKUP($A25&amp;"-"&amp;Y$21, CHOOSE({1,2}, 'S18 Operations'!$B$2:$B$534&amp;"-"&amp;'S18 Operations'!$D$2:$D$534, 'S18 Operations'!$C$2:$C$534), 2, 0), "")</f>
        <v/>
      </c>
      <c r="Z25" s="307" cm="1">
        <f t="array" ref="Z25">IFERROR(VLOOKUP($A25&amp;"-"&amp;Z$21, CHOOSE({1,2}, 'S18 Operations'!$B$2:$B$534&amp;"-"&amp;'S18 Operations'!$D$2:$D$534, 'S18 Operations'!$C$2:$C$534), 2, 0), "")</f>
        <v>80</v>
      </c>
      <c r="AA25" s="307" cm="1">
        <f t="array" ref="AA25">IFERROR(VLOOKUP($A25&amp;"-"&amp;AA$21, CHOOSE({1,2}, 'S18 Operations'!$B$2:$B$534&amp;"-"&amp;'S18 Operations'!$D$2:$D$534, 'S18 Operations'!$C$2:$C$534), 2, 0), "")</f>
        <v>90</v>
      </c>
    </row>
    <row r="26" spans="1:27">
      <c r="A26" s="306" t="str">
        <f>'S14 ABC Output'!A7</f>
        <v>I-052</v>
      </c>
      <c r="B26" s="307" cm="1">
        <f t="array" ref="B26">IFERROR(VLOOKUP($A26&amp;"-"&amp;B$21, CHOOSE({1,2}, 'S18 Operations'!$B$2:$B$534&amp;"-"&amp;'S18 Operations'!$D$2:$D$534, 'S18 Operations'!$C$2:$C$534), 2, 0), "")</f>
        <v>10</v>
      </c>
      <c r="C26" s="307" t="str" cm="1">
        <f t="array" ref="C26">IFERROR(VLOOKUP($A26&amp;"-"&amp;C$21, CHOOSE({1,2}, 'S18 Operations'!$B$2:$B$534&amp;"-"&amp;'S18 Operations'!$D$2:$D$534, 'S18 Operations'!$C$2:$C$534), 2, 0), "")</f>
        <v/>
      </c>
      <c r="D26" s="307" t="str" cm="1">
        <f t="array" ref="D26">IFERROR(VLOOKUP($A26&amp;"-"&amp;D$21, CHOOSE({1,2}, 'S18 Operations'!$B$2:$B$534&amp;"-"&amp;'S18 Operations'!$D$2:$D$534, 'S18 Operations'!$C$2:$C$534), 2, 0), "")</f>
        <v/>
      </c>
      <c r="E26" s="307" cm="1">
        <f t="array" ref="E26">IFERROR(VLOOKUP($A26&amp;"-"&amp;E$21, CHOOSE({1,2}, 'S18 Operations'!$B$2:$B$534&amp;"-"&amp;'S18 Operations'!$D$2:$D$534, 'S18 Operations'!$C$2:$C$534), 2, 0), "")</f>
        <v>20</v>
      </c>
      <c r="F26" s="307" t="str" cm="1">
        <f t="array" ref="F26">IFERROR(VLOOKUP($A26&amp;"-"&amp;F$21, CHOOSE({1,2}, 'S18 Operations'!$B$2:$B$534&amp;"-"&amp;'S18 Operations'!$D$2:$D$534, 'S18 Operations'!$C$2:$C$534), 2, 0), "")</f>
        <v/>
      </c>
      <c r="G26" s="307" t="str" cm="1">
        <f t="array" ref="G26">IFERROR(VLOOKUP($A26&amp;"-"&amp;G$21, CHOOSE({1,2}, 'S18 Operations'!$B$2:$B$534&amp;"-"&amp;'S18 Operations'!$D$2:$D$534, 'S18 Operations'!$C$2:$C$534), 2, 0), "")</f>
        <v/>
      </c>
      <c r="H26" s="307" cm="1">
        <f t="array" ref="H26">IFERROR(VLOOKUP($A26&amp;"-"&amp;H$21, CHOOSE({1,2}, 'S18 Operations'!$B$2:$B$534&amp;"-"&amp;'S18 Operations'!$D$2:$D$534, 'S18 Operations'!$C$2:$C$534), 2, 0), "")</f>
        <v>30</v>
      </c>
      <c r="I26" s="307" t="str" cm="1">
        <f t="array" ref="I26">IFERROR(VLOOKUP($A26&amp;"-"&amp;I$21, CHOOSE({1,2}, 'S18 Operations'!$B$2:$B$534&amp;"-"&amp;'S18 Operations'!$D$2:$D$534, 'S18 Operations'!$C$2:$C$534), 2, 0), "")</f>
        <v/>
      </c>
      <c r="J26" s="307" t="str" cm="1">
        <f t="array" ref="J26">IFERROR(VLOOKUP($A26&amp;"-"&amp;J$21, CHOOSE({1,2}, 'S18 Operations'!$B$2:$B$534&amp;"-"&amp;'S18 Operations'!$D$2:$D$534, 'S18 Operations'!$C$2:$C$534), 2, 0), "")</f>
        <v/>
      </c>
      <c r="K26" s="307" cm="1">
        <f t="array" ref="K26">IFERROR(VLOOKUP($A26&amp;"-"&amp;K$21, CHOOSE({1,2}, 'S18 Operations'!$B$2:$B$534&amp;"-"&amp;'S18 Operations'!$D$2:$D$534, 'S18 Operations'!$C$2:$C$534), 2, 0), "")</f>
        <v>40</v>
      </c>
      <c r="L26" s="307" t="str" cm="1">
        <f t="array" ref="L26">IFERROR(VLOOKUP($A26&amp;"-"&amp;L$21, CHOOSE({1,2}, 'S18 Operations'!$B$2:$B$534&amp;"-"&amp;'S18 Operations'!$D$2:$D$534, 'S18 Operations'!$C$2:$C$534), 2, 0), "")</f>
        <v/>
      </c>
      <c r="M26" s="307" cm="1">
        <f t="array" ref="M26">IFERROR(VLOOKUP($A26&amp;"-"&amp;M$21, CHOOSE({1,2}, 'S18 Operations'!$B$2:$B$534&amp;"-"&amp;'S18 Operations'!$D$2:$D$534, 'S18 Operations'!$C$2:$C$534), 2, 0), "")</f>
        <v>50</v>
      </c>
      <c r="N26" s="307" t="str" cm="1">
        <f t="array" ref="N26">IFERROR(VLOOKUP($A26&amp;"-"&amp;N$21, CHOOSE({1,2}, 'S18 Operations'!$B$2:$B$534&amp;"-"&amp;'S18 Operations'!$D$2:$D$534, 'S18 Operations'!$C$2:$C$534), 2, 0), "")</f>
        <v/>
      </c>
      <c r="O26" s="307" t="str" cm="1">
        <f t="array" ref="O26">IFERROR(VLOOKUP($A26&amp;"-"&amp;O$21, CHOOSE({1,2}, 'S18 Operations'!$B$2:$B$534&amp;"-"&amp;'S18 Operations'!$D$2:$D$534, 'S18 Operations'!$C$2:$C$534), 2, 0), "")</f>
        <v/>
      </c>
      <c r="P26" s="307" t="str" cm="1">
        <f t="array" ref="P26">IFERROR(VLOOKUP($A26&amp;"-"&amp;P$21, CHOOSE({1,2}, 'S18 Operations'!$B$2:$B$534&amp;"-"&amp;'S18 Operations'!$D$2:$D$534, 'S18 Operations'!$C$2:$C$534), 2, 0), "")</f>
        <v/>
      </c>
      <c r="Q26" s="307" t="str" cm="1">
        <f t="array" ref="Q26">IFERROR(VLOOKUP($A26&amp;"-"&amp;Q$21, CHOOSE({1,2}, 'S18 Operations'!$B$2:$B$534&amp;"-"&amp;'S18 Operations'!$D$2:$D$534, 'S18 Operations'!$C$2:$C$534), 2, 0), "")</f>
        <v/>
      </c>
      <c r="R26" s="307" cm="1">
        <f t="array" ref="R26">IFERROR(VLOOKUP($A26&amp;"-"&amp;R$21, CHOOSE({1,2}, 'S18 Operations'!$B$2:$B$534&amp;"-"&amp;'S18 Operations'!$D$2:$D$534, 'S18 Operations'!$C$2:$C$534), 2, 0), "")</f>
        <v>60</v>
      </c>
      <c r="S26" s="307" t="str" cm="1">
        <f t="array" ref="S26">IFERROR(VLOOKUP($A26&amp;"-"&amp;S$21, CHOOSE({1,2}, 'S18 Operations'!$B$2:$B$534&amp;"-"&amp;'S18 Operations'!$D$2:$D$534, 'S18 Operations'!$C$2:$C$534), 2, 0), "")</f>
        <v/>
      </c>
      <c r="T26" s="307" t="str" cm="1">
        <f t="array" ref="T26">IFERROR(VLOOKUP($A26&amp;"-"&amp;T$21, CHOOSE({1,2}, 'S18 Operations'!$B$2:$B$534&amp;"-"&amp;'S18 Operations'!$D$2:$D$534, 'S18 Operations'!$C$2:$C$534), 2, 0), "")</f>
        <v/>
      </c>
      <c r="U26" s="307" t="str" cm="1">
        <f t="array" ref="U26">IFERROR(VLOOKUP($A26&amp;"-"&amp;U$21, CHOOSE({1,2}, 'S18 Operations'!$B$2:$B$534&amp;"-"&amp;'S18 Operations'!$D$2:$D$534, 'S18 Operations'!$C$2:$C$534), 2, 0), "")</f>
        <v/>
      </c>
      <c r="V26" s="307" t="str" cm="1">
        <f t="array" ref="V26">IFERROR(VLOOKUP($A26&amp;"-"&amp;V$21, CHOOSE({1,2}, 'S18 Operations'!$B$2:$B$534&amp;"-"&amp;'S18 Operations'!$D$2:$D$534, 'S18 Operations'!$C$2:$C$534), 2, 0), "")</f>
        <v/>
      </c>
      <c r="W26" s="307" cm="1">
        <f t="array" ref="W26">IFERROR(VLOOKUP($A26&amp;"-"&amp;W$21, CHOOSE({1,2}, 'S18 Operations'!$B$2:$B$534&amp;"-"&amp;'S18 Operations'!$D$2:$D$534, 'S18 Operations'!$C$2:$C$534), 2, 0), "")</f>
        <v>70</v>
      </c>
      <c r="X26" s="307" t="str" cm="1">
        <f t="array" ref="X26">IFERROR(VLOOKUP($A26&amp;"-"&amp;X$21, CHOOSE({1,2}, 'S18 Operations'!$B$2:$B$534&amp;"-"&amp;'S18 Operations'!$D$2:$D$534, 'S18 Operations'!$C$2:$C$534), 2, 0), "")</f>
        <v/>
      </c>
      <c r="Y26" s="307" t="str" cm="1">
        <f t="array" ref="Y26">IFERROR(VLOOKUP($A26&amp;"-"&amp;Y$21, CHOOSE({1,2}, 'S18 Operations'!$B$2:$B$534&amp;"-"&amp;'S18 Operations'!$D$2:$D$534, 'S18 Operations'!$C$2:$C$534), 2, 0), "")</f>
        <v/>
      </c>
      <c r="Z26" s="307" t="str" cm="1">
        <f t="array" ref="Z26">IFERROR(VLOOKUP($A26&amp;"-"&amp;Z$21, CHOOSE({1,2}, 'S18 Operations'!$B$2:$B$534&amp;"-"&amp;'S18 Operations'!$D$2:$D$534, 'S18 Operations'!$C$2:$C$534), 2, 0), "")</f>
        <v/>
      </c>
      <c r="AA26" s="307" cm="1">
        <f t="array" ref="AA26">IFERROR(VLOOKUP($A26&amp;"-"&amp;AA$21, CHOOSE({1,2}, 'S18 Operations'!$B$2:$B$534&amp;"-"&amp;'S18 Operations'!$D$2:$D$534, 'S18 Operations'!$C$2:$C$534), 2, 0), "")</f>
        <v>80</v>
      </c>
    </row>
    <row r="27" spans="1:27">
      <c r="A27" s="306" t="str">
        <f>'S14 ABC Output'!A8</f>
        <v>I-068</v>
      </c>
      <c r="B27" s="307" cm="1">
        <f t="array" ref="B27">IFERROR(VLOOKUP($A27&amp;"-"&amp;B$21, CHOOSE({1,2}, 'S18 Operations'!$B$2:$B$534&amp;"-"&amp;'S18 Operations'!$D$2:$D$534, 'S18 Operations'!$C$2:$C$534), 2, 0), "")</f>
        <v>10</v>
      </c>
      <c r="C27" s="307" cm="1">
        <f t="array" ref="C27">IFERROR(VLOOKUP($A27&amp;"-"&amp;C$21, CHOOSE({1,2}, 'S18 Operations'!$B$2:$B$534&amp;"-"&amp;'S18 Operations'!$D$2:$D$534, 'S18 Operations'!$C$2:$C$534), 2, 0), "")</f>
        <v>20</v>
      </c>
      <c r="D27" s="307" t="str" cm="1">
        <f t="array" ref="D27">IFERROR(VLOOKUP($A27&amp;"-"&amp;D$21, CHOOSE({1,2}, 'S18 Operations'!$B$2:$B$534&amp;"-"&amp;'S18 Operations'!$D$2:$D$534, 'S18 Operations'!$C$2:$C$534), 2, 0), "")</f>
        <v/>
      </c>
      <c r="E27" s="307" t="str" cm="1">
        <f t="array" ref="E27">IFERROR(VLOOKUP($A27&amp;"-"&amp;E$21, CHOOSE({1,2}, 'S18 Operations'!$B$2:$B$534&amp;"-"&amp;'S18 Operations'!$D$2:$D$534, 'S18 Operations'!$C$2:$C$534), 2, 0), "")</f>
        <v/>
      </c>
      <c r="F27" s="307" t="str" cm="1">
        <f t="array" ref="F27">IFERROR(VLOOKUP($A27&amp;"-"&amp;F$21, CHOOSE({1,2}, 'S18 Operations'!$B$2:$B$534&amp;"-"&amp;'S18 Operations'!$D$2:$D$534, 'S18 Operations'!$C$2:$C$534), 2, 0), "")</f>
        <v/>
      </c>
      <c r="G27" s="307" t="str" cm="1">
        <f t="array" ref="G27">IFERROR(VLOOKUP($A27&amp;"-"&amp;G$21, CHOOSE({1,2}, 'S18 Operations'!$B$2:$B$534&amp;"-"&amp;'S18 Operations'!$D$2:$D$534, 'S18 Operations'!$C$2:$C$534), 2, 0), "")</f>
        <v/>
      </c>
      <c r="H27" s="307" t="str" cm="1">
        <f t="array" ref="H27">IFERROR(VLOOKUP($A27&amp;"-"&amp;H$21, CHOOSE({1,2}, 'S18 Operations'!$B$2:$B$534&amp;"-"&amp;'S18 Operations'!$D$2:$D$534, 'S18 Operations'!$C$2:$C$534), 2, 0), "")</f>
        <v/>
      </c>
      <c r="I27" s="307" t="str" cm="1">
        <f t="array" ref="I27">IFERROR(VLOOKUP($A27&amp;"-"&amp;I$21, CHOOSE({1,2}, 'S18 Operations'!$B$2:$B$534&amp;"-"&amp;'S18 Operations'!$D$2:$D$534, 'S18 Operations'!$C$2:$C$534), 2, 0), "")</f>
        <v/>
      </c>
      <c r="J27" s="307" cm="1">
        <f t="array" ref="J27">IFERROR(VLOOKUP($A27&amp;"-"&amp;J$21, CHOOSE({1,2}, 'S18 Operations'!$B$2:$B$534&amp;"-"&amp;'S18 Operations'!$D$2:$D$534, 'S18 Operations'!$C$2:$C$534), 2, 0), "")</f>
        <v>30</v>
      </c>
      <c r="K27" s="307" t="str" cm="1">
        <f t="array" ref="K27">IFERROR(VLOOKUP($A27&amp;"-"&amp;K$21, CHOOSE({1,2}, 'S18 Operations'!$B$2:$B$534&amp;"-"&amp;'S18 Operations'!$D$2:$D$534, 'S18 Operations'!$C$2:$C$534), 2, 0), "")</f>
        <v/>
      </c>
      <c r="L27" s="307" t="str" cm="1">
        <f t="array" ref="L27">IFERROR(VLOOKUP($A27&amp;"-"&amp;L$21, CHOOSE({1,2}, 'S18 Operations'!$B$2:$B$534&amp;"-"&amp;'S18 Operations'!$D$2:$D$534, 'S18 Operations'!$C$2:$C$534), 2, 0), "")</f>
        <v/>
      </c>
      <c r="M27" s="307" t="str" cm="1">
        <f t="array" ref="M27">IFERROR(VLOOKUP($A27&amp;"-"&amp;M$21, CHOOSE({1,2}, 'S18 Operations'!$B$2:$B$534&amp;"-"&amp;'S18 Operations'!$D$2:$D$534, 'S18 Operations'!$C$2:$C$534), 2, 0), "")</f>
        <v/>
      </c>
      <c r="N27" s="307" t="str" cm="1">
        <f t="array" ref="N27">IFERROR(VLOOKUP($A27&amp;"-"&amp;N$21, CHOOSE({1,2}, 'S18 Operations'!$B$2:$B$534&amp;"-"&amp;'S18 Operations'!$D$2:$D$534, 'S18 Operations'!$C$2:$C$534), 2, 0), "")</f>
        <v/>
      </c>
      <c r="O27" s="307" t="str" cm="1">
        <f t="array" ref="O27">IFERROR(VLOOKUP($A27&amp;"-"&amp;O$21, CHOOSE({1,2}, 'S18 Operations'!$B$2:$B$534&amp;"-"&amp;'S18 Operations'!$D$2:$D$534, 'S18 Operations'!$C$2:$C$534), 2, 0), "")</f>
        <v/>
      </c>
      <c r="P27" s="307" t="str" cm="1">
        <f t="array" ref="P27">IFERROR(VLOOKUP($A27&amp;"-"&amp;P$21, CHOOSE({1,2}, 'S18 Operations'!$B$2:$B$534&amp;"-"&amp;'S18 Operations'!$D$2:$D$534, 'S18 Operations'!$C$2:$C$534), 2, 0), "")</f>
        <v/>
      </c>
      <c r="Q27" s="307" cm="1">
        <f t="array" ref="Q27">IFERROR(VLOOKUP($A27&amp;"-"&amp;Q$21, CHOOSE({1,2}, 'S18 Operations'!$B$2:$B$534&amp;"-"&amp;'S18 Operations'!$D$2:$D$534, 'S18 Operations'!$C$2:$C$534), 2, 0), "")</f>
        <v>40</v>
      </c>
      <c r="R27" s="307" t="str" cm="1">
        <f t="array" ref="R27">IFERROR(VLOOKUP($A27&amp;"-"&amp;R$21, CHOOSE({1,2}, 'S18 Operations'!$B$2:$B$534&amp;"-"&amp;'S18 Operations'!$D$2:$D$534, 'S18 Operations'!$C$2:$C$534), 2, 0), "")</f>
        <v/>
      </c>
      <c r="S27" s="307" t="str" cm="1">
        <f t="array" ref="S27">IFERROR(VLOOKUP($A27&amp;"-"&amp;S$21, CHOOSE({1,2}, 'S18 Operations'!$B$2:$B$534&amp;"-"&amp;'S18 Operations'!$D$2:$D$534, 'S18 Operations'!$C$2:$C$534), 2, 0), "")</f>
        <v/>
      </c>
      <c r="T27" s="307" t="str" cm="1">
        <f t="array" ref="T27">IFERROR(VLOOKUP($A27&amp;"-"&amp;T$21, CHOOSE({1,2}, 'S18 Operations'!$B$2:$B$534&amp;"-"&amp;'S18 Operations'!$D$2:$D$534, 'S18 Operations'!$C$2:$C$534), 2, 0), "")</f>
        <v/>
      </c>
      <c r="U27" s="307" t="str" cm="1">
        <f t="array" ref="U27">IFERROR(VLOOKUP($A27&amp;"-"&amp;U$21, CHOOSE({1,2}, 'S18 Operations'!$B$2:$B$534&amp;"-"&amp;'S18 Operations'!$D$2:$D$534, 'S18 Operations'!$C$2:$C$534), 2, 0), "")</f>
        <v/>
      </c>
      <c r="V27" s="307" t="str" cm="1">
        <f t="array" ref="V27">IFERROR(VLOOKUP($A27&amp;"-"&amp;V$21, CHOOSE({1,2}, 'S18 Operations'!$B$2:$B$534&amp;"-"&amp;'S18 Operations'!$D$2:$D$534, 'S18 Operations'!$C$2:$C$534), 2, 0), "")</f>
        <v/>
      </c>
      <c r="W27" s="307" t="str" cm="1">
        <f t="array" ref="W27">IFERROR(VLOOKUP($A27&amp;"-"&amp;W$21, CHOOSE({1,2}, 'S18 Operations'!$B$2:$B$534&amp;"-"&amp;'S18 Operations'!$D$2:$D$534, 'S18 Operations'!$C$2:$C$534), 2, 0), "")</f>
        <v/>
      </c>
      <c r="X27" s="307" t="str" cm="1">
        <f t="array" ref="X27">IFERROR(VLOOKUP($A27&amp;"-"&amp;X$21, CHOOSE({1,2}, 'S18 Operations'!$B$2:$B$534&amp;"-"&amp;'S18 Operations'!$D$2:$D$534, 'S18 Operations'!$C$2:$C$534), 2, 0), "")</f>
        <v/>
      </c>
      <c r="Y27" s="307" cm="1">
        <f t="array" ref="Y27">IFERROR(VLOOKUP($A27&amp;"-"&amp;Y$21, CHOOSE({1,2}, 'S18 Operations'!$B$2:$B$534&amp;"-"&amp;'S18 Operations'!$D$2:$D$534, 'S18 Operations'!$C$2:$C$534), 2, 0), "")</f>
        <v>50</v>
      </c>
      <c r="Z27" s="307" t="str" cm="1">
        <f t="array" ref="Z27">IFERROR(VLOOKUP($A27&amp;"-"&amp;Z$21, CHOOSE({1,2}, 'S18 Operations'!$B$2:$B$534&amp;"-"&amp;'S18 Operations'!$D$2:$D$534, 'S18 Operations'!$C$2:$C$534), 2, 0), "")</f>
        <v/>
      </c>
      <c r="AA27" s="307" cm="1">
        <f t="array" ref="AA27">IFERROR(VLOOKUP($A27&amp;"-"&amp;AA$21, CHOOSE({1,2}, 'S18 Operations'!$B$2:$B$534&amp;"-"&amp;'S18 Operations'!$D$2:$D$534, 'S18 Operations'!$C$2:$C$534), 2, 0), "")</f>
        <v>60</v>
      </c>
    </row>
    <row r="28" spans="1:27">
      <c r="A28" s="306" t="str">
        <f>'S14 ABC Output'!A9</f>
        <v>I-053</v>
      </c>
      <c r="B28" s="307" cm="1">
        <f t="array" ref="B28">IFERROR(VLOOKUP($A28&amp;"-"&amp;B$21, CHOOSE({1,2}, 'S18 Operations'!$B$2:$B$534&amp;"-"&amp;'S18 Operations'!$D$2:$D$534, 'S18 Operations'!$C$2:$C$534), 2, 0), "")</f>
        <v>10</v>
      </c>
      <c r="C28" s="307" t="str" cm="1">
        <f t="array" ref="C28">IFERROR(VLOOKUP($A28&amp;"-"&amp;C$21, CHOOSE({1,2}, 'S18 Operations'!$B$2:$B$534&amp;"-"&amp;'S18 Operations'!$D$2:$D$534, 'S18 Operations'!$C$2:$C$534), 2, 0), "")</f>
        <v/>
      </c>
      <c r="D28" s="307" t="str" cm="1">
        <f t="array" ref="D28">IFERROR(VLOOKUP($A28&amp;"-"&amp;D$21, CHOOSE({1,2}, 'S18 Operations'!$B$2:$B$534&amp;"-"&amp;'S18 Operations'!$D$2:$D$534, 'S18 Operations'!$C$2:$C$534), 2, 0), "")</f>
        <v/>
      </c>
      <c r="E28" s="307" cm="1">
        <f t="array" ref="E28">IFERROR(VLOOKUP($A28&amp;"-"&amp;E$21, CHOOSE({1,2}, 'S18 Operations'!$B$2:$B$534&amp;"-"&amp;'S18 Operations'!$D$2:$D$534, 'S18 Operations'!$C$2:$C$534), 2, 0), "")</f>
        <v>20</v>
      </c>
      <c r="F28" s="307" t="str" cm="1">
        <f t="array" ref="F28">IFERROR(VLOOKUP($A28&amp;"-"&amp;F$21, CHOOSE({1,2}, 'S18 Operations'!$B$2:$B$534&amp;"-"&amp;'S18 Operations'!$D$2:$D$534, 'S18 Operations'!$C$2:$C$534), 2, 0), "")</f>
        <v/>
      </c>
      <c r="G28" s="307" cm="1">
        <f t="array" ref="G28">IFERROR(VLOOKUP($A28&amp;"-"&amp;G$21, CHOOSE({1,2}, 'S18 Operations'!$B$2:$B$534&amp;"-"&amp;'S18 Operations'!$D$2:$D$534, 'S18 Operations'!$C$2:$C$534), 2, 0), "")</f>
        <v>30</v>
      </c>
      <c r="H28" s="307" t="str" cm="1">
        <f t="array" ref="H28">IFERROR(VLOOKUP($A28&amp;"-"&amp;H$21, CHOOSE({1,2}, 'S18 Operations'!$B$2:$B$534&amp;"-"&amp;'S18 Operations'!$D$2:$D$534, 'S18 Operations'!$C$2:$C$534), 2, 0), "")</f>
        <v/>
      </c>
      <c r="I28" s="307" cm="1">
        <f t="array" ref="I28">IFERROR(VLOOKUP($A28&amp;"-"&amp;I$21, CHOOSE({1,2}, 'S18 Operations'!$B$2:$B$534&amp;"-"&amp;'S18 Operations'!$D$2:$D$534, 'S18 Operations'!$C$2:$C$534), 2, 0), "")</f>
        <v>40</v>
      </c>
      <c r="J28" s="307" t="str" cm="1">
        <f t="array" ref="J28">IFERROR(VLOOKUP($A28&amp;"-"&amp;J$21, CHOOSE({1,2}, 'S18 Operations'!$B$2:$B$534&amp;"-"&amp;'S18 Operations'!$D$2:$D$534, 'S18 Operations'!$C$2:$C$534), 2, 0), "")</f>
        <v/>
      </c>
      <c r="K28" s="307" t="str" cm="1">
        <f t="array" ref="K28">IFERROR(VLOOKUP($A28&amp;"-"&amp;K$21, CHOOSE({1,2}, 'S18 Operations'!$B$2:$B$534&amp;"-"&amp;'S18 Operations'!$D$2:$D$534, 'S18 Operations'!$C$2:$C$534), 2, 0), "")</f>
        <v/>
      </c>
      <c r="L28" s="307" t="str" cm="1">
        <f t="array" ref="L28">IFERROR(VLOOKUP($A28&amp;"-"&amp;L$21, CHOOSE({1,2}, 'S18 Operations'!$B$2:$B$534&amp;"-"&amp;'S18 Operations'!$D$2:$D$534, 'S18 Operations'!$C$2:$C$534), 2, 0), "")</f>
        <v/>
      </c>
      <c r="M28" s="307" t="str" cm="1">
        <f t="array" ref="M28">IFERROR(VLOOKUP($A28&amp;"-"&amp;M$21, CHOOSE({1,2}, 'S18 Operations'!$B$2:$B$534&amp;"-"&amp;'S18 Operations'!$D$2:$D$534, 'S18 Operations'!$C$2:$C$534), 2, 0), "")</f>
        <v/>
      </c>
      <c r="N28" s="307" t="str" cm="1">
        <f t="array" ref="N28">IFERROR(VLOOKUP($A28&amp;"-"&amp;N$21, CHOOSE({1,2}, 'S18 Operations'!$B$2:$B$534&amp;"-"&amp;'S18 Operations'!$D$2:$D$534, 'S18 Operations'!$C$2:$C$534), 2, 0), "")</f>
        <v/>
      </c>
      <c r="O28" s="307" cm="1">
        <f t="array" ref="O28">IFERROR(VLOOKUP($A28&amp;"-"&amp;O$21, CHOOSE({1,2}, 'S18 Operations'!$B$2:$B$534&amp;"-"&amp;'S18 Operations'!$D$2:$D$534, 'S18 Operations'!$C$2:$C$534), 2, 0), "")</f>
        <v>50</v>
      </c>
      <c r="P28" s="307" t="str" cm="1">
        <f t="array" ref="P28">IFERROR(VLOOKUP($A28&amp;"-"&amp;P$21, CHOOSE({1,2}, 'S18 Operations'!$B$2:$B$534&amp;"-"&amp;'S18 Operations'!$D$2:$D$534, 'S18 Operations'!$C$2:$C$534), 2, 0), "")</f>
        <v/>
      </c>
      <c r="Q28" s="307" t="str" cm="1">
        <f t="array" ref="Q28">IFERROR(VLOOKUP($A28&amp;"-"&amp;Q$21, CHOOSE({1,2}, 'S18 Operations'!$B$2:$B$534&amp;"-"&amp;'S18 Operations'!$D$2:$D$534, 'S18 Operations'!$C$2:$C$534), 2, 0), "")</f>
        <v/>
      </c>
      <c r="R28" s="307" t="str" cm="1">
        <f t="array" ref="R28">IFERROR(VLOOKUP($A28&amp;"-"&amp;R$21, CHOOSE({1,2}, 'S18 Operations'!$B$2:$B$534&amp;"-"&amp;'S18 Operations'!$D$2:$D$534, 'S18 Operations'!$C$2:$C$534), 2, 0), "")</f>
        <v/>
      </c>
      <c r="S28" s="307" t="str" cm="1">
        <f t="array" ref="S28">IFERROR(VLOOKUP($A28&amp;"-"&amp;S$21, CHOOSE({1,2}, 'S18 Operations'!$B$2:$B$534&amp;"-"&amp;'S18 Operations'!$D$2:$D$534, 'S18 Operations'!$C$2:$C$534), 2, 0), "")</f>
        <v/>
      </c>
      <c r="T28" s="307" cm="1">
        <f t="array" ref="T28">IFERROR(VLOOKUP($A28&amp;"-"&amp;T$21, CHOOSE({1,2}, 'S18 Operations'!$B$2:$B$534&amp;"-"&amp;'S18 Operations'!$D$2:$D$534, 'S18 Operations'!$C$2:$C$534), 2, 0), "")</f>
        <v>60</v>
      </c>
      <c r="U28" s="307" t="str" cm="1">
        <f t="array" ref="U28">IFERROR(VLOOKUP($A28&amp;"-"&amp;U$21, CHOOSE({1,2}, 'S18 Operations'!$B$2:$B$534&amp;"-"&amp;'S18 Operations'!$D$2:$D$534, 'S18 Operations'!$C$2:$C$534), 2, 0), "")</f>
        <v/>
      </c>
      <c r="V28" s="307" t="str" cm="1">
        <f t="array" ref="V28">IFERROR(VLOOKUP($A28&amp;"-"&amp;V$21, CHOOSE({1,2}, 'S18 Operations'!$B$2:$B$534&amp;"-"&amp;'S18 Operations'!$D$2:$D$534, 'S18 Operations'!$C$2:$C$534), 2, 0), "")</f>
        <v/>
      </c>
      <c r="W28" s="307" cm="1">
        <f t="array" ref="W28">IFERROR(VLOOKUP($A28&amp;"-"&amp;W$21, CHOOSE({1,2}, 'S18 Operations'!$B$2:$B$534&amp;"-"&amp;'S18 Operations'!$D$2:$D$534, 'S18 Operations'!$C$2:$C$534), 2, 0), "")</f>
        <v>70</v>
      </c>
      <c r="X28" s="307" t="str" cm="1">
        <f t="array" ref="X28">IFERROR(VLOOKUP($A28&amp;"-"&amp;X$21, CHOOSE({1,2}, 'S18 Operations'!$B$2:$B$534&amp;"-"&amp;'S18 Operations'!$D$2:$D$534, 'S18 Operations'!$C$2:$C$534), 2, 0), "")</f>
        <v/>
      </c>
      <c r="Y28" s="307" t="str" cm="1">
        <f t="array" ref="Y28">IFERROR(VLOOKUP($A28&amp;"-"&amp;Y$21, CHOOSE({1,2}, 'S18 Operations'!$B$2:$B$534&amp;"-"&amp;'S18 Operations'!$D$2:$D$534, 'S18 Operations'!$C$2:$C$534), 2, 0), "")</f>
        <v/>
      </c>
      <c r="Z28" s="307" t="str" cm="1">
        <f t="array" ref="Z28">IFERROR(VLOOKUP($A28&amp;"-"&amp;Z$21, CHOOSE({1,2}, 'S18 Operations'!$B$2:$B$534&amp;"-"&amp;'S18 Operations'!$D$2:$D$534, 'S18 Operations'!$C$2:$C$534), 2, 0), "")</f>
        <v/>
      </c>
      <c r="AA28" s="307" cm="1">
        <f t="array" ref="AA28">IFERROR(VLOOKUP($A28&amp;"-"&amp;AA$21, CHOOSE({1,2}, 'S18 Operations'!$B$2:$B$534&amp;"-"&amp;'S18 Operations'!$D$2:$D$534, 'S18 Operations'!$C$2:$C$534), 2, 0), "")</f>
        <v>80</v>
      </c>
    </row>
    <row r="29" spans="1:27">
      <c r="A29" s="306" t="str">
        <f>'S14 ABC Output'!A10</f>
        <v>I-012</v>
      </c>
      <c r="B29" s="307" cm="1">
        <f t="array" ref="B29">IFERROR(VLOOKUP($A29&amp;"-"&amp;B$21, CHOOSE({1,2}, 'S18 Operations'!$B$2:$B$534&amp;"-"&amp;'S18 Operations'!$D$2:$D$534, 'S18 Operations'!$C$2:$C$534), 2, 0), "")</f>
        <v>10</v>
      </c>
      <c r="C29" s="307" t="str" cm="1">
        <f t="array" ref="C29">IFERROR(VLOOKUP($A29&amp;"-"&amp;C$21, CHOOSE({1,2}, 'S18 Operations'!$B$2:$B$534&amp;"-"&amp;'S18 Operations'!$D$2:$D$534, 'S18 Operations'!$C$2:$C$534), 2, 0), "")</f>
        <v/>
      </c>
      <c r="D29" s="307" t="str" cm="1">
        <f t="array" ref="D29">IFERROR(VLOOKUP($A29&amp;"-"&amp;D$21, CHOOSE({1,2}, 'S18 Operations'!$B$2:$B$534&amp;"-"&amp;'S18 Operations'!$D$2:$D$534, 'S18 Operations'!$C$2:$C$534), 2, 0), "")</f>
        <v/>
      </c>
      <c r="E29" s="307" cm="1">
        <f t="array" ref="E29">IFERROR(VLOOKUP($A29&amp;"-"&amp;E$21, CHOOSE({1,2}, 'S18 Operations'!$B$2:$B$534&amp;"-"&amp;'S18 Operations'!$D$2:$D$534, 'S18 Operations'!$C$2:$C$534), 2, 0), "")</f>
        <v>20</v>
      </c>
      <c r="F29" s="307" t="str" cm="1">
        <f t="array" ref="F29">IFERROR(VLOOKUP($A29&amp;"-"&amp;F$21, CHOOSE({1,2}, 'S18 Operations'!$B$2:$B$534&amp;"-"&amp;'S18 Operations'!$D$2:$D$534, 'S18 Operations'!$C$2:$C$534), 2, 0), "")</f>
        <v/>
      </c>
      <c r="G29" s="307" t="str" cm="1">
        <f t="array" ref="G29">IFERROR(VLOOKUP($A29&amp;"-"&amp;G$21, CHOOSE({1,2}, 'S18 Operations'!$B$2:$B$534&amp;"-"&amp;'S18 Operations'!$D$2:$D$534, 'S18 Operations'!$C$2:$C$534), 2, 0), "")</f>
        <v/>
      </c>
      <c r="H29" s="307" cm="1">
        <f t="array" ref="H29">IFERROR(VLOOKUP($A29&amp;"-"&amp;H$21, CHOOSE({1,2}, 'S18 Operations'!$B$2:$B$534&amp;"-"&amp;'S18 Operations'!$D$2:$D$534, 'S18 Operations'!$C$2:$C$534), 2, 0), "")</f>
        <v>30</v>
      </c>
      <c r="I29" s="307" t="str" cm="1">
        <f t="array" ref="I29">IFERROR(VLOOKUP($A29&amp;"-"&amp;I$21, CHOOSE({1,2}, 'S18 Operations'!$B$2:$B$534&amp;"-"&amp;'S18 Operations'!$D$2:$D$534, 'S18 Operations'!$C$2:$C$534), 2, 0), "")</f>
        <v/>
      </c>
      <c r="J29" s="307" t="str" cm="1">
        <f t="array" ref="J29">IFERROR(VLOOKUP($A29&amp;"-"&amp;J$21, CHOOSE({1,2}, 'S18 Operations'!$B$2:$B$534&amp;"-"&amp;'S18 Operations'!$D$2:$D$534, 'S18 Operations'!$C$2:$C$534), 2, 0), "")</f>
        <v/>
      </c>
      <c r="K29" s="307" cm="1">
        <f t="array" ref="K29">IFERROR(VLOOKUP($A29&amp;"-"&amp;K$21, CHOOSE({1,2}, 'S18 Operations'!$B$2:$B$534&amp;"-"&amp;'S18 Operations'!$D$2:$D$534, 'S18 Operations'!$C$2:$C$534), 2, 0), "")</f>
        <v>40</v>
      </c>
      <c r="L29" s="307" t="str" cm="1">
        <f t="array" ref="L29">IFERROR(VLOOKUP($A29&amp;"-"&amp;L$21, CHOOSE({1,2}, 'S18 Operations'!$B$2:$B$534&amp;"-"&amp;'S18 Operations'!$D$2:$D$534, 'S18 Operations'!$C$2:$C$534), 2, 0), "")</f>
        <v/>
      </c>
      <c r="M29" s="307" cm="1">
        <f t="array" ref="M29">IFERROR(VLOOKUP($A29&amp;"-"&amp;M$21, CHOOSE({1,2}, 'S18 Operations'!$B$2:$B$534&amp;"-"&amp;'S18 Operations'!$D$2:$D$534, 'S18 Operations'!$C$2:$C$534), 2, 0), "")</f>
        <v>50</v>
      </c>
      <c r="N29" s="307" t="str" cm="1">
        <f t="array" ref="N29">IFERROR(VLOOKUP($A29&amp;"-"&amp;N$21, CHOOSE({1,2}, 'S18 Operations'!$B$2:$B$534&amp;"-"&amp;'S18 Operations'!$D$2:$D$534, 'S18 Operations'!$C$2:$C$534), 2, 0), "")</f>
        <v/>
      </c>
      <c r="O29" s="307" t="str" cm="1">
        <f t="array" ref="O29">IFERROR(VLOOKUP($A29&amp;"-"&amp;O$21, CHOOSE({1,2}, 'S18 Operations'!$B$2:$B$534&amp;"-"&amp;'S18 Operations'!$D$2:$D$534, 'S18 Operations'!$C$2:$C$534), 2, 0), "")</f>
        <v/>
      </c>
      <c r="P29" s="307" t="str" cm="1">
        <f t="array" ref="P29">IFERROR(VLOOKUP($A29&amp;"-"&amp;P$21, CHOOSE({1,2}, 'S18 Operations'!$B$2:$B$534&amp;"-"&amp;'S18 Operations'!$D$2:$D$534, 'S18 Operations'!$C$2:$C$534), 2, 0), "")</f>
        <v/>
      </c>
      <c r="Q29" s="307" t="str" cm="1">
        <f t="array" ref="Q29">IFERROR(VLOOKUP($A29&amp;"-"&amp;Q$21, CHOOSE({1,2}, 'S18 Operations'!$B$2:$B$534&amp;"-"&amp;'S18 Operations'!$D$2:$D$534, 'S18 Operations'!$C$2:$C$534), 2, 0), "")</f>
        <v/>
      </c>
      <c r="R29" s="307" cm="1">
        <f t="array" ref="R29">IFERROR(VLOOKUP($A29&amp;"-"&amp;R$21, CHOOSE({1,2}, 'S18 Operations'!$B$2:$B$534&amp;"-"&amp;'S18 Operations'!$D$2:$D$534, 'S18 Operations'!$C$2:$C$534), 2, 0), "")</f>
        <v>60</v>
      </c>
      <c r="S29" s="307" t="str" cm="1">
        <f t="array" ref="S29">IFERROR(VLOOKUP($A29&amp;"-"&amp;S$21, CHOOSE({1,2}, 'S18 Operations'!$B$2:$B$534&amp;"-"&amp;'S18 Operations'!$D$2:$D$534, 'S18 Operations'!$C$2:$C$534), 2, 0), "")</f>
        <v/>
      </c>
      <c r="T29" s="307" t="str" cm="1">
        <f t="array" ref="T29">IFERROR(VLOOKUP($A29&amp;"-"&amp;T$21, CHOOSE({1,2}, 'S18 Operations'!$B$2:$B$534&amp;"-"&amp;'S18 Operations'!$D$2:$D$534, 'S18 Operations'!$C$2:$C$534), 2, 0), "")</f>
        <v/>
      </c>
      <c r="U29" s="307" t="str" cm="1">
        <f t="array" ref="U29">IFERROR(VLOOKUP($A29&amp;"-"&amp;U$21, CHOOSE({1,2}, 'S18 Operations'!$B$2:$B$534&amp;"-"&amp;'S18 Operations'!$D$2:$D$534, 'S18 Operations'!$C$2:$C$534), 2, 0), "")</f>
        <v/>
      </c>
      <c r="V29" s="307" t="str" cm="1">
        <f t="array" ref="V29">IFERROR(VLOOKUP($A29&amp;"-"&amp;V$21, CHOOSE({1,2}, 'S18 Operations'!$B$2:$B$534&amp;"-"&amp;'S18 Operations'!$D$2:$D$534, 'S18 Operations'!$C$2:$C$534), 2, 0), "")</f>
        <v/>
      </c>
      <c r="W29" s="307" cm="1">
        <f t="array" ref="W29">IFERROR(VLOOKUP($A29&amp;"-"&amp;W$21, CHOOSE({1,2}, 'S18 Operations'!$B$2:$B$534&amp;"-"&amp;'S18 Operations'!$D$2:$D$534, 'S18 Operations'!$C$2:$C$534), 2, 0), "")</f>
        <v>70</v>
      </c>
      <c r="X29" s="307" t="str" cm="1">
        <f t="array" ref="X29">IFERROR(VLOOKUP($A29&amp;"-"&amp;X$21, CHOOSE({1,2}, 'S18 Operations'!$B$2:$B$534&amp;"-"&amp;'S18 Operations'!$D$2:$D$534, 'S18 Operations'!$C$2:$C$534), 2, 0), "")</f>
        <v/>
      </c>
      <c r="Y29" s="307" t="str" cm="1">
        <f t="array" ref="Y29">IFERROR(VLOOKUP($A29&amp;"-"&amp;Y$21, CHOOSE({1,2}, 'S18 Operations'!$B$2:$B$534&amp;"-"&amp;'S18 Operations'!$D$2:$D$534, 'S18 Operations'!$C$2:$C$534), 2, 0), "")</f>
        <v/>
      </c>
      <c r="Z29" s="307" t="str" cm="1">
        <f t="array" ref="Z29">IFERROR(VLOOKUP($A29&amp;"-"&amp;Z$21, CHOOSE({1,2}, 'S18 Operations'!$B$2:$B$534&amp;"-"&amp;'S18 Operations'!$D$2:$D$534, 'S18 Operations'!$C$2:$C$534), 2, 0), "")</f>
        <v/>
      </c>
      <c r="AA29" s="307" cm="1">
        <f t="array" ref="AA29">IFERROR(VLOOKUP($A29&amp;"-"&amp;AA$21, CHOOSE({1,2}, 'S18 Operations'!$B$2:$B$534&amp;"-"&amp;'S18 Operations'!$D$2:$D$534, 'S18 Operations'!$C$2:$C$534), 2, 0), "")</f>
        <v>80</v>
      </c>
    </row>
    <row r="30" spans="1:27">
      <c r="A30" s="306" t="str">
        <f>'S14 ABC Output'!A11</f>
        <v>I-066</v>
      </c>
      <c r="B30" s="307" cm="1">
        <f t="array" ref="B30">IFERROR(VLOOKUP($A30&amp;"-"&amp;B$21, CHOOSE({1,2}, 'S18 Operations'!$B$2:$B$534&amp;"-"&amp;'S18 Operations'!$D$2:$D$534, 'S18 Operations'!$C$2:$C$534), 2, 0), "")</f>
        <v>10</v>
      </c>
      <c r="C30" s="307" cm="1">
        <f t="array" ref="C30">IFERROR(VLOOKUP($A30&amp;"-"&amp;C$21, CHOOSE({1,2}, 'S18 Operations'!$B$2:$B$534&amp;"-"&amp;'S18 Operations'!$D$2:$D$534, 'S18 Operations'!$C$2:$C$534), 2, 0), "")</f>
        <v>20</v>
      </c>
      <c r="D30" s="307" t="str" cm="1">
        <f t="array" ref="D30">IFERROR(VLOOKUP($A30&amp;"-"&amp;D$21, CHOOSE({1,2}, 'S18 Operations'!$B$2:$B$534&amp;"-"&amp;'S18 Operations'!$D$2:$D$534, 'S18 Operations'!$C$2:$C$534), 2, 0), "")</f>
        <v/>
      </c>
      <c r="E30" s="307" t="str" cm="1">
        <f t="array" ref="E30">IFERROR(VLOOKUP($A30&amp;"-"&amp;E$21, CHOOSE({1,2}, 'S18 Operations'!$B$2:$B$534&amp;"-"&amp;'S18 Operations'!$D$2:$D$534, 'S18 Operations'!$C$2:$C$534), 2, 0), "")</f>
        <v/>
      </c>
      <c r="F30" s="307" t="str" cm="1">
        <f t="array" ref="F30">IFERROR(VLOOKUP($A30&amp;"-"&amp;F$21, CHOOSE({1,2}, 'S18 Operations'!$B$2:$B$534&amp;"-"&amp;'S18 Operations'!$D$2:$D$534, 'S18 Operations'!$C$2:$C$534), 2, 0), "")</f>
        <v/>
      </c>
      <c r="G30" s="307" t="str" cm="1">
        <f t="array" ref="G30">IFERROR(VLOOKUP($A30&amp;"-"&amp;G$21, CHOOSE({1,2}, 'S18 Operations'!$B$2:$B$534&amp;"-"&amp;'S18 Operations'!$D$2:$D$534, 'S18 Operations'!$C$2:$C$534), 2, 0), "")</f>
        <v/>
      </c>
      <c r="H30" s="307" t="str" cm="1">
        <f t="array" ref="H30">IFERROR(VLOOKUP($A30&amp;"-"&amp;H$21, CHOOSE({1,2}, 'S18 Operations'!$B$2:$B$534&amp;"-"&amp;'S18 Operations'!$D$2:$D$534, 'S18 Operations'!$C$2:$C$534), 2, 0), "")</f>
        <v/>
      </c>
      <c r="I30" s="307" t="str" cm="1">
        <f t="array" ref="I30">IFERROR(VLOOKUP($A30&amp;"-"&amp;I$21, CHOOSE({1,2}, 'S18 Operations'!$B$2:$B$534&amp;"-"&amp;'S18 Operations'!$D$2:$D$534, 'S18 Operations'!$C$2:$C$534), 2, 0), "")</f>
        <v/>
      </c>
      <c r="J30" s="307" cm="1">
        <f t="array" ref="J30">IFERROR(VLOOKUP($A30&amp;"-"&amp;J$21, CHOOSE({1,2}, 'S18 Operations'!$B$2:$B$534&amp;"-"&amp;'S18 Operations'!$D$2:$D$534, 'S18 Operations'!$C$2:$C$534), 2, 0), "")</f>
        <v>30</v>
      </c>
      <c r="K30" s="307" t="str" cm="1">
        <f t="array" ref="K30">IFERROR(VLOOKUP($A30&amp;"-"&amp;K$21, CHOOSE({1,2}, 'S18 Operations'!$B$2:$B$534&amp;"-"&amp;'S18 Operations'!$D$2:$D$534, 'S18 Operations'!$C$2:$C$534), 2, 0), "")</f>
        <v/>
      </c>
      <c r="L30" s="307" t="str" cm="1">
        <f t="array" ref="L30">IFERROR(VLOOKUP($A30&amp;"-"&amp;L$21, CHOOSE({1,2}, 'S18 Operations'!$B$2:$B$534&amp;"-"&amp;'S18 Operations'!$D$2:$D$534, 'S18 Operations'!$C$2:$C$534), 2, 0), "")</f>
        <v/>
      </c>
      <c r="M30" s="307" t="str" cm="1">
        <f t="array" ref="M30">IFERROR(VLOOKUP($A30&amp;"-"&amp;M$21, CHOOSE({1,2}, 'S18 Operations'!$B$2:$B$534&amp;"-"&amp;'S18 Operations'!$D$2:$D$534, 'S18 Operations'!$C$2:$C$534), 2, 0), "")</f>
        <v/>
      </c>
      <c r="N30" s="307" t="str" cm="1">
        <f t="array" ref="N30">IFERROR(VLOOKUP($A30&amp;"-"&amp;N$21, CHOOSE({1,2}, 'S18 Operations'!$B$2:$B$534&amp;"-"&amp;'S18 Operations'!$D$2:$D$534, 'S18 Operations'!$C$2:$C$534), 2, 0), "")</f>
        <v/>
      </c>
      <c r="O30" s="307" t="str" cm="1">
        <f t="array" ref="O30">IFERROR(VLOOKUP($A30&amp;"-"&amp;O$21, CHOOSE({1,2}, 'S18 Operations'!$B$2:$B$534&amp;"-"&amp;'S18 Operations'!$D$2:$D$534, 'S18 Operations'!$C$2:$C$534), 2, 0), "")</f>
        <v/>
      </c>
      <c r="P30" s="307" t="str" cm="1">
        <f t="array" ref="P30">IFERROR(VLOOKUP($A30&amp;"-"&amp;P$21, CHOOSE({1,2}, 'S18 Operations'!$B$2:$B$534&amp;"-"&amp;'S18 Operations'!$D$2:$D$534, 'S18 Operations'!$C$2:$C$534), 2, 0), "")</f>
        <v/>
      </c>
      <c r="Q30" s="307" cm="1">
        <f t="array" ref="Q30">IFERROR(VLOOKUP($A30&amp;"-"&amp;Q$21, CHOOSE({1,2}, 'S18 Operations'!$B$2:$B$534&amp;"-"&amp;'S18 Operations'!$D$2:$D$534, 'S18 Operations'!$C$2:$C$534), 2, 0), "")</f>
        <v>40</v>
      </c>
      <c r="R30" s="307" t="str" cm="1">
        <f t="array" ref="R30">IFERROR(VLOOKUP($A30&amp;"-"&amp;R$21, CHOOSE({1,2}, 'S18 Operations'!$B$2:$B$534&amp;"-"&amp;'S18 Operations'!$D$2:$D$534, 'S18 Operations'!$C$2:$C$534), 2, 0), "")</f>
        <v/>
      </c>
      <c r="S30" s="307" t="str" cm="1">
        <f t="array" ref="S30">IFERROR(VLOOKUP($A30&amp;"-"&amp;S$21, CHOOSE({1,2}, 'S18 Operations'!$B$2:$B$534&amp;"-"&amp;'S18 Operations'!$D$2:$D$534, 'S18 Operations'!$C$2:$C$534), 2, 0), "")</f>
        <v/>
      </c>
      <c r="T30" s="307" t="str" cm="1">
        <f t="array" ref="T30">IFERROR(VLOOKUP($A30&amp;"-"&amp;T$21, CHOOSE({1,2}, 'S18 Operations'!$B$2:$B$534&amp;"-"&amp;'S18 Operations'!$D$2:$D$534, 'S18 Operations'!$C$2:$C$534), 2, 0), "")</f>
        <v/>
      </c>
      <c r="U30" s="307" t="str" cm="1">
        <f t="array" ref="U30">IFERROR(VLOOKUP($A30&amp;"-"&amp;U$21, CHOOSE({1,2}, 'S18 Operations'!$B$2:$B$534&amp;"-"&amp;'S18 Operations'!$D$2:$D$534, 'S18 Operations'!$C$2:$C$534), 2, 0), "")</f>
        <v/>
      </c>
      <c r="V30" s="307" t="str" cm="1">
        <f t="array" ref="V30">IFERROR(VLOOKUP($A30&amp;"-"&amp;V$21, CHOOSE({1,2}, 'S18 Operations'!$B$2:$B$534&amp;"-"&amp;'S18 Operations'!$D$2:$D$534, 'S18 Operations'!$C$2:$C$534), 2, 0), "")</f>
        <v/>
      </c>
      <c r="W30" s="307" t="str" cm="1">
        <f t="array" ref="W30">IFERROR(VLOOKUP($A30&amp;"-"&amp;W$21, CHOOSE({1,2}, 'S18 Operations'!$B$2:$B$534&amp;"-"&amp;'S18 Operations'!$D$2:$D$534, 'S18 Operations'!$C$2:$C$534), 2, 0), "")</f>
        <v/>
      </c>
      <c r="X30" s="307" t="str" cm="1">
        <f t="array" ref="X30">IFERROR(VLOOKUP($A30&amp;"-"&amp;X$21, CHOOSE({1,2}, 'S18 Operations'!$B$2:$B$534&amp;"-"&amp;'S18 Operations'!$D$2:$D$534, 'S18 Operations'!$C$2:$C$534), 2, 0), "")</f>
        <v/>
      </c>
      <c r="Y30" s="307" cm="1">
        <f t="array" ref="Y30">IFERROR(VLOOKUP($A30&amp;"-"&amp;Y$21, CHOOSE({1,2}, 'S18 Operations'!$B$2:$B$534&amp;"-"&amp;'S18 Operations'!$D$2:$D$534, 'S18 Operations'!$C$2:$C$534), 2, 0), "")</f>
        <v>50</v>
      </c>
      <c r="Z30" s="307" t="str" cm="1">
        <f t="array" ref="Z30">IFERROR(VLOOKUP($A30&amp;"-"&amp;Z$21, CHOOSE({1,2}, 'S18 Operations'!$B$2:$B$534&amp;"-"&amp;'S18 Operations'!$D$2:$D$534, 'S18 Operations'!$C$2:$C$534), 2, 0), "")</f>
        <v/>
      </c>
      <c r="AA30" s="307" cm="1">
        <f t="array" ref="AA30">IFERROR(VLOOKUP($A30&amp;"-"&amp;AA$21, CHOOSE({1,2}, 'S18 Operations'!$B$2:$B$534&amp;"-"&amp;'S18 Operations'!$D$2:$D$534, 'S18 Operations'!$C$2:$C$534), 2, 0), "")</f>
        <v>60</v>
      </c>
    </row>
    <row r="31" spans="1:27">
      <c r="A31" s="306" t="str">
        <f>'S14 ABC Output'!A12</f>
        <v>I-069</v>
      </c>
      <c r="B31" s="307" cm="1">
        <f t="array" ref="B31">IFERROR(VLOOKUP($A31&amp;"-"&amp;B$21, CHOOSE({1,2}, 'S18 Operations'!$B$2:$B$534&amp;"-"&amp;'S18 Operations'!$D$2:$D$534, 'S18 Operations'!$C$2:$C$534), 2, 0), "")</f>
        <v>10</v>
      </c>
      <c r="C31" s="307" cm="1">
        <f t="array" ref="C31">IFERROR(VLOOKUP($A31&amp;"-"&amp;C$21, CHOOSE({1,2}, 'S18 Operations'!$B$2:$B$534&amp;"-"&amp;'S18 Operations'!$D$2:$D$534, 'S18 Operations'!$C$2:$C$534), 2, 0), "")</f>
        <v>20</v>
      </c>
      <c r="D31" s="307" t="str" cm="1">
        <f t="array" ref="D31">IFERROR(VLOOKUP($A31&amp;"-"&amp;D$21, CHOOSE({1,2}, 'S18 Operations'!$B$2:$B$534&amp;"-"&amp;'S18 Operations'!$D$2:$D$534, 'S18 Operations'!$C$2:$C$534), 2, 0), "")</f>
        <v/>
      </c>
      <c r="E31" s="307" t="str" cm="1">
        <f t="array" ref="E31">IFERROR(VLOOKUP($A31&amp;"-"&amp;E$21, CHOOSE({1,2}, 'S18 Operations'!$B$2:$B$534&amp;"-"&amp;'S18 Operations'!$D$2:$D$534, 'S18 Operations'!$C$2:$C$534), 2, 0), "")</f>
        <v/>
      </c>
      <c r="F31" s="307" t="str" cm="1">
        <f t="array" ref="F31">IFERROR(VLOOKUP($A31&amp;"-"&amp;F$21, CHOOSE({1,2}, 'S18 Operations'!$B$2:$B$534&amp;"-"&amp;'S18 Operations'!$D$2:$D$534, 'S18 Operations'!$C$2:$C$534), 2, 0), "")</f>
        <v/>
      </c>
      <c r="G31" s="307" t="str" cm="1">
        <f t="array" ref="G31">IFERROR(VLOOKUP($A31&amp;"-"&amp;G$21, CHOOSE({1,2}, 'S18 Operations'!$B$2:$B$534&amp;"-"&amp;'S18 Operations'!$D$2:$D$534, 'S18 Operations'!$C$2:$C$534), 2, 0), "")</f>
        <v/>
      </c>
      <c r="H31" s="307" t="str" cm="1">
        <f t="array" ref="H31">IFERROR(VLOOKUP($A31&amp;"-"&amp;H$21, CHOOSE({1,2}, 'S18 Operations'!$B$2:$B$534&amp;"-"&amp;'S18 Operations'!$D$2:$D$534, 'S18 Operations'!$C$2:$C$534), 2, 0), "")</f>
        <v/>
      </c>
      <c r="I31" s="307" t="str" cm="1">
        <f t="array" ref="I31">IFERROR(VLOOKUP($A31&amp;"-"&amp;I$21, CHOOSE({1,2}, 'S18 Operations'!$B$2:$B$534&amp;"-"&amp;'S18 Operations'!$D$2:$D$534, 'S18 Operations'!$C$2:$C$534), 2, 0), "")</f>
        <v/>
      </c>
      <c r="J31" s="307" cm="1">
        <f t="array" ref="J31">IFERROR(VLOOKUP($A31&amp;"-"&amp;J$21, CHOOSE({1,2}, 'S18 Operations'!$B$2:$B$534&amp;"-"&amp;'S18 Operations'!$D$2:$D$534, 'S18 Operations'!$C$2:$C$534), 2, 0), "")</f>
        <v>30</v>
      </c>
      <c r="K31" s="307" t="str" cm="1">
        <f t="array" ref="K31">IFERROR(VLOOKUP($A31&amp;"-"&amp;K$21, CHOOSE({1,2}, 'S18 Operations'!$B$2:$B$534&amp;"-"&amp;'S18 Operations'!$D$2:$D$534, 'S18 Operations'!$C$2:$C$534), 2, 0), "")</f>
        <v/>
      </c>
      <c r="L31" s="307" t="str" cm="1">
        <f t="array" ref="L31">IFERROR(VLOOKUP($A31&amp;"-"&amp;L$21, CHOOSE({1,2}, 'S18 Operations'!$B$2:$B$534&amp;"-"&amp;'S18 Operations'!$D$2:$D$534, 'S18 Operations'!$C$2:$C$534), 2, 0), "")</f>
        <v/>
      </c>
      <c r="M31" s="307" t="str" cm="1">
        <f t="array" ref="M31">IFERROR(VLOOKUP($A31&amp;"-"&amp;M$21, CHOOSE({1,2}, 'S18 Operations'!$B$2:$B$534&amp;"-"&amp;'S18 Operations'!$D$2:$D$534, 'S18 Operations'!$C$2:$C$534), 2, 0), "")</f>
        <v/>
      </c>
      <c r="N31" s="307" t="str" cm="1">
        <f t="array" ref="N31">IFERROR(VLOOKUP($A31&amp;"-"&amp;N$21, CHOOSE({1,2}, 'S18 Operations'!$B$2:$B$534&amp;"-"&amp;'S18 Operations'!$D$2:$D$534, 'S18 Operations'!$C$2:$C$534), 2, 0), "")</f>
        <v/>
      </c>
      <c r="O31" s="307" t="str" cm="1">
        <f t="array" ref="O31">IFERROR(VLOOKUP($A31&amp;"-"&amp;O$21, CHOOSE({1,2}, 'S18 Operations'!$B$2:$B$534&amp;"-"&amp;'S18 Operations'!$D$2:$D$534, 'S18 Operations'!$C$2:$C$534), 2, 0), "")</f>
        <v/>
      </c>
      <c r="P31" s="307" t="str" cm="1">
        <f t="array" ref="P31">IFERROR(VLOOKUP($A31&amp;"-"&amp;P$21, CHOOSE({1,2}, 'S18 Operations'!$B$2:$B$534&amp;"-"&amp;'S18 Operations'!$D$2:$D$534, 'S18 Operations'!$C$2:$C$534), 2, 0), "")</f>
        <v/>
      </c>
      <c r="Q31" s="307" cm="1">
        <f t="array" ref="Q31">IFERROR(VLOOKUP($A31&amp;"-"&amp;Q$21, CHOOSE({1,2}, 'S18 Operations'!$B$2:$B$534&amp;"-"&amp;'S18 Operations'!$D$2:$D$534, 'S18 Operations'!$C$2:$C$534), 2, 0), "")</f>
        <v>40</v>
      </c>
      <c r="R31" s="307" t="str" cm="1">
        <f t="array" ref="R31">IFERROR(VLOOKUP($A31&amp;"-"&amp;R$21, CHOOSE({1,2}, 'S18 Operations'!$B$2:$B$534&amp;"-"&amp;'S18 Operations'!$D$2:$D$534, 'S18 Operations'!$C$2:$C$534), 2, 0), "")</f>
        <v/>
      </c>
      <c r="S31" s="307" t="str" cm="1">
        <f t="array" ref="S31">IFERROR(VLOOKUP($A31&amp;"-"&amp;S$21, CHOOSE({1,2}, 'S18 Operations'!$B$2:$B$534&amp;"-"&amp;'S18 Operations'!$D$2:$D$534, 'S18 Operations'!$C$2:$C$534), 2, 0), "")</f>
        <v/>
      </c>
      <c r="T31" s="307" t="str" cm="1">
        <f t="array" ref="T31">IFERROR(VLOOKUP($A31&amp;"-"&amp;T$21, CHOOSE({1,2}, 'S18 Operations'!$B$2:$B$534&amp;"-"&amp;'S18 Operations'!$D$2:$D$534, 'S18 Operations'!$C$2:$C$534), 2, 0), "")</f>
        <v/>
      </c>
      <c r="U31" s="307" t="str" cm="1">
        <f t="array" ref="U31">IFERROR(VLOOKUP($A31&amp;"-"&amp;U$21, CHOOSE({1,2}, 'S18 Operations'!$B$2:$B$534&amp;"-"&amp;'S18 Operations'!$D$2:$D$534, 'S18 Operations'!$C$2:$C$534), 2, 0), "")</f>
        <v/>
      </c>
      <c r="V31" s="307" t="str" cm="1">
        <f t="array" ref="V31">IFERROR(VLOOKUP($A31&amp;"-"&amp;V$21, CHOOSE({1,2}, 'S18 Operations'!$B$2:$B$534&amp;"-"&amp;'S18 Operations'!$D$2:$D$534, 'S18 Operations'!$C$2:$C$534), 2, 0), "")</f>
        <v/>
      </c>
      <c r="W31" s="307" t="str" cm="1">
        <f t="array" ref="W31">IFERROR(VLOOKUP($A31&amp;"-"&amp;W$21, CHOOSE({1,2}, 'S18 Operations'!$B$2:$B$534&amp;"-"&amp;'S18 Operations'!$D$2:$D$534, 'S18 Operations'!$C$2:$C$534), 2, 0), "")</f>
        <v/>
      </c>
      <c r="X31" s="307" t="str" cm="1">
        <f t="array" ref="X31">IFERROR(VLOOKUP($A31&amp;"-"&amp;X$21, CHOOSE({1,2}, 'S18 Operations'!$B$2:$B$534&amp;"-"&amp;'S18 Operations'!$D$2:$D$534, 'S18 Operations'!$C$2:$C$534), 2, 0), "")</f>
        <v/>
      </c>
      <c r="Y31" s="307" cm="1">
        <f t="array" ref="Y31">IFERROR(VLOOKUP($A31&amp;"-"&amp;Y$21, CHOOSE({1,2}, 'S18 Operations'!$B$2:$B$534&amp;"-"&amp;'S18 Operations'!$D$2:$D$534, 'S18 Operations'!$C$2:$C$534), 2, 0), "")</f>
        <v>50</v>
      </c>
      <c r="Z31" s="307" t="str" cm="1">
        <f t="array" ref="Z31">IFERROR(VLOOKUP($A31&amp;"-"&amp;Z$21, CHOOSE({1,2}, 'S18 Operations'!$B$2:$B$534&amp;"-"&amp;'S18 Operations'!$D$2:$D$534, 'S18 Operations'!$C$2:$C$534), 2, 0), "")</f>
        <v/>
      </c>
      <c r="AA31" s="307" cm="1">
        <f t="array" ref="AA31">IFERROR(VLOOKUP($A31&amp;"-"&amp;AA$21, CHOOSE({1,2}, 'S18 Operations'!$B$2:$B$534&amp;"-"&amp;'S18 Operations'!$D$2:$D$534, 'S18 Operations'!$C$2:$C$534), 2, 0), "")</f>
        <v>60</v>
      </c>
    </row>
    <row r="32" spans="1:27">
      <c r="A32" s="306" t="str">
        <f>'S14 ABC Output'!A13</f>
        <v>I-070</v>
      </c>
      <c r="B32" s="307" cm="1">
        <f t="array" ref="B32">IFERROR(VLOOKUP($A32&amp;"-"&amp;B$21, CHOOSE({1,2}, 'S18 Operations'!$B$2:$B$534&amp;"-"&amp;'S18 Operations'!$D$2:$D$534, 'S18 Operations'!$C$2:$C$534), 2, 0), "")</f>
        <v>10</v>
      </c>
      <c r="C32" s="307" cm="1">
        <f t="array" ref="C32">IFERROR(VLOOKUP($A32&amp;"-"&amp;C$21, CHOOSE({1,2}, 'S18 Operations'!$B$2:$B$534&amp;"-"&amp;'S18 Operations'!$D$2:$D$534, 'S18 Operations'!$C$2:$C$534), 2, 0), "")</f>
        <v>20</v>
      </c>
      <c r="D32" s="307" t="str" cm="1">
        <f t="array" ref="D32">IFERROR(VLOOKUP($A32&amp;"-"&amp;D$21, CHOOSE({1,2}, 'S18 Operations'!$B$2:$B$534&amp;"-"&amp;'S18 Operations'!$D$2:$D$534, 'S18 Operations'!$C$2:$C$534), 2, 0), "")</f>
        <v/>
      </c>
      <c r="E32" s="307" t="str" cm="1">
        <f t="array" ref="E32">IFERROR(VLOOKUP($A32&amp;"-"&amp;E$21, CHOOSE({1,2}, 'S18 Operations'!$B$2:$B$534&amp;"-"&amp;'S18 Operations'!$D$2:$D$534, 'S18 Operations'!$C$2:$C$534), 2, 0), "")</f>
        <v/>
      </c>
      <c r="F32" s="307" t="str" cm="1">
        <f t="array" ref="F32">IFERROR(VLOOKUP($A32&amp;"-"&amp;F$21, CHOOSE({1,2}, 'S18 Operations'!$B$2:$B$534&amp;"-"&amp;'S18 Operations'!$D$2:$D$534, 'S18 Operations'!$C$2:$C$534), 2, 0), "")</f>
        <v/>
      </c>
      <c r="G32" s="307" t="str" cm="1">
        <f t="array" ref="G32">IFERROR(VLOOKUP($A32&amp;"-"&amp;G$21, CHOOSE({1,2}, 'S18 Operations'!$B$2:$B$534&amp;"-"&amp;'S18 Operations'!$D$2:$D$534, 'S18 Operations'!$C$2:$C$534), 2, 0), "")</f>
        <v/>
      </c>
      <c r="H32" s="307" t="str" cm="1">
        <f t="array" ref="H32">IFERROR(VLOOKUP($A32&amp;"-"&amp;H$21, CHOOSE({1,2}, 'S18 Operations'!$B$2:$B$534&amp;"-"&amp;'S18 Operations'!$D$2:$D$534, 'S18 Operations'!$C$2:$C$534), 2, 0), "")</f>
        <v/>
      </c>
      <c r="I32" s="307" t="str" cm="1">
        <f t="array" ref="I32">IFERROR(VLOOKUP($A32&amp;"-"&amp;I$21, CHOOSE({1,2}, 'S18 Operations'!$B$2:$B$534&amp;"-"&amp;'S18 Operations'!$D$2:$D$534, 'S18 Operations'!$C$2:$C$534), 2, 0), "")</f>
        <v/>
      </c>
      <c r="J32" s="307" cm="1">
        <f t="array" ref="J32">IFERROR(VLOOKUP($A32&amp;"-"&amp;J$21, CHOOSE({1,2}, 'S18 Operations'!$B$2:$B$534&amp;"-"&amp;'S18 Operations'!$D$2:$D$534, 'S18 Operations'!$C$2:$C$534), 2, 0), "")</f>
        <v>30</v>
      </c>
      <c r="K32" s="307" t="str" cm="1">
        <f t="array" ref="K32">IFERROR(VLOOKUP($A32&amp;"-"&amp;K$21, CHOOSE({1,2}, 'S18 Operations'!$B$2:$B$534&amp;"-"&amp;'S18 Operations'!$D$2:$D$534, 'S18 Operations'!$C$2:$C$534), 2, 0), "")</f>
        <v/>
      </c>
      <c r="L32" s="307" t="str" cm="1">
        <f t="array" ref="L32">IFERROR(VLOOKUP($A32&amp;"-"&amp;L$21, CHOOSE({1,2}, 'S18 Operations'!$B$2:$B$534&amp;"-"&amp;'S18 Operations'!$D$2:$D$534, 'S18 Operations'!$C$2:$C$534), 2, 0), "")</f>
        <v/>
      </c>
      <c r="M32" s="307" t="str" cm="1">
        <f t="array" ref="M32">IFERROR(VLOOKUP($A32&amp;"-"&amp;M$21, CHOOSE({1,2}, 'S18 Operations'!$B$2:$B$534&amp;"-"&amp;'S18 Operations'!$D$2:$D$534, 'S18 Operations'!$C$2:$C$534), 2, 0), "")</f>
        <v/>
      </c>
      <c r="N32" s="307" t="str" cm="1">
        <f t="array" ref="N32">IFERROR(VLOOKUP($A32&amp;"-"&amp;N$21, CHOOSE({1,2}, 'S18 Operations'!$B$2:$B$534&amp;"-"&amp;'S18 Operations'!$D$2:$D$534, 'S18 Operations'!$C$2:$C$534), 2, 0), "")</f>
        <v/>
      </c>
      <c r="O32" s="307" t="str" cm="1">
        <f t="array" ref="O32">IFERROR(VLOOKUP($A32&amp;"-"&amp;O$21, CHOOSE({1,2}, 'S18 Operations'!$B$2:$B$534&amp;"-"&amp;'S18 Operations'!$D$2:$D$534, 'S18 Operations'!$C$2:$C$534), 2, 0), "")</f>
        <v/>
      </c>
      <c r="P32" s="307" t="str" cm="1">
        <f t="array" ref="P32">IFERROR(VLOOKUP($A32&amp;"-"&amp;P$21, CHOOSE({1,2}, 'S18 Operations'!$B$2:$B$534&amp;"-"&amp;'S18 Operations'!$D$2:$D$534, 'S18 Operations'!$C$2:$C$534), 2, 0), "")</f>
        <v/>
      </c>
      <c r="Q32" s="307" cm="1">
        <f t="array" ref="Q32">IFERROR(VLOOKUP($A32&amp;"-"&amp;Q$21, CHOOSE({1,2}, 'S18 Operations'!$B$2:$B$534&amp;"-"&amp;'S18 Operations'!$D$2:$D$534, 'S18 Operations'!$C$2:$C$534), 2, 0), "")</f>
        <v>40</v>
      </c>
      <c r="R32" s="307" t="str" cm="1">
        <f t="array" ref="R32">IFERROR(VLOOKUP($A32&amp;"-"&amp;R$21, CHOOSE({1,2}, 'S18 Operations'!$B$2:$B$534&amp;"-"&amp;'S18 Operations'!$D$2:$D$534, 'S18 Operations'!$C$2:$C$534), 2, 0), "")</f>
        <v/>
      </c>
      <c r="S32" s="307" t="str" cm="1">
        <f t="array" ref="S32">IFERROR(VLOOKUP($A32&amp;"-"&amp;S$21, CHOOSE({1,2}, 'S18 Operations'!$B$2:$B$534&amp;"-"&amp;'S18 Operations'!$D$2:$D$534, 'S18 Operations'!$C$2:$C$534), 2, 0), "")</f>
        <v/>
      </c>
      <c r="T32" s="307" t="str" cm="1">
        <f t="array" ref="T32">IFERROR(VLOOKUP($A32&amp;"-"&amp;T$21, CHOOSE({1,2}, 'S18 Operations'!$B$2:$B$534&amp;"-"&amp;'S18 Operations'!$D$2:$D$534, 'S18 Operations'!$C$2:$C$534), 2, 0), "")</f>
        <v/>
      </c>
      <c r="U32" s="307" t="str" cm="1">
        <f t="array" ref="U32">IFERROR(VLOOKUP($A32&amp;"-"&amp;U$21, CHOOSE({1,2}, 'S18 Operations'!$B$2:$B$534&amp;"-"&amp;'S18 Operations'!$D$2:$D$534, 'S18 Operations'!$C$2:$C$534), 2, 0), "")</f>
        <v/>
      </c>
      <c r="V32" s="307" t="str" cm="1">
        <f t="array" ref="V32">IFERROR(VLOOKUP($A32&amp;"-"&amp;V$21, CHOOSE({1,2}, 'S18 Operations'!$B$2:$B$534&amp;"-"&amp;'S18 Operations'!$D$2:$D$534, 'S18 Operations'!$C$2:$C$534), 2, 0), "")</f>
        <v/>
      </c>
      <c r="W32" s="307" t="str" cm="1">
        <f t="array" ref="W32">IFERROR(VLOOKUP($A32&amp;"-"&amp;W$21, CHOOSE({1,2}, 'S18 Operations'!$B$2:$B$534&amp;"-"&amp;'S18 Operations'!$D$2:$D$534, 'S18 Operations'!$C$2:$C$534), 2, 0), "")</f>
        <v/>
      </c>
      <c r="X32" s="307" t="str" cm="1">
        <f t="array" ref="X32">IFERROR(VLOOKUP($A32&amp;"-"&amp;X$21, CHOOSE({1,2}, 'S18 Operations'!$B$2:$B$534&amp;"-"&amp;'S18 Operations'!$D$2:$D$534, 'S18 Operations'!$C$2:$C$534), 2, 0), "")</f>
        <v/>
      </c>
      <c r="Y32" s="307" cm="1">
        <f t="array" ref="Y32">IFERROR(VLOOKUP($A32&amp;"-"&amp;Y$21, CHOOSE({1,2}, 'S18 Operations'!$B$2:$B$534&amp;"-"&amp;'S18 Operations'!$D$2:$D$534, 'S18 Operations'!$C$2:$C$534), 2, 0), "")</f>
        <v>50</v>
      </c>
      <c r="Z32" s="307" t="str" cm="1">
        <f t="array" ref="Z32">IFERROR(VLOOKUP($A32&amp;"-"&amp;Z$21, CHOOSE({1,2}, 'S18 Operations'!$B$2:$B$534&amp;"-"&amp;'S18 Operations'!$D$2:$D$534, 'S18 Operations'!$C$2:$C$534), 2, 0), "")</f>
        <v/>
      </c>
      <c r="AA32" s="307" cm="1">
        <f t="array" ref="AA32">IFERROR(VLOOKUP($A32&amp;"-"&amp;AA$21, CHOOSE({1,2}, 'S18 Operations'!$B$2:$B$534&amp;"-"&amp;'S18 Operations'!$D$2:$D$534, 'S18 Operations'!$C$2:$C$534), 2, 0), "")</f>
        <v>60</v>
      </c>
    </row>
    <row r="33" spans="1:27">
      <c r="A33" s="306" t="str">
        <f>'S14 ABC Output'!A14</f>
        <v>I-006</v>
      </c>
      <c r="B33" s="307" cm="1">
        <f t="array" ref="B33">IFERROR(VLOOKUP($A33&amp;"-"&amp;B$21, CHOOSE({1,2}, 'S18 Operations'!$B$2:$B$534&amp;"-"&amp;'S18 Operations'!$D$2:$D$534, 'S18 Operations'!$C$2:$C$534), 2, 0), "")</f>
        <v>10</v>
      </c>
      <c r="C33" s="307" t="str" cm="1">
        <f t="array" ref="C33">IFERROR(VLOOKUP($A33&amp;"-"&amp;C$21, CHOOSE({1,2}, 'S18 Operations'!$B$2:$B$534&amp;"-"&amp;'S18 Operations'!$D$2:$D$534, 'S18 Operations'!$C$2:$C$534), 2, 0), "")</f>
        <v/>
      </c>
      <c r="D33" s="307" t="str" cm="1">
        <f t="array" ref="D33">IFERROR(VLOOKUP($A33&amp;"-"&amp;D$21, CHOOSE({1,2}, 'S18 Operations'!$B$2:$B$534&amp;"-"&amp;'S18 Operations'!$D$2:$D$534, 'S18 Operations'!$C$2:$C$534), 2, 0), "")</f>
        <v/>
      </c>
      <c r="E33" s="307" cm="1">
        <f t="array" ref="E33">IFERROR(VLOOKUP($A33&amp;"-"&amp;E$21, CHOOSE({1,2}, 'S18 Operations'!$B$2:$B$534&amp;"-"&amp;'S18 Operations'!$D$2:$D$534, 'S18 Operations'!$C$2:$C$534), 2, 0), "")</f>
        <v>20</v>
      </c>
      <c r="F33" s="307" cm="1">
        <f t="array" ref="F33">IFERROR(VLOOKUP($A33&amp;"-"&amp;F$21, CHOOSE({1,2}, 'S18 Operations'!$B$2:$B$534&amp;"-"&amp;'S18 Operations'!$D$2:$D$534, 'S18 Operations'!$C$2:$C$534), 2, 0), "")</f>
        <v>30</v>
      </c>
      <c r="G33" s="307" t="str" cm="1">
        <f t="array" ref="G33">IFERROR(VLOOKUP($A33&amp;"-"&amp;G$21, CHOOSE({1,2}, 'S18 Operations'!$B$2:$B$534&amp;"-"&amp;'S18 Operations'!$D$2:$D$534, 'S18 Operations'!$C$2:$C$534), 2, 0), "")</f>
        <v/>
      </c>
      <c r="H33" s="307" t="str" cm="1">
        <f t="array" ref="H33">IFERROR(VLOOKUP($A33&amp;"-"&amp;H$21, CHOOSE({1,2}, 'S18 Operations'!$B$2:$B$534&amp;"-"&amp;'S18 Operations'!$D$2:$D$534, 'S18 Operations'!$C$2:$C$534), 2, 0), "")</f>
        <v/>
      </c>
      <c r="I33" s="307" t="str" cm="1">
        <f t="array" ref="I33">IFERROR(VLOOKUP($A33&amp;"-"&amp;I$21, CHOOSE({1,2}, 'S18 Operations'!$B$2:$B$534&amp;"-"&amp;'S18 Operations'!$D$2:$D$534, 'S18 Operations'!$C$2:$C$534), 2, 0), "")</f>
        <v/>
      </c>
      <c r="J33" s="307" t="str" cm="1">
        <f t="array" ref="J33">IFERROR(VLOOKUP($A33&amp;"-"&amp;J$21, CHOOSE({1,2}, 'S18 Operations'!$B$2:$B$534&amp;"-"&amp;'S18 Operations'!$D$2:$D$534, 'S18 Operations'!$C$2:$C$534), 2, 0), "")</f>
        <v/>
      </c>
      <c r="K33" s="307" t="str" cm="1">
        <f t="array" ref="K33">IFERROR(VLOOKUP($A33&amp;"-"&amp;K$21, CHOOSE({1,2}, 'S18 Operations'!$B$2:$B$534&amp;"-"&amp;'S18 Operations'!$D$2:$D$534, 'S18 Operations'!$C$2:$C$534), 2, 0), "")</f>
        <v/>
      </c>
      <c r="L33" s="307" cm="1">
        <f t="array" ref="L33">IFERROR(VLOOKUP($A33&amp;"-"&amp;L$21, CHOOSE({1,2}, 'S18 Operations'!$B$2:$B$534&amp;"-"&amp;'S18 Operations'!$D$2:$D$534, 'S18 Operations'!$C$2:$C$534), 2, 0), "")</f>
        <v>40</v>
      </c>
      <c r="M33" s="307" t="str" cm="1">
        <f t="array" ref="M33">IFERROR(VLOOKUP($A33&amp;"-"&amp;M$21, CHOOSE({1,2}, 'S18 Operations'!$B$2:$B$534&amp;"-"&amp;'S18 Operations'!$D$2:$D$534, 'S18 Operations'!$C$2:$C$534), 2, 0), "")</f>
        <v/>
      </c>
      <c r="N33" s="307" t="str" cm="1">
        <f t="array" ref="N33">IFERROR(VLOOKUP($A33&amp;"-"&amp;N$21, CHOOSE({1,2}, 'S18 Operations'!$B$2:$B$534&amp;"-"&amp;'S18 Operations'!$D$2:$D$534, 'S18 Operations'!$C$2:$C$534), 2, 0), "")</f>
        <v/>
      </c>
      <c r="O33" s="307" t="str" cm="1">
        <f t="array" ref="O33">IFERROR(VLOOKUP($A33&amp;"-"&amp;O$21, CHOOSE({1,2}, 'S18 Operations'!$B$2:$B$534&amp;"-"&amp;'S18 Operations'!$D$2:$D$534, 'S18 Operations'!$C$2:$C$534), 2, 0), "")</f>
        <v/>
      </c>
      <c r="P33" s="307" cm="1">
        <f t="array" ref="P33">IFERROR(VLOOKUP($A33&amp;"-"&amp;P$21, CHOOSE({1,2}, 'S18 Operations'!$B$2:$B$534&amp;"-"&amp;'S18 Operations'!$D$2:$D$534, 'S18 Operations'!$C$2:$C$534), 2, 0), "")</f>
        <v>50</v>
      </c>
      <c r="Q33" s="307" t="str" cm="1">
        <f t="array" ref="Q33">IFERROR(VLOOKUP($A33&amp;"-"&amp;Q$21, CHOOSE({1,2}, 'S18 Operations'!$B$2:$B$534&amp;"-"&amp;'S18 Operations'!$D$2:$D$534, 'S18 Operations'!$C$2:$C$534), 2, 0), "")</f>
        <v/>
      </c>
      <c r="R33" s="307" t="str" cm="1">
        <f t="array" ref="R33">IFERROR(VLOOKUP($A33&amp;"-"&amp;R$21, CHOOSE({1,2}, 'S18 Operations'!$B$2:$B$534&amp;"-"&amp;'S18 Operations'!$D$2:$D$534, 'S18 Operations'!$C$2:$C$534), 2, 0), "")</f>
        <v/>
      </c>
      <c r="S33" s="307" t="str" cm="1">
        <f t="array" ref="S33">IFERROR(VLOOKUP($A33&amp;"-"&amp;S$21, CHOOSE({1,2}, 'S18 Operations'!$B$2:$B$534&amp;"-"&amp;'S18 Operations'!$D$2:$D$534, 'S18 Operations'!$C$2:$C$534), 2, 0), "")</f>
        <v/>
      </c>
      <c r="T33" s="307" t="str" cm="1">
        <f t="array" ref="T33">IFERROR(VLOOKUP($A33&amp;"-"&amp;T$21, CHOOSE({1,2}, 'S18 Operations'!$B$2:$B$534&amp;"-"&amp;'S18 Operations'!$D$2:$D$534, 'S18 Operations'!$C$2:$C$534), 2, 0), "")</f>
        <v/>
      </c>
      <c r="U33" s="307" t="str" cm="1">
        <f t="array" ref="U33">IFERROR(VLOOKUP($A33&amp;"-"&amp;U$21, CHOOSE({1,2}, 'S18 Operations'!$B$2:$B$534&amp;"-"&amp;'S18 Operations'!$D$2:$D$534, 'S18 Operations'!$C$2:$C$534), 2, 0), "")</f>
        <v/>
      </c>
      <c r="V33" s="307" cm="1">
        <f t="array" ref="V33">IFERROR(VLOOKUP($A33&amp;"-"&amp;V$21, CHOOSE({1,2}, 'S18 Operations'!$B$2:$B$534&amp;"-"&amp;'S18 Operations'!$D$2:$D$534, 'S18 Operations'!$C$2:$C$534), 2, 0), "")</f>
        <v>60</v>
      </c>
      <c r="W33" s="307" t="str" cm="1">
        <f t="array" ref="W33">IFERROR(VLOOKUP($A33&amp;"-"&amp;W$21, CHOOSE({1,2}, 'S18 Operations'!$B$2:$B$534&amp;"-"&amp;'S18 Operations'!$D$2:$D$534, 'S18 Operations'!$C$2:$C$534), 2, 0), "")</f>
        <v/>
      </c>
      <c r="X33" s="307" cm="1">
        <f t="array" ref="X33">IFERROR(VLOOKUP($A33&amp;"-"&amp;X$21, CHOOSE({1,2}, 'S18 Operations'!$B$2:$B$534&amp;"-"&amp;'S18 Operations'!$D$2:$D$534, 'S18 Operations'!$C$2:$C$534), 2, 0), "")</f>
        <v>70</v>
      </c>
      <c r="Y33" s="307" t="str" cm="1">
        <f t="array" ref="Y33">IFERROR(VLOOKUP($A33&amp;"-"&amp;Y$21, CHOOSE({1,2}, 'S18 Operations'!$B$2:$B$534&amp;"-"&amp;'S18 Operations'!$D$2:$D$534, 'S18 Operations'!$C$2:$C$534), 2, 0), "")</f>
        <v/>
      </c>
      <c r="Z33" s="307" t="str" cm="1">
        <f t="array" ref="Z33">IFERROR(VLOOKUP($A33&amp;"-"&amp;Z$21, CHOOSE({1,2}, 'S18 Operations'!$B$2:$B$534&amp;"-"&amp;'S18 Operations'!$D$2:$D$534, 'S18 Operations'!$C$2:$C$534), 2, 0), "")</f>
        <v/>
      </c>
      <c r="AA33" s="307" cm="1">
        <f t="array" ref="AA33">IFERROR(VLOOKUP($A33&amp;"-"&amp;AA$21, CHOOSE({1,2}, 'S18 Operations'!$B$2:$B$534&amp;"-"&amp;'S18 Operations'!$D$2:$D$534, 'S18 Operations'!$C$2:$C$534), 2, 0), "")</f>
        <v>80</v>
      </c>
    </row>
    <row r="34" spans="1:27">
      <c r="A34" s="306" t="str">
        <f>'S14 ABC Output'!A15</f>
        <v>I-073</v>
      </c>
      <c r="B34" s="307" cm="1">
        <f t="array" ref="B34">IFERROR(VLOOKUP($A34&amp;"-"&amp;B$21, CHOOSE({1,2}, 'S18 Operations'!$B$2:$B$534&amp;"-"&amp;'S18 Operations'!$D$2:$D$534, 'S18 Operations'!$C$2:$C$534), 2, 0), "")</f>
        <v>10</v>
      </c>
      <c r="C34" s="307" t="str" cm="1">
        <f t="array" ref="C34">IFERROR(VLOOKUP($A34&amp;"-"&amp;C$21, CHOOSE({1,2}, 'S18 Operations'!$B$2:$B$534&amp;"-"&amp;'S18 Operations'!$D$2:$D$534, 'S18 Operations'!$C$2:$C$534), 2, 0), "")</f>
        <v/>
      </c>
      <c r="D34" s="307" cm="1">
        <f t="array" ref="D34">IFERROR(VLOOKUP($A34&amp;"-"&amp;D$21, CHOOSE({1,2}, 'S18 Operations'!$B$2:$B$534&amp;"-"&amp;'S18 Operations'!$D$2:$D$534, 'S18 Operations'!$C$2:$C$534), 2, 0), "")</f>
        <v>20</v>
      </c>
      <c r="E34" s="307" t="str" cm="1">
        <f t="array" ref="E34">IFERROR(VLOOKUP($A34&amp;"-"&amp;E$21, CHOOSE({1,2}, 'S18 Operations'!$B$2:$B$534&amp;"-"&amp;'S18 Operations'!$D$2:$D$534, 'S18 Operations'!$C$2:$C$534), 2, 0), "")</f>
        <v/>
      </c>
      <c r="F34" s="307" t="str" cm="1">
        <f t="array" ref="F34">IFERROR(VLOOKUP($A34&amp;"-"&amp;F$21, CHOOSE({1,2}, 'S18 Operations'!$B$2:$B$534&amp;"-"&amp;'S18 Operations'!$D$2:$D$534, 'S18 Operations'!$C$2:$C$534), 2, 0), "")</f>
        <v/>
      </c>
      <c r="G34" s="307" t="str" cm="1">
        <f t="array" ref="G34">IFERROR(VLOOKUP($A34&amp;"-"&amp;G$21, CHOOSE({1,2}, 'S18 Operations'!$B$2:$B$534&amp;"-"&amp;'S18 Operations'!$D$2:$D$534, 'S18 Operations'!$C$2:$C$534), 2, 0), "")</f>
        <v/>
      </c>
      <c r="H34" s="307" cm="1">
        <f t="array" ref="H34">IFERROR(VLOOKUP($A34&amp;"-"&amp;H$21, CHOOSE({1,2}, 'S18 Operations'!$B$2:$B$534&amp;"-"&amp;'S18 Operations'!$D$2:$D$534, 'S18 Operations'!$C$2:$C$534), 2, 0), "")</f>
        <v>30</v>
      </c>
      <c r="I34" s="307" t="str" cm="1">
        <f t="array" ref="I34">IFERROR(VLOOKUP($A34&amp;"-"&amp;I$21, CHOOSE({1,2}, 'S18 Operations'!$B$2:$B$534&amp;"-"&amp;'S18 Operations'!$D$2:$D$534, 'S18 Operations'!$C$2:$C$534), 2, 0), "")</f>
        <v/>
      </c>
      <c r="J34" s="307" t="str" cm="1">
        <f t="array" ref="J34">IFERROR(VLOOKUP($A34&amp;"-"&amp;J$21, CHOOSE({1,2}, 'S18 Operations'!$B$2:$B$534&amp;"-"&amp;'S18 Operations'!$D$2:$D$534, 'S18 Operations'!$C$2:$C$534), 2, 0), "")</f>
        <v/>
      </c>
      <c r="K34" s="307" t="str" cm="1">
        <f t="array" ref="K34">IFERROR(VLOOKUP($A34&amp;"-"&amp;K$21, CHOOSE({1,2}, 'S18 Operations'!$B$2:$B$534&amp;"-"&amp;'S18 Operations'!$D$2:$D$534, 'S18 Operations'!$C$2:$C$534), 2, 0), "")</f>
        <v/>
      </c>
      <c r="L34" s="307" t="str" cm="1">
        <f t="array" ref="L34">IFERROR(VLOOKUP($A34&amp;"-"&amp;L$21, CHOOSE({1,2}, 'S18 Operations'!$B$2:$B$534&amp;"-"&amp;'S18 Operations'!$D$2:$D$534, 'S18 Operations'!$C$2:$C$534), 2, 0), "")</f>
        <v/>
      </c>
      <c r="M34" s="307" t="str" cm="1">
        <f t="array" ref="M34">IFERROR(VLOOKUP($A34&amp;"-"&amp;M$21, CHOOSE({1,2}, 'S18 Operations'!$B$2:$B$534&amp;"-"&amp;'S18 Operations'!$D$2:$D$534, 'S18 Operations'!$C$2:$C$534), 2, 0), "")</f>
        <v/>
      </c>
      <c r="N34" s="307" cm="1">
        <f t="array" ref="N34">IFERROR(VLOOKUP($A34&amp;"-"&amp;N$21, CHOOSE({1,2}, 'S18 Operations'!$B$2:$B$534&amp;"-"&amp;'S18 Operations'!$D$2:$D$534, 'S18 Operations'!$C$2:$C$534), 2, 0), "")</f>
        <v>40</v>
      </c>
      <c r="O34" s="307" t="str" cm="1">
        <f t="array" ref="O34">IFERROR(VLOOKUP($A34&amp;"-"&amp;O$21, CHOOSE({1,2}, 'S18 Operations'!$B$2:$B$534&amp;"-"&amp;'S18 Operations'!$D$2:$D$534, 'S18 Operations'!$C$2:$C$534), 2, 0), "")</f>
        <v/>
      </c>
      <c r="P34" s="307" t="str" cm="1">
        <f t="array" ref="P34">IFERROR(VLOOKUP($A34&amp;"-"&amp;P$21, CHOOSE({1,2}, 'S18 Operations'!$B$2:$B$534&amp;"-"&amp;'S18 Operations'!$D$2:$D$534, 'S18 Operations'!$C$2:$C$534), 2, 0), "")</f>
        <v/>
      </c>
      <c r="Q34" s="307" t="str" cm="1">
        <f t="array" ref="Q34">IFERROR(VLOOKUP($A34&amp;"-"&amp;Q$21, CHOOSE({1,2}, 'S18 Operations'!$B$2:$B$534&amp;"-"&amp;'S18 Operations'!$D$2:$D$534, 'S18 Operations'!$C$2:$C$534), 2, 0), "")</f>
        <v/>
      </c>
      <c r="R34" s="307" t="str" cm="1">
        <f t="array" ref="R34">IFERROR(VLOOKUP($A34&amp;"-"&amp;R$21, CHOOSE({1,2}, 'S18 Operations'!$B$2:$B$534&amp;"-"&amp;'S18 Operations'!$D$2:$D$534, 'S18 Operations'!$C$2:$C$534), 2, 0), "")</f>
        <v/>
      </c>
      <c r="S34" s="307" cm="1">
        <f t="array" ref="S34">IFERROR(VLOOKUP($A34&amp;"-"&amp;S$21, CHOOSE({1,2}, 'S18 Operations'!$B$2:$B$534&amp;"-"&amp;'S18 Operations'!$D$2:$D$534, 'S18 Operations'!$C$2:$C$534), 2, 0), "")</f>
        <v>50</v>
      </c>
      <c r="T34" s="307" t="str" cm="1">
        <f t="array" ref="T34">IFERROR(VLOOKUP($A34&amp;"-"&amp;T$21, CHOOSE({1,2}, 'S18 Operations'!$B$2:$B$534&amp;"-"&amp;'S18 Operations'!$D$2:$D$534, 'S18 Operations'!$C$2:$C$534), 2, 0), "")</f>
        <v/>
      </c>
      <c r="U34" s="307" cm="1">
        <f t="array" ref="U34">IFERROR(VLOOKUP($A34&amp;"-"&amp;U$21, CHOOSE({1,2}, 'S18 Operations'!$B$2:$B$534&amp;"-"&amp;'S18 Operations'!$D$2:$D$534, 'S18 Operations'!$C$2:$C$534), 2, 0), "")</f>
        <v>60</v>
      </c>
      <c r="V34" s="307" t="str" cm="1">
        <f t="array" ref="V34">IFERROR(VLOOKUP($A34&amp;"-"&amp;V$21, CHOOSE({1,2}, 'S18 Operations'!$B$2:$B$534&amp;"-"&amp;'S18 Operations'!$D$2:$D$534, 'S18 Operations'!$C$2:$C$534), 2, 0), "")</f>
        <v/>
      </c>
      <c r="W34" s="307" cm="1">
        <f t="array" ref="W34">IFERROR(VLOOKUP($A34&amp;"-"&amp;W$21, CHOOSE({1,2}, 'S18 Operations'!$B$2:$B$534&amp;"-"&amp;'S18 Operations'!$D$2:$D$534, 'S18 Operations'!$C$2:$C$534), 2, 0), "")</f>
        <v>70</v>
      </c>
      <c r="X34" s="307" t="str" cm="1">
        <f t="array" ref="X34">IFERROR(VLOOKUP($A34&amp;"-"&amp;X$21, CHOOSE({1,2}, 'S18 Operations'!$B$2:$B$534&amp;"-"&amp;'S18 Operations'!$D$2:$D$534, 'S18 Operations'!$C$2:$C$534), 2, 0), "")</f>
        <v/>
      </c>
      <c r="Y34" s="307" t="str" cm="1">
        <f t="array" ref="Y34">IFERROR(VLOOKUP($A34&amp;"-"&amp;Y$21, CHOOSE({1,2}, 'S18 Operations'!$B$2:$B$534&amp;"-"&amp;'S18 Operations'!$D$2:$D$534, 'S18 Operations'!$C$2:$C$534), 2, 0), "")</f>
        <v/>
      </c>
      <c r="Z34" s="307" t="str" cm="1">
        <f t="array" ref="Z34">IFERROR(VLOOKUP($A34&amp;"-"&amp;Z$21, CHOOSE({1,2}, 'S18 Operations'!$B$2:$B$534&amp;"-"&amp;'S18 Operations'!$D$2:$D$534, 'S18 Operations'!$C$2:$C$534), 2, 0), "")</f>
        <v/>
      </c>
      <c r="AA34" s="307" cm="1">
        <f t="array" ref="AA34">IFERROR(VLOOKUP($A34&amp;"-"&amp;AA$21, CHOOSE({1,2}, 'S18 Operations'!$B$2:$B$534&amp;"-"&amp;'S18 Operations'!$D$2:$D$534, 'S18 Operations'!$C$2:$C$534), 2, 0), "")</f>
        <v>80</v>
      </c>
    </row>
    <row r="35" spans="1:27">
      <c r="A35" s="306" t="str">
        <f>'S14 ABC Output'!A16</f>
        <v>I-071</v>
      </c>
      <c r="B35" s="307" cm="1">
        <f t="array" ref="B35">IFERROR(VLOOKUP($A35&amp;"-"&amp;B$21, CHOOSE({1,2}, 'S18 Operations'!$B$2:$B$534&amp;"-"&amp;'S18 Operations'!$D$2:$D$534, 'S18 Operations'!$C$2:$C$534), 2, 0), "")</f>
        <v>10</v>
      </c>
      <c r="C35" s="307" cm="1">
        <f t="array" ref="C35">IFERROR(VLOOKUP($A35&amp;"-"&amp;C$21, CHOOSE({1,2}, 'S18 Operations'!$B$2:$B$534&amp;"-"&amp;'S18 Operations'!$D$2:$D$534, 'S18 Operations'!$C$2:$C$534), 2, 0), "")</f>
        <v>20</v>
      </c>
      <c r="D35" s="307" t="str" cm="1">
        <f t="array" ref="D35">IFERROR(VLOOKUP($A35&amp;"-"&amp;D$21, CHOOSE({1,2}, 'S18 Operations'!$B$2:$B$534&amp;"-"&amp;'S18 Operations'!$D$2:$D$534, 'S18 Operations'!$C$2:$C$534), 2, 0), "")</f>
        <v/>
      </c>
      <c r="E35" s="307" t="str" cm="1">
        <f t="array" ref="E35">IFERROR(VLOOKUP($A35&amp;"-"&amp;E$21, CHOOSE({1,2}, 'S18 Operations'!$B$2:$B$534&amp;"-"&amp;'S18 Operations'!$D$2:$D$534, 'S18 Operations'!$C$2:$C$534), 2, 0), "")</f>
        <v/>
      </c>
      <c r="F35" s="307" t="str" cm="1">
        <f t="array" ref="F35">IFERROR(VLOOKUP($A35&amp;"-"&amp;F$21, CHOOSE({1,2}, 'S18 Operations'!$B$2:$B$534&amp;"-"&amp;'S18 Operations'!$D$2:$D$534, 'S18 Operations'!$C$2:$C$534), 2, 0), "")</f>
        <v/>
      </c>
      <c r="G35" s="307" t="str" cm="1">
        <f t="array" ref="G35">IFERROR(VLOOKUP($A35&amp;"-"&amp;G$21, CHOOSE({1,2}, 'S18 Operations'!$B$2:$B$534&amp;"-"&amp;'S18 Operations'!$D$2:$D$534, 'S18 Operations'!$C$2:$C$534), 2, 0), "")</f>
        <v/>
      </c>
      <c r="H35" s="307" t="str" cm="1">
        <f t="array" ref="H35">IFERROR(VLOOKUP($A35&amp;"-"&amp;H$21, CHOOSE({1,2}, 'S18 Operations'!$B$2:$B$534&amp;"-"&amp;'S18 Operations'!$D$2:$D$534, 'S18 Operations'!$C$2:$C$534), 2, 0), "")</f>
        <v/>
      </c>
      <c r="I35" s="307" t="str" cm="1">
        <f t="array" ref="I35">IFERROR(VLOOKUP($A35&amp;"-"&amp;I$21, CHOOSE({1,2}, 'S18 Operations'!$B$2:$B$534&amp;"-"&amp;'S18 Operations'!$D$2:$D$534, 'S18 Operations'!$C$2:$C$534), 2, 0), "")</f>
        <v/>
      </c>
      <c r="J35" s="307" cm="1">
        <f t="array" ref="J35">IFERROR(VLOOKUP($A35&amp;"-"&amp;J$21, CHOOSE({1,2}, 'S18 Operations'!$B$2:$B$534&amp;"-"&amp;'S18 Operations'!$D$2:$D$534, 'S18 Operations'!$C$2:$C$534), 2, 0), "")</f>
        <v>30</v>
      </c>
      <c r="K35" s="307" t="str" cm="1">
        <f t="array" ref="K35">IFERROR(VLOOKUP($A35&amp;"-"&amp;K$21, CHOOSE({1,2}, 'S18 Operations'!$B$2:$B$534&amp;"-"&amp;'S18 Operations'!$D$2:$D$534, 'S18 Operations'!$C$2:$C$534), 2, 0), "")</f>
        <v/>
      </c>
      <c r="L35" s="307" t="str" cm="1">
        <f t="array" ref="L35">IFERROR(VLOOKUP($A35&amp;"-"&amp;L$21, CHOOSE({1,2}, 'S18 Operations'!$B$2:$B$534&amp;"-"&amp;'S18 Operations'!$D$2:$D$534, 'S18 Operations'!$C$2:$C$534), 2, 0), "")</f>
        <v/>
      </c>
      <c r="M35" s="307" t="str" cm="1">
        <f t="array" ref="M35">IFERROR(VLOOKUP($A35&amp;"-"&amp;M$21, CHOOSE({1,2}, 'S18 Operations'!$B$2:$B$534&amp;"-"&amp;'S18 Operations'!$D$2:$D$534, 'S18 Operations'!$C$2:$C$534), 2, 0), "")</f>
        <v/>
      </c>
      <c r="N35" s="307" t="str" cm="1">
        <f t="array" ref="N35">IFERROR(VLOOKUP($A35&amp;"-"&amp;N$21, CHOOSE({1,2}, 'S18 Operations'!$B$2:$B$534&amp;"-"&amp;'S18 Operations'!$D$2:$D$534, 'S18 Operations'!$C$2:$C$534), 2, 0), "")</f>
        <v/>
      </c>
      <c r="O35" s="307" t="str" cm="1">
        <f t="array" ref="O35">IFERROR(VLOOKUP($A35&amp;"-"&amp;O$21, CHOOSE({1,2}, 'S18 Operations'!$B$2:$B$534&amp;"-"&amp;'S18 Operations'!$D$2:$D$534, 'S18 Operations'!$C$2:$C$534), 2, 0), "")</f>
        <v/>
      </c>
      <c r="P35" s="307" t="str" cm="1">
        <f t="array" ref="P35">IFERROR(VLOOKUP($A35&amp;"-"&amp;P$21, CHOOSE({1,2}, 'S18 Operations'!$B$2:$B$534&amp;"-"&amp;'S18 Operations'!$D$2:$D$534, 'S18 Operations'!$C$2:$C$534), 2, 0), "")</f>
        <v/>
      </c>
      <c r="Q35" s="307" cm="1">
        <f t="array" ref="Q35">IFERROR(VLOOKUP($A35&amp;"-"&amp;Q$21, CHOOSE({1,2}, 'S18 Operations'!$B$2:$B$534&amp;"-"&amp;'S18 Operations'!$D$2:$D$534, 'S18 Operations'!$C$2:$C$534), 2, 0), "")</f>
        <v>40</v>
      </c>
      <c r="R35" s="307" t="str" cm="1">
        <f t="array" ref="R35">IFERROR(VLOOKUP($A35&amp;"-"&amp;R$21, CHOOSE({1,2}, 'S18 Operations'!$B$2:$B$534&amp;"-"&amp;'S18 Operations'!$D$2:$D$534, 'S18 Operations'!$C$2:$C$534), 2, 0), "")</f>
        <v/>
      </c>
      <c r="S35" s="307" t="str" cm="1">
        <f t="array" ref="S35">IFERROR(VLOOKUP($A35&amp;"-"&amp;S$21, CHOOSE({1,2}, 'S18 Operations'!$B$2:$B$534&amp;"-"&amp;'S18 Operations'!$D$2:$D$534, 'S18 Operations'!$C$2:$C$534), 2, 0), "")</f>
        <v/>
      </c>
      <c r="T35" s="307" t="str" cm="1">
        <f t="array" ref="T35">IFERROR(VLOOKUP($A35&amp;"-"&amp;T$21, CHOOSE({1,2}, 'S18 Operations'!$B$2:$B$534&amp;"-"&amp;'S18 Operations'!$D$2:$D$534, 'S18 Operations'!$C$2:$C$534), 2, 0), "")</f>
        <v/>
      </c>
      <c r="U35" s="307" t="str" cm="1">
        <f t="array" ref="U35">IFERROR(VLOOKUP($A35&amp;"-"&amp;U$21, CHOOSE({1,2}, 'S18 Operations'!$B$2:$B$534&amp;"-"&amp;'S18 Operations'!$D$2:$D$534, 'S18 Operations'!$C$2:$C$534), 2, 0), "")</f>
        <v/>
      </c>
      <c r="V35" s="307" t="str" cm="1">
        <f t="array" ref="V35">IFERROR(VLOOKUP($A35&amp;"-"&amp;V$21, CHOOSE({1,2}, 'S18 Operations'!$B$2:$B$534&amp;"-"&amp;'S18 Operations'!$D$2:$D$534, 'S18 Operations'!$C$2:$C$534), 2, 0), "")</f>
        <v/>
      </c>
      <c r="W35" s="307" t="str" cm="1">
        <f t="array" ref="W35">IFERROR(VLOOKUP($A35&amp;"-"&amp;W$21, CHOOSE({1,2}, 'S18 Operations'!$B$2:$B$534&amp;"-"&amp;'S18 Operations'!$D$2:$D$534, 'S18 Operations'!$C$2:$C$534), 2, 0), "")</f>
        <v/>
      </c>
      <c r="X35" s="307" t="str" cm="1">
        <f t="array" ref="X35">IFERROR(VLOOKUP($A35&amp;"-"&amp;X$21, CHOOSE({1,2}, 'S18 Operations'!$B$2:$B$534&amp;"-"&amp;'S18 Operations'!$D$2:$D$534, 'S18 Operations'!$C$2:$C$534), 2, 0), "")</f>
        <v/>
      </c>
      <c r="Y35" s="307" cm="1">
        <f t="array" ref="Y35">IFERROR(VLOOKUP($A35&amp;"-"&amp;Y$21, CHOOSE({1,2}, 'S18 Operations'!$B$2:$B$534&amp;"-"&amp;'S18 Operations'!$D$2:$D$534, 'S18 Operations'!$C$2:$C$534), 2, 0), "")</f>
        <v>50</v>
      </c>
      <c r="Z35" s="307" t="str" cm="1">
        <f t="array" ref="Z35">IFERROR(VLOOKUP($A35&amp;"-"&amp;Z$21, CHOOSE({1,2}, 'S18 Operations'!$B$2:$B$534&amp;"-"&amp;'S18 Operations'!$D$2:$D$534, 'S18 Operations'!$C$2:$C$534), 2, 0), "")</f>
        <v/>
      </c>
      <c r="AA35" s="307" cm="1">
        <f t="array" ref="AA35">IFERROR(VLOOKUP($A35&amp;"-"&amp;AA$21, CHOOSE({1,2}, 'S18 Operations'!$B$2:$B$534&amp;"-"&amp;'S18 Operations'!$D$2:$D$534, 'S18 Operations'!$C$2:$C$534), 2, 0), "")</f>
        <v>60</v>
      </c>
    </row>
    <row r="36" spans="1:27">
      <c r="A36" s="306" t="str">
        <f>'S14 ABC Output'!A17</f>
        <v>I-007</v>
      </c>
      <c r="B36" s="307" cm="1">
        <f t="array" ref="B36">IFERROR(VLOOKUP($A36&amp;"-"&amp;B$21, CHOOSE({1,2}, 'S18 Operations'!$B$2:$B$534&amp;"-"&amp;'S18 Operations'!$D$2:$D$534, 'S18 Operations'!$C$2:$C$534), 2, 0), "")</f>
        <v>10</v>
      </c>
      <c r="C36" s="307" t="str" cm="1">
        <f t="array" ref="C36">IFERROR(VLOOKUP($A36&amp;"-"&amp;C$21, CHOOSE({1,2}, 'S18 Operations'!$B$2:$B$534&amp;"-"&amp;'S18 Operations'!$D$2:$D$534, 'S18 Operations'!$C$2:$C$534), 2, 0), "")</f>
        <v/>
      </c>
      <c r="D36" s="307" t="str" cm="1">
        <f t="array" ref="D36">IFERROR(VLOOKUP($A36&amp;"-"&amp;D$21, CHOOSE({1,2}, 'S18 Operations'!$B$2:$B$534&amp;"-"&amp;'S18 Operations'!$D$2:$D$534, 'S18 Operations'!$C$2:$C$534), 2, 0), "")</f>
        <v/>
      </c>
      <c r="E36" s="307" cm="1">
        <f t="array" ref="E36">IFERROR(VLOOKUP($A36&amp;"-"&amp;E$21, CHOOSE({1,2}, 'S18 Operations'!$B$2:$B$534&amp;"-"&amp;'S18 Operations'!$D$2:$D$534, 'S18 Operations'!$C$2:$C$534), 2, 0), "")</f>
        <v>20</v>
      </c>
      <c r="F36" s="307" cm="1">
        <f t="array" ref="F36">IFERROR(VLOOKUP($A36&amp;"-"&amp;F$21, CHOOSE({1,2}, 'S18 Operations'!$B$2:$B$534&amp;"-"&amp;'S18 Operations'!$D$2:$D$534, 'S18 Operations'!$C$2:$C$534), 2, 0), "")</f>
        <v>30</v>
      </c>
      <c r="G36" s="307" t="str" cm="1">
        <f t="array" ref="G36">IFERROR(VLOOKUP($A36&amp;"-"&amp;G$21, CHOOSE({1,2}, 'S18 Operations'!$B$2:$B$534&amp;"-"&amp;'S18 Operations'!$D$2:$D$534, 'S18 Operations'!$C$2:$C$534), 2, 0), "")</f>
        <v/>
      </c>
      <c r="H36" s="307" t="str" cm="1">
        <f t="array" ref="H36">IFERROR(VLOOKUP($A36&amp;"-"&amp;H$21, CHOOSE({1,2}, 'S18 Operations'!$B$2:$B$534&amp;"-"&amp;'S18 Operations'!$D$2:$D$534, 'S18 Operations'!$C$2:$C$534), 2, 0), "")</f>
        <v/>
      </c>
      <c r="I36" s="307" t="str" cm="1">
        <f t="array" ref="I36">IFERROR(VLOOKUP($A36&amp;"-"&amp;I$21, CHOOSE({1,2}, 'S18 Operations'!$B$2:$B$534&amp;"-"&amp;'S18 Operations'!$D$2:$D$534, 'S18 Operations'!$C$2:$C$534), 2, 0), "")</f>
        <v/>
      </c>
      <c r="J36" s="307" t="str" cm="1">
        <f t="array" ref="J36">IFERROR(VLOOKUP($A36&amp;"-"&amp;J$21, CHOOSE({1,2}, 'S18 Operations'!$B$2:$B$534&amp;"-"&amp;'S18 Operations'!$D$2:$D$534, 'S18 Operations'!$C$2:$C$534), 2, 0), "")</f>
        <v/>
      </c>
      <c r="K36" s="307" t="str" cm="1">
        <f t="array" ref="K36">IFERROR(VLOOKUP($A36&amp;"-"&amp;K$21, CHOOSE({1,2}, 'S18 Operations'!$B$2:$B$534&amp;"-"&amp;'S18 Operations'!$D$2:$D$534, 'S18 Operations'!$C$2:$C$534), 2, 0), "")</f>
        <v/>
      </c>
      <c r="L36" s="307" cm="1">
        <f t="array" ref="L36">IFERROR(VLOOKUP($A36&amp;"-"&amp;L$21, CHOOSE({1,2}, 'S18 Operations'!$B$2:$B$534&amp;"-"&amp;'S18 Operations'!$D$2:$D$534, 'S18 Operations'!$C$2:$C$534), 2, 0), "")</f>
        <v>40</v>
      </c>
      <c r="M36" s="307" t="str" cm="1">
        <f t="array" ref="M36">IFERROR(VLOOKUP($A36&amp;"-"&amp;M$21, CHOOSE({1,2}, 'S18 Operations'!$B$2:$B$534&amp;"-"&amp;'S18 Operations'!$D$2:$D$534, 'S18 Operations'!$C$2:$C$534), 2, 0), "")</f>
        <v/>
      </c>
      <c r="N36" s="307" t="str" cm="1">
        <f t="array" ref="N36">IFERROR(VLOOKUP($A36&amp;"-"&amp;N$21, CHOOSE({1,2}, 'S18 Operations'!$B$2:$B$534&amp;"-"&amp;'S18 Operations'!$D$2:$D$534, 'S18 Operations'!$C$2:$C$534), 2, 0), "")</f>
        <v/>
      </c>
      <c r="O36" s="307" t="str" cm="1">
        <f t="array" ref="O36">IFERROR(VLOOKUP($A36&amp;"-"&amp;O$21, CHOOSE({1,2}, 'S18 Operations'!$B$2:$B$534&amp;"-"&amp;'S18 Operations'!$D$2:$D$534, 'S18 Operations'!$C$2:$C$534), 2, 0), "")</f>
        <v/>
      </c>
      <c r="P36" s="307" cm="1">
        <f t="array" ref="P36">IFERROR(VLOOKUP($A36&amp;"-"&amp;P$21, CHOOSE({1,2}, 'S18 Operations'!$B$2:$B$534&amp;"-"&amp;'S18 Operations'!$D$2:$D$534, 'S18 Operations'!$C$2:$C$534), 2, 0), "")</f>
        <v>50</v>
      </c>
      <c r="Q36" s="307" t="str" cm="1">
        <f t="array" ref="Q36">IFERROR(VLOOKUP($A36&amp;"-"&amp;Q$21, CHOOSE({1,2}, 'S18 Operations'!$B$2:$B$534&amp;"-"&amp;'S18 Operations'!$D$2:$D$534, 'S18 Operations'!$C$2:$C$534), 2, 0), "")</f>
        <v/>
      </c>
      <c r="R36" s="307" t="str" cm="1">
        <f t="array" ref="R36">IFERROR(VLOOKUP($A36&amp;"-"&amp;R$21, CHOOSE({1,2}, 'S18 Operations'!$B$2:$B$534&amp;"-"&amp;'S18 Operations'!$D$2:$D$534, 'S18 Operations'!$C$2:$C$534), 2, 0), "")</f>
        <v/>
      </c>
      <c r="S36" s="307" t="str" cm="1">
        <f t="array" ref="S36">IFERROR(VLOOKUP($A36&amp;"-"&amp;S$21, CHOOSE({1,2}, 'S18 Operations'!$B$2:$B$534&amp;"-"&amp;'S18 Operations'!$D$2:$D$534, 'S18 Operations'!$C$2:$C$534), 2, 0), "")</f>
        <v/>
      </c>
      <c r="T36" s="307" t="str" cm="1">
        <f t="array" ref="T36">IFERROR(VLOOKUP($A36&amp;"-"&amp;T$21, CHOOSE({1,2}, 'S18 Operations'!$B$2:$B$534&amp;"-"&amp;'S18 Operations'!$D$2:$D$534, 'S18 Operations'!$C$2:$C$534), 2, 0), "")</f>
        <v/>
      </c>
      <c r="U36" s="307" t="str" cm="1">
        <f t="array" ref="U36">IFERROR(VLOOKUP($A36&amp;"-"&amp;U$21, CHOOSE({1,2}, 'S18 Operations'!$B$2:$B$534&amp;"-"&amp;'S18 Operations'!$D$2:$D$534, 'S18 Operations'!$C$2:$C$534), 2, 0), "")</f>
        <v/>
      </c>
      <c r="V36" s="307" cm="1">
        <f t="array" ref="V36">IFERROR(VLOOKUP($A36&amp;"-"&amp;V$21, CHOOSE({1,2}, 'S18 Operations'!$B$2:$B$534&amp;"-"&amp;'S18 Operations'!$D$2:$D$534, 'S18 Operations'!$C$2:$C$534), 2, 0), "")</f>
        <v>60</v>
      </c>
      <c r="W36" s="307" t="str" cm="1">
        <f t="array" ref="W36">IFERROR(VLOOKUP($A36&amp;"-"&amp;W$21, CHOOSE({1,2}, 'S18 Operations'!$B$2:$B$534&amp;"-"&amp;'S18 Operations'!$D$2:$D$534, 'S18 Operations'!$C$2:$C$534), 2, 0), "")</f>
        <v/>
      </c>
      <c r="X36" s="307" cm="1">
        <f t="array" ref="X36">IFERROR(VLOOKUP($A36&amp;"-"&amp;X$21, CHOOSE({1,2}, 'S18 Operations'!$B$2:$B$534&amp;"-"&amp;'S18 Operations'!$D$2:$D$534, 'S18 Operations'!$C$2:$C$534), 2, 0), "")</f>
        <v>70</v>
      </c>
      <c r="Y36" s="307" t="str" cm="1">
        <f t="array" ref="Y36">IFERROR(VLOOKUP($A36&amp;"-"&amp;Y$21, CHOOSE({1,2}, 'S18 Operations'!$B$2:$B$534&amp;"-"&amp;'S18 Operations'!$D$2:$D$534, 'S18 Operations'!$C$2:$C$534), 2, 0), "")</f>
        <v/>
      </c>
      <c r="Z36" s="307" t="str" cm="1">
        <f t="array" ref="Z36">IFERROR(VLOOKUP($A36&amp;"-"&amp;Z$21, CHOOSE({1,2}, 'S18 Operations'!$B$2:$B$534&amp;"-"&amp;'S18 Operations'!$D$2:$D$534, 'S18 Operations'!$C$2:$C$534), 2, 0), "")</f>
        <v/>
      </c>
      <c r="AA36" s="307" cm="1">
        <f t="array" ref="AA36">IFERROR(VLOOKUP($A36&amp;"-"&amp;AA$21, CHOOSE({1,2}, 'S18 Operations'!$B$2:$B$534&amp;"-"&amp;'S18 Operations'!$D$2:$D$534, 'S18 Operations'!$C$2:$C$534), 2, 0), "")</f>
        <v>80</v>
      </c>
    </row>
    <row r="37" spans="1:27">
      <c r="A37" s="306" t="str">
        <f>'S14 ABC Output'!A18</f>
        <v>I-074</v>
      </c>
      <c r="B37" s="307" cm="1">
        <f t="array" ref="B37">IFERROR(VLOOKUP($A37&amp;"-"&amp;B$21, CHOOSE({1,2}, 'S18 Operations'!$B$2:$B$534&amp;"-"&amp;'S18 Operations'!$D$2:$D$534, 'S18 Operations'!$C$2:$C$534), 2, 0), "")</f>
        <v>10</v>
      </c>
      <c r="C37" s="307" t="str" cm="1">
        <f t="array" ref="C37">IFERROR(VLOOKUP($A37&amp;"-"&amp;C$21, CHOOSE({1,2}, 'S18 Operations'!$B$2:$B$534&amp;"-"&amp;'S18 Operations'!$D$2:$D$534, 'S18 Operations'!$C$2:$C$534), 2, 0), "")</f>
        <v/>
      </c>
      <c r="D37" s="307" cm="1">
        <f t="array" ref="D37">IFERROR(VLOOKUP($A37&amp;"-"&amp;D$21, CHOOSE({1,2}, 'S18 Operations'!$B$2:$B$534&amp;"-"&amp;'S18 Operations'!$D$2:$D$534, 'S18 Operations'!$C$2:$C$534), 2, 0), "")</f>
        <v>20</v>
      </c>
      <c r="E37" s="307" t="str" cm="1">
        <f t="array" ref="E37">IFERROR(VLOOKUP($A37&amp;"-"&amp;E$21, CHOOSE({1,2}, 'S18 Operations'!$B$2:$B$534&amp;"-"&amp;'S18 Operations'!$D$2:$D$534, 'S18 Operations'!$C$2:$C$534), 2, 0), "")</f>
        <v/>
      </c>
      <c r="F37" s="307" t="str" cm="1">
        <f t="array" ref="F37">IFERROR(VLOOKUP($A37&amp;"-"&amp;F$21, CHOOSE({1,2}, 'S18 Operations'!$B$2:$B$534&amp;"-"&amp;'S18 Operations'!$D$2:$D$534, 'S18 Operations'!$C$2:$C$534), 2, 0), "")</f>
        <v/>
      </c>
      <c r="G37" s="307" t="str" cm="1">
        <f t="array" ref="G37">IFERROR(VLOOKUP($A37&amp;"-"&amp;G$21, CHOOSE({1,2}, 'S18 Operations'!$B$2:$B$534&amp;"-"&amp;'S18 Operations'!$D$2:$D$534, 'S18 Operations'!$C$2:$C$534), 2, 0), "")</f>
        <v/>
      </c>
      <c r="H37" s="307" cm="1">
        <f t="array" ref="H37">IFERROR(VLOOKUP($A37&amp;"-"&amp;H$21, CHOOSE({1,2}, 'S18 Operations'!$B$2:$B$534&amp;"-"&amp;'S18 Operations'!$D$2:$D$534, 'S18 Operations'!$C$2:$C$534), 2, 0), "")</f>
        <v>30</v>
      </c>
      <c r="I37" s="307" t="str" cm="1">
        <f t="array" ref="I37">IFERROR(VLOOKUP($A37&amp;"-"&amp;I$21, CHOOSE({1,2}, 'S18 Operations'!$B$2:$B$534&amp;"-"&amp;'S18 Operations'!$D$2:$D$534, 'S18 Operations'!$C$2:$C$534), 2, 0), "")</f>
        <v/>
      </c>
      <c r="J37" s="307" t="str" cm="1">
        <f t="array" ref="J37">IFERROR(VLOOKUP($A37&amp;"-"&amp;J$21, CHOOSE({1,2}, 'S18 Operations'!$B$2:$B$534&amp;"-"&amp;'S18 Operations'!$D$2:$D$534, 'S18 Operations'!$C$2:$C$534), 2, 0), "")</f>
        <v/>
      </c>
      <c r="K37" s="307" t="str" cm="1">
        <f t="array" ref="K37">IFERROR(VLOOKUP($A37&amp;"-"&amp;K$21, CHOOSE({1,2}, 'S18 Operations'!$B$2:$B$534&amp;"-"&amp;'S18 Operations'!$D$2:$D$534, 'S18 Operations'!$C$2:$C$534), 2, 0), "")</f>
        <v/>
      </c>
      <c r="L37" s="307" t="str" cm="1">
        <f t="array" ref="L37">IFERROR(VLOOKUP($A37&amp;"-"&amp;L$21, CHOOSE({1,2}, 'S18 Operations'!$B$2:$B$534&amp;"-"&amp;'S18 Operations'!$D$2:$D$534, 'S18 Operations'!$C$2:$C$534), 2, 0), "")</f>
        <v/>
      </c>
      <c r="M37" s="307" t="str" cm="1">
        <f t="array" ref="M37">IFERROR(VLOOKUP($A37&amp;"-"&amp;M$21, CHOOSE({1,2}, 'S18 Operations'!$B$2:$B$534&amp;"-"&amp;'S18 Operations'!$D$2:$D$534, 'S18 Operations'!$C$2:$C$534), 2, 0), "")</f>
        <v/>
      </c>
      <c r="N37" s="307" cm="1">
        <f t="array" ref="N37">IFERROR(VLOOKUP($A37&amp;"-"&amp;N$21, CHOOSE({1,2}, 'S18 Operations'!$B$2:$B$534&amp;"-"&amp;'S18 Operations'!$D$2:$D$534, 'S18 Operations'!$C$2:$C$534), 2, 0), "")</f>
        <v>40</v>
      </c>
      <c r="O37" s="307" t="str" cm="1">
        <f t="array" ref="O37">IFERROR(VLOOKUP($A37&amp;"-"&amp;O$21, CHOOSE({1,2}, 'S18 Operations'!$B$2:$B$534&amp;"-"&amp;'S18 Operations'!$D$2:$D$534, 'S18 Operations'!$C$2:$C$534), 2, 0), "")</f>
        <v/>
      </c>
      <c r="P37" s="307" t="str" cm="1">
        <f t="array" ref="P37">IFERROR(VLOOKUP($A37&amp;"-"&amp;P$21, CHOOSE({1,2}, 'S18 Operations'!$B$2:$B$534&amp;"-"&amp;'S18 Operations'!$D$2:$D$534, 'S18 Operations'!$C$2:$C$534), 2, 0), "")</f>
        <v/>
      </c>
      <c r="Q37" s="307" t="str" cm="1">
        <f t="array" ref="Q37">IFERROR(VLOOKUP($A37&amp;"-"&amp;Q$21, CHOOSE({1,2}, 'S18 Operations'!$B$2:$B$534&amp;"-"&amp;'S18 Operations'!$D$2:$D$534, 'S18 Operations'!$C$2:$C$534), 2, 0), "")</f>
        <v/>
      </c>
      <c r="R37" s="307" t="str" cm="1">
        <f t="array" ref="R37">IFERROR(VLOOKUP($A37&amp;"-"&amp;R$21, CHOOSE({1,2}, 'S18 Operations'!$B$2:$B$534&amp;"-"&amp;'S18 Operations'!$D$2:$D$534, 'S18 Operations'!$C$2:$C$534), 2, 0), "")</f>
        <v/>
      </c>
      <c r="S37" s="307" cm="1">
        <f t="array" ref="S37">IFERROR(VLOOKUP($A37&amp;"-"&amp;S$21, CHOOSE({1,2}, 'S18 Operations'!$B$2:$B$534&amp;"-"&amp;'S18 Operations'!$D$2:$D$534, 'S18 Operations'!$C$2:$C$534), 2, 0), "")</f>
        <v>50</v>
      </c>
      <c r="T37" s="307" t="str" cm="1">
        <f t="array" ref="T37">IFERROR(VLOOKUP($A37&amp;"-"&amp;T$21, CHOOSE({1,2}, 'S18 Operations'!$B$2:$B$534&amp;"-"&amp;'S18 Operations'!$D$2:$D$534, 'S18 Operations'!$C$2:$C$534), 2, 0), "")</f>
        <v/>
      </c>
      <c r="U37" s="307" cm="1">
        <f t="array" ref="U37">IFERROR(VLOOKUP($A37&amp;"-"&amp;U$21, CHOOSE({1,2}, 'S18 Operations'!$B$2:$B$534&amp;"-"&amp;'S18 Operations'!$D$2:$D$534, 'S18 Operations'!$C$2:$C$534), 2, 0), "")</f>
        <v>60</v>
      </c>
      <c r="V37" s="307" t="str" cm="1">
        <f t="array" ref="V37">IFERROR(VLOOKUP($A37&amp;"-"&amp;V$21, CHOOSE({1,2}, 'S18 Operations'!$B$2:$B$534&amp;"-"&amp;'S18 Operations'!$D$2:$D$534, 'S18 Operations'!$C$2:$C$534), 2, 0), "")</f>
        <v/>
      </c>
      <c r="W37" s="307" cm="1">
        <f t="array" ref="W37">IFERROR(VLOOKUP($A37&amp;"-"&amp;W$21, CHOOSE({1,2}, 'S18 Operations'!$B$2:$B$534&amp;"-"&amp;'S18 Operations'!$D$2:$D$534, 'S18 Operations'!$C$2:$C$534), 2, 0), "")</f>
        <v>70</v>
      </c>
      <c r="X37" s="307" t="str" cm="1">
        <f t="array" ref="X37">IFERROR(VLOOKUP($A37&amp;"-"&amp;X$21, CHOOSE({1,2}, 'S18 Operations'!$B$2:$B$534&amp;"-"&amp;'S18 Operations'!$D$2:$D$534, 'S18 Operations'!$C$2:$C$534), 2, 0), "")</f>
        <v/>
      </c>
      <c r="Y37" s="307" t="str" cm="1">
        <f t="array" ref="Y37">IFERROR(VLOOKUP($A37&amp;"-"&amp;Y$21, CHOOSE({1,2}, 'S18 Operations'!$B$2:$B$534&amp;"-"&amp;'S18 Operations'!$D$2:$D$534, 'S18 Operations'!$C$2:$C$534), 2, 0), "")</f>
        <v/>
      </c>
      <c r="Z37" s="307" t="str" cm="1">
        <f t="array" ref="Z37">IFERROR(VLOOKUP($A37&amp;"-"&amp;Z$21, CHOOSE({1,2}, 'S18 Operations'!$B$2:$B$534&amp;"-"&amp;'S18 Operations'!$D$2:$D$534, 'S18 Operations'!$C$2:$C$534), 2, 0), "")</f>
        <v/>
      </c>
      <c r="AA37" s="307" cm="1">
        <f t="array" ref="AA37">IFERROR(VLOOKUP($A37&amp;"-"&amp;AA$21, CHOOSE({1,2}, 'S18 Operations'!$B$2:$B$534&amp;"-"&amp;'S18 Operations'!$D$2:$D$534, 'S18 Operations'!$C$2:$C$534), 2, 0), "")</f>
        <v>80</v>
      </c>
    </row>
  </sheetData>
  <mergeCells count="12">
    <mergeCell ref="W20:Y20"/>
    <mergeCell ref="C1:E1"/>
    <mergeCell ref="F1:H1"/>
    <mergeCell ref="I1:P1"/>
    <mergeCell ref="Q1:T1"/>
    <mergeCell ref="U1:V1"/>
    <mergeCell ref="W1:Y1"/>
    <mergeCell ref="C20:E20"/>
    <mergeCell ref="F20:H20"/>
    <mergeCell ref="I20:P20"/>
    <mergeCell ref="Q20:T20"/>
    <mergeCell ref="U20:V20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14.Sorting_Matrix">
                <anchor moveWithCells="1" sizeWithCells="1">
                  <from>
                    <xdr:col>27</xdr:col>
                    <xdr:colOff>254000</xdr:colOff>
                    <xdr:row>1</xdr:row>
                    <xdr:rowOff>12700</xdr:rowOff>
                  </from>
                  <to>
                    <xdr:col>28</xdr:col>
                    <xdr:colOff>431800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499C6-1F71-A749-97C6-18331125C84E}">
  <sheetPr codeName="Sheet15"/>
  <dimension ref="A1:I18"/>
  <sheetViews>
    <sheetView tabSelected="1" zoomScale="150" zoomScaleNormal="150" workbookViewId="0">
      <selection activeCell="B2" sqref="B2:I18"/>
    </sheetView>
  </sheetViews>
  <sheetFormatPr defaultColWidth="11" defaultRowHeight="15.5"/>
  <cols>
    <col min="1" max="1" width="11" style="65"/>
  </cols>
  <sheetData>
    <row r="1" spans="1:9" s="258" customFormat="1" ht="16" thickBot="1">
      <c r="B1" s="441" t="s">
        <v>1117</v>
      </c>
      <c r="C1" s="442"/>
      <c r="D1" s="442"/>
      <c r="E1" s="442"/>
      <c r="F1" s="442"/>
      <c r="G1" s="442"/>
      <c r="H1" s="442"/>
      <c r="I1" s="443"/>
    </row>
    <row r="2" spans="1:9" s="258" customFormat="1" ht="16" thickBot="1">
      <c r="A2" s="308" t="s">
        <v>505</v>
      </c>
      <c r="B2" s="302">
        <v>10</v>
      </c>
      <c r="C2" s="303">
        <v>20</v>
      </c>
      <c r="D2" s="303">
        <v>30</v>
      </c>
      <c r="E2" s="303">
        <v>40</v>
      </c>
      <c r="F2" s="303">
        <v>50</v>
      </c>
      <c r="G2" s="303">
        <v>60</v>
      </c>
      <c r="H2" s="303">
        <v>70</v>
      </c>
      <c r="I2" s="304">
        <v>80</v>
      </c>
    </row>
    <row r="3" spans="1:9" s="257" customFormat="1">
      <c r="A3" s="309" t="str">
        <f>'S20 Clustering'!A3</f>
        <v>I-004</v>
      </c>
      <c r="B3" s="310" t="str" cm="1">
        <f t="array" ref="B3">IFERROR(VLOOKUP($A3&amp;"-"&amp;B$2, CHOOSE({1,2}, 'S18 Operations'!$B$2:$B$534&amp;"-"&amp;'S18 Operations'!$C$2:$C$534, 'S18 Operations'!$D$2:$D$534), 2, 0), "")</f>
        <v>WS-43</v>
      </c>
      <c r="C3" s="310" t="str" cm="1">
        <f t="array" ref="C3">IFERROR(VLOOKUP($A3&amp;"-"&amp;C$2, CHOOSE({1,2}, 'S18 Operations'!$B$2:$B$534&amp;"-"&amp;'S18 Operations'!$C$2:$C$534, 'S18 Operations'!$D$2:$D$534), 2, 0), "")</f>
        <v>WS-36</v>
      </c>
      <c r="D3" s="310" t="str" cm="1">
        <f t="array" ref="D3">IFERROR(VLOOKUP($A3&amp;"-"&amp;D$2, CHOOSE({1,2}, 'S18 Operations'!$B$2:$B$534&amp;"-"&amp;'S18 Operations'!$C$2:$C$534, 'S18 Operations'!$D$2:$D$534), 2, 0), "")</f>
        <v>WS-05</v>
      </c>
      <c r="E3" s="310" t="str" cm="1">
        <f t="array" ref="E3">IFERROR(VLOOKUP($A3&amp;"-"&amp;E$2, CHOOSE({1,2}, 'S18 Operations'!$B$2:$B$534&amp;"-"&amp;'S18 Operations'!$C$2:$C$534, 'S18 Operations'!$D$2:$D$534), 2, 0), "")</f>
        <v>WS-25</v>
      </c>
      <c r="F3" s="310" t="str" cm="1">
        <f t="array" ref="F3">IFERROR(VLOOKUP($A3&amp;"-"&amp;F$2, CHOOSE({1,2}, 'S18 Operations'!$B$2:$B$534&amp;"-"&amp;'S18 Operations'!$C$2:$C$534, 'S18 Operations'!$D$2:$D$534), 2, 0), "")</f>
        <v>WS-34</v>
      </c>
      <c r="G3" s="310" t="str" cm="1">
        <f t="array" ref="G3">IFERROR(VLOOKUP($A3&amp;"-"&amp;G$2, CHOOSE({1,2}, 'S18 Operations'!$B$2:$B$534&amp;"-"&amp;'S18 Operations'!$C$2:$C$534, 'S18 Operations'!$D$2:$D$534), 2, 0), "")</f>
        <v>WS-44</v>
      </c>
      <c r="H3" s="310" t="str" cm="1">
        <f t="array" ref="H3">IFERROR(VLOOKUP($A3&amp;"-"&amp;H$2, CHOOSE({1,2}, 'S18 Operations'!$B$2:$B$534&amp;"-"&amp;'S18 Operations'!$C$2:$C$534, 'S18 Operations'!$D$2:$D$534), 2, 0), "")</f>
        <v/>
      </c>
      <c r="I3" s="310" t="str" cm="1">
        <f t="array" ref="I3">IFERROR(VLOOKUP($A3&amp;"-"&amp;I$2, CHOOSE({1,2}, 'S18 Operations'!$B$2:$B$534&amp;"-"&amp;'S18 Operations'!$C$2:$C$534, 'S18 Operations'!$D$2:$D$534), 2, 0), "")</f>
        <v/>
      </c>
    </row>
    <row r="4" spans="1:9" s="257" customFormat="1">
      <c r="A4" s="309" t="str">
        <f>'S20 Clustering'!A4</f>
        <v>I-066</v>
      </c>
      <c r="B4" s="310" t="str" cm="1">
        <f t="array" ref="B4">IFERROR(VLOOKUP($A4&amp;"-"&amp;B$2, CHOOSE({1,2}, 'S18 Operations'!$B$2:$B$534&amp;"-"&amp;'S18 Operations'!$C$2:$C$534, 'S18 Operations'!$D$2:$D$534), 2, 0), "")</f>
        <v>WS-43</v>
      </c>
      <c r="C4" s="310" t="str" cm="1">
        <f t="array" ref="C4">IFERROR(VLOOKUP($A4&amp;"-"&amp;C$2, CHOOSE({1,2}, 'S18 Operations'!$B$2:$B$534&amp;"-"&amp;'S18 Operations'!$C$2:$C$534, 'S18 Operations'!$D$2:$D$534), 2, 0), "")</f>
        <v>WS-36</v>
      </c>
      <c r="D4" s="310" t="str" cm="1">
        <f t="array" ref="D4">IFERROR(VLOOKUP($A4&amp;"-"&amp;D$2, CHOOSE({1,2}, 'S18 Operations'!$B$2:$B$534&amp;"-"&amp;'S18 Operations'!$C$2:$C$534, 'S18 Operations'!$D$2:$D$534), 2, 0), "")</f>
        <v>WS-05</v>
      </c>
      <c r="E4" s="310" t="str" cm="1">
        <f t="array" ref="E4">IFERROR(VLOOKUP($A4&amp;"-"&amp;E$2, CHOOSE({1,2}, 'S18 Operations'!$B$2:$B$534&amp;"-"&amp;'S18 Operations'!$C$2:$C$534, 'S18 Operations'!$D$2:$D$534), 2, 0), "")</f>
        <v>WS-25</v>
      </c>
      <c r="F4" s="310" t="str" cm="1">
        <f t="array" ref="F4">IFERROR(VLOOKUP($A4&amp;"-"&amp;F$2, CHOOSE({1,2}, 'S18 Operations'!$B$2:$B$534&amp;"-"&amp;'S18 Operations'!$C$2:$C$534, 'S18 Operations'!$D$2:$D$534), 2, 0), "")</f>
        <v>WS-34</v>
      </c>
      <c r="G4" s="310" t="str" cm="1">
        <f t="array" ref="G4">IFERROR(VLOOKUP($A4&amp;"-"&amp;G$2, CHOOSE({1,2}, 'S18 Operations'!$B$2:$B$534&amp;"-"&amp;'S18 Operations'!$C$2:$C$534, 'S18 Operations'!$D$2:$D$534), 2, 0), "")</f>
        <v>WS-44</v>
      </c>
      <c r="H4" s="310" t="str" cm="1">
        <f t="array" ref="H4">IFERROR(VLOOKUP($A4&amp;"-"&amp;H$2, CHOOSE({1,2}, 'S18 Operations'!$B$2:$B$534&amp;"-"&amp;'S18 Operations'!$C$2:$C$534, 'S18 Operations'!$D$2:$D$534), 2, 0), "")</f>
        <v/>
      </c>
      <c r="I4" s="310" t="str" cm="1">
        <f t="array" ref="I4">IFERROR(VLOOKUP($A4&amp;"-"&amp;I$2, CHOOSE({1,2}, 'S18 Operations'!$B$2:$B$534&amp;"-"&amp;'S18 Operations'!$C$2:$C$534, 'S18 Operations'!$D$2:$D$534), 2, 0), "")</f>
        <v/>
      </c>
    </row>
    <row r="5" spans="1:9" s="257" customFormat="1">
      <c r="A5" s="309" t="str">
        <f>'S20 Clustering'!A5</f>
        <v>I-068</v>
      </c>
      <c r="B5" s="310" t="str" cm="1">
        <f t="array" ref="B5">IFERROR(VLOOKUP($A5&amp;"-"&amp;B$2, CHOOSE({1,2}, 'S18 Operations'!$B$2:$B$534&amp;"-"&amp;'S18 Operations'!$C$2:$C$534, 'S18 Operations'!$D$2:$D$534), 2, 0), "")</f>
        <v>WS-43</v>
      </c>
      <c r="C5" s="310" t="str" cm="1">
        <f t="array" ref="C5">IFERROR(VLOOKUP($A5&amp;"-"&amp;C$2, CHOOSE({1,2}, 'S18 Operations'!$B$2:$B$534&amp;"-"&amp;'S18 Operations'!$C$2:$C$534, 'S18 Operations'!$D$2:$D$534), 2, 0), "")</f>
        <v>WS-36</v>
      </c>
      <c r="D5" s="310" t="str" cm="1">
        <f t="array" ref="D5">IFERROR(VLOOKUP($A5&amp;"-"&amp;D$2, CHOOSE({1,2}, 'S18 Operations'!$B$2:$B$534&amp;"-"&amp;'S18 Operations'!$C$2:$C$534, 'S18 Operations'!$D$2:$D$534), 2, 0), "")</f>
        <v>WS-05</v>
      </c>
      <c r="E5" s="310" t="str" cm="1">
        <f t="array" ref="E5">IFERROR(VLOOKUP($A5&amp;"-"&amp;E$2, CHOOSE({1,2}, 'S18 Operations'!$B$2:$B$534&amp;"-"&amp;'S18 Operations'!$C$2:$C$534, 'S18 Operations'!$D$2:$D$534), 2, 0), "")</f>
        <v>WS-25</v>
      </c>
      <c r="F5" s="310" t="str" cm="1">
        <f t="array" ref="F5">IFERROR(VLOOKUP($A5&amp;"-"&amp;F$2, CHOOSE({1,2}, 'S18 Operations'!$B$2:$B$534&amp;"-"&amp;'S18 Operations'!$C$2:$C$534, 'S18 Operations'!$D$2:$D$534), 2, 0), "")</f>
        <v>WS-34</v>
      </c>
      <c r="G5" s="310" t="str" cm="1">
        <f t="array" ref="G5">IFERROR(VLOOKUP($A5&amp;"-"&amp;G$2, CHOOSE({1,2}, 'S18 Operations'!$B$2:$B$534&amp;"-"&amp;'S18 Operations'!$C$2:$C$534, 'S18 Operations'!$D$2:$D$534), 2, 0), "")</f>
        <v>WS-44</v>
      </c>
      <c r="H5" s="310" t="str" cm="1">
        <f t="array" ref="H5">IFERROR(VLOOKUP($A5&amp;"-"&amp;H$2, CHOOSE({1,2}, 'S18 Operations'!$B$2:$B$534&amp;"-"&amp;'S18 Operations'!$C$2:$C$534, 'S18 Operations'!$D$2:$D$534), 2, 0), "")</f>
        <v/>
      </c>
      <c r="I5" s="310" t="str" cm="1">
        <f t="array" ref="I5">IFERROR(VLOOKUP($A5&amp;"-"&amp;I$2, CHOOSE({1,2}, 'S18 Operations'!$B$2:$B$534&amp;"-"&amp;'S18 Operations'!$C$2:$C$534, 'S18 Operations'!$D$2:$D$534), 2, 0), "")</f>
        <v/>
      </c>
    </row>
    <row r="6" spans="1:9" s="257" customFormat="1">
      <c r="A6" s="309" t="str">
        <f>'S20 Clustering'!A6</f>
        <v>I-069</v>
      </c>
      <c r="B6" s="310" t="str" cm="1">
        <f t="array" ref="B6">IFERROR(VLOOKUP($A6&amp;"-"&amp;B$2, CHOOSE({1,2}, 'S18 Operations'!$B$2:$B$534&amp;"-"&amp;'S18 Operations'!$C$2:$C$534, 'S18 Operations'!$D$2:$D$534), 2, 0), "")</f>
        <v>WS-43</v>
      </c>
      <c r="C6" s="310" t="str" cm="1">
        <f t="array" ref="C6">IFERROR(VLOOKUP($A6&amp;"-"&amp;C$2, CHOOSE({1,2}, 'S18 Operations'!$B$2:$B$534&amp;"-"&amp;'S18 Operations'!$C$2:$C$534, 'S18 Operations'!$D$2:$D$534), 2, 0), "")</f>
        <v>WS-36</v>
      </c>
      <c r="D6" s="310" t="str" cm="1">
        <f t="array" ref="D6">IFERROR(VLOOKUP($A6&amp;"-"&amp;D$2, CHOOSE({1,2}, 'S18 Operations'!$B$2:$B$534&amp;"-"&amp;'S18 Operations'!$C$2:$C$534, 'S18 Operations'!$D$2:$D$534), 2, 0), "")</f>
        <v>WS-05</v>
      </c>
      <c r="E6" s="310" t="str" cm="1">
        <f t="array" ref="E6">IFERROR(VLOOKUP($A6&amp;"-"&amp;E$2, CHOOSE({1,2}, 'S18 Operations'!$B$2:$B$534&amp;"-"&amp;'S18 Operations'!$C$2:$C$534, 'S18 Operations'!$D$2:$D$534), 2, 0), "")</f>
        <v>WS-25</v>
      </c>
      <c r="F6" s="310" t="str" cm="1">
        <f t="array" ref="F6">IFERROR(VLOOKUP($A6&amp;"-"&amp;F$2, CHOOSE({1,2}, 'S18 Operations'!$B$2:$B$534&amp;"-"&amp;'S18 Operations'!$C$2:$C$534, 'S18 Operations'!$D$2:$D$534), 2, 0), "")</f>
        <v>WS-34</v>
      </c>
      <c r="G6" s="310" t="str" cm="1">
        <f t="array" ref="G6">IFERROR(VLOOKUP($A6&amp;"-"&amp;G$2, CHOOSE({1,2}, 'S18 Operations'!$B$2:$B$534&amp;"-"&amp;'S18 Operations'!$C$2:$C$534, 'S18 Operations'!$D$2:$D$534), 2, 0), "")</f>
        <v>WS-44</v>
      </c>
      <c r="H6" s="310" t="str" cm="1">
        <f t="array" ref="H6">IFERROR(VLOOKUP($A6&amp;"-"&amp;H$2, CHOOSE({1,2}, 'S18 Operations'!$B$2:$B$534&amp;"-"&amp;'S18 Operations'!$C$2:$C$534, 'S18 Operations'!$D$2:$D$534), 2, 0), "")</f>
        <v/>
      </c>
      <c r="I6" s="310" t="str" cm="1">
        <f t="array" ref="I6">IFERROR(VLOOKUP($A6&amp;"-"&amp;I$2, CHOOSE({1,2}, 'S18 Operations'!$B$2:$B$534&amp;"-"&amp;'S18 Operations'!$C$2:$C$534, 'S18 Operations'!$D$2:$D$534), 2, 0), "")</f>
        <v/>
      </c>
    </row>
    <row r="7" spans="1:9" s="257" customFormat="1">
      <c r="A7" s="309" t="str">
        <f>'S20 Clustering'!A7</f>
        <v>I-070</v>
      </c>
      <c r="B7" s="310" t="str" cm="1">
        <f t="array" ref="B7">IFERROR(VLOOKUP($A7&amp;"-"&amp;B$2, CHOOSE({1,2}, 'S18 Operations'!$B$2:$B$534&amp;"-"&amp;'S18 Operations'!$C$2:$C$534, 'S18 Operations'!$D$2:$D$534), 2, 0), "")</f>
        <v>WS-43</v>
      </c>
      <c r="C7" s="310" t="str" cm="1">
        <f t="array" ref="C7">IFERROR(VLOOKUP($A7&amp;"-"&amp;C$2, CHOOSE({1,2}, 'S18 Operations'!$B$2:$B$534&amp;"-"&amp;'S18 Operations'!$C$2:$C$534, 'S18 Operations'!$D$2:$D$534), 2, 0), "")</f>
        <v>WS-36</v>
      </c>
      <c r="D7" s="310" t="str" cm="1">
        <f t="array" ref="D7">IFERROR(VLOOKUP($A7&amp;"-"&amp;D$2, CHOOSE({1,2}, 'S18 Operations'!$B$2:$B$534&amp;"-"&amp;'S18 Operations'!$C$2:$C$534, 'S18 Operations'!$D$2:$D$534), 2, 0), "")</f>
        <v>WS-05</v>
      </c>
      <c r="E7" s="310" t="str" cm="1">
        <f t="array" ref="E7">IFERROR(VLOOKUP($A7&amp;"-"&amp;E$2, CHOOSE({1,2}, 'S18 Operations'!$B$2:$B$534&amp;"-"&amp;'S18 Operations'!$C$2:$C$534, 'S18 Operations'!$D$2:$D$534), 2, 0), "")</f>
        <v>WS-25</v>
      </c>
      <c r="F7" s="310" t="str" cm="1">
        <f t="array" ref="F7">IFERROR(VLOOKUP($A7&amp;"-"&amp;F$2, CHOOSE({1,2}, 'S18 Operations'!$B$2:$B$534&amp;"-"&amp;'S18 Operations'!$C$2:$C$534, 'S18 Operations'!$D$2:$D$534), 2, 0), "")</f>
        <v>WS-34</v>
      </c>
      <c r="G7" s="310" t="str" cm="1">
        <f t="array" ref="G7">IFERROR(VLOOKUP($A7&amp;"-"&amp;G$2, CHOOSE({1,2}, 'S18 Operations'!$B$2:$B$534&amp;"-"&amp;'S18 Operations'!$C$2:$C$534, 'S18 Operations'!$D$2:$D$534), 2, 0), "")</f>
        <v>WS-44</v>
      </c>
      <c r="H7" s="310" t="str" cm="1">
        <f t="array" ref="H7">IFERROR(VLOOKUP($A7&amp;"-"&amp;H$2, CHOOSE({1,2}, 'S18 Operations'!$B$2:$B$534&amp;"-"&amp;'S18 Operations'!$C$2:$C$534, 'S18 Operations'!$D$2:$D$534), 2, 0), "")</f>
        <v/>
      </c>
      <c r="I7" s="310" t="str" cm="1">
        <f t="array" ref="I7">IFERROR(VLOOKUP($A7&amp;"-"&amp;I$2, CHOOSE({1,2}, 'S18 Operations'!$B$2:$B$534&amp;"-"&amp;'S18 Operations'!$C$2:$C$534, 'S18 Operations'!$D$2:$D$534), 2, 0), "")</f>
        <v/>
      </c>
    </row>
    <row r="8" spans="1:9" s="257" customFormat="1">
      <c r="A8" s="309" t="str">
        <f>'S20 Clustering'!A8</f>
        <v>I-071</v>
      </c>
      <c r="B8" s="310" t="str" cm="1">
        <f t="array" ref="B8">IFERROR(VLOOKUP($A8&amp;"-"&amp;B$2, CHOOSE({1,2}, 'S18 Operations'!$B$2:$B$534&amp;"-"&amp;'S18 Operations'!$C$2:$C$534, 'S18 Operations'!$D$2:$D$534), 2, 0), "")</f>
        <v>WS-43</v>
      </c>
      <c r="C8" s="310" t="str" cm="1">
        <f t="array" ref="C8">IFERROR(VLOOKUP($A8&amp;"-"&amp;C$2, CHOOSE({1,2}, 'S18 Operations'!$B$2:$B$534&amp;"-"&amp;'S18 Operations'!$C$2:$C$534, 'S18 Operations'!$D$2:$D$534), 2, 0), "")</f>
        <v>WS-36</v>
      </c>
      <c r="D8" s="310" t="str" cm="1">
        <f t="array" ref="D8">IFERROR(VLOOKUP($A8&amp;"-"&amp;D$2, CHOOSE({1,2}, 'S18 Operations'!$B$2:$B$534&amp;"-"&amp;'S18 Operations'!$C$2:$C$534, 'S18 Operations'!$D$2:$D$534), 2, 0), "")</f>
        <v>WS-05</v>
      </c>
      <c r="E8" s="310" t="str" cm="1">
        <f t="array" ref="E8">IFERROR(VLOOKUP($A8&amp;"-"&amp;E$2, CHOOSE({1,2}, 'S18 Operations'!$B$2:$B$534&amp;"-"&amp;'S18 Operations'!$C$2:$C$534, 'S18 Operations'!$D$2:$D$534), 2, 0), "")</f>
        <v>WS-25</v>
      </c>
      <c r="F8" s="310" t="str" cm="1">
        <f t="array" ref="F8">IFERROR(VLOOKUP($A8&amp;"-"&amp;F$2, CHOOSE({1,2}, 'S18 Operations'!$B$2:$B$534&amp;"-"&amp;'S18 Operations'!$C$2:$C$534, 'S18 Operations'!$D$2:$D$534), 2, 0), "")</f>
        <v>WS-34</v>
      </c>
      <c r="G8" s="310" t="str" cm="1">
        <f t="array" ref="G8">IFERROR(VLOOKUP($A8&amp;"-"&amp;G$2, CHOOSE({1,2}, 'S18 Operations'!$B$2:$B$534&amp;"-"&amp;'S18 Operations'!$C$2:$C$534, 'S18 Operations'!$D$2:$D$534), 2, 0), "")</f>
        <v>WS-44</v>
      </c>
      <c r="H8" s="310" t="str" cm="1">
        <f t="array" ref="H8">IFERROR(VLOOKUP($A8&amp;"-"&amp;H$2, CHOOSE({1,2}, 'S18 Operations'!$B$2:$B$534&amp;"-"&amp;'S18 Operations'!$C$2:$C$534, 'S18 Operations'!$D$2:$D$534), 2, 0), "")</f>
        <v/>
      </c>
      <c r="I8" s="310" t="str" cm="1">
        <f t="array" ref="I8">IFERROR(VLOOKUP($A8&amp;"-"&amp;I$2, CHOOSE({1,2}, 'S18 Operations'!$B$2:$B$534&amp;"-"&amp;'S18 Operations'!$C$2:$C$534, 'S18 Operations'!$D$2:$D$534), 2, 0), "")</f>
        <v/>
      </c>
    </row>
    <row r="9" spans="1:9" s="257" customFormat="1">
      <c r="A9" s="309" t="str">
        <f>'S20 Clustering'!A9</f>
        <v>I-037</v>
      </c>
      <c r="B9" s="310" t="str" cm="1">
        <f t="array" ref="B9">IFERROR(VLOOKUP($A9&amp;"-"&amp;B$2, CHOOSE({1,2}, 'S18 Operations'!$B$2:$B$534&amp;"-"&amp;'S18 Operations'!$C$2:$C$534, 'S18 Operations'!$D$2:$D$534), 2, 0), "")</f>
        <v>WS-43</v>
      </c>
      <c r="C9" s="310" t="str" cm="1">
        <f t="array" ref="C9">IFERROR(VLOOKUP($A9&amp;"-"&amp;C$2, CHOOSE({1,2}, 'S18 Operations'!$B$2:$B$534&amp;"-"&amp;'S18 Operations'!$C$2:$C$534, 'S18 Operations'!$D$2:$D$534), 2, 0), "")</f>
        <v>WS-38</v>
      </c>
      <c r="D9" s="310" t="str" cm="1">
        <f t="array" ref="D9">IFERROR(VLOOKUP($A9&amp;"-"&amp;D$2, CHOOSE({1,2}, 'S18 Operations'!$B$2:$B$534&amp;"-"&amp;'S18 Operations'!$C$2:$C$534, 'S18 Operations'!$D$2:$D$534), 2, 0), "")</f>
        <v>WS-07</v>
      </c>
      <c r="E9" s="310" t="str" cm="1">
        <f t="array" ref="E9">IFERROR(VLOOKUP($A9&amp;"-"&amp;E$2, CHOOSE({1,2}, 'S18 Operations'!$B$2:$B$534&amp;"-"&amp;'S18 Operations'!$C$2:$C$534, 'S18 Operations'!$D$2:$D$534), 2, 0), "")</f>
        <v>WS-21</v>
      </c>
      <c r="F9" s="310" t="str" cm="1">
        <f t="array" ref="F9">IFERROR(VLOOKUP($A9&amp;"-"&amp;F$2, CHOOSE({1,2}, 'S18 Operations'!$B$2:$B$534&amp;"-"&amp;'S18 Operations'!$C$2:$C$534, 'S18 Operations'!$D$2:$D$534), 2, 0), "")</f>
        <v>WS-28</v>
      </c>
      <c r="G9" s="310" t="str" cm="1">
        <f t="array" ref="G9">IFERROR(VLOOKUP($A9&amp;"-"&amp;G$2, CHOOSE({1,2}, 'S18 Operations'!$B$2:$B$534&amp;"-"&amp;'S18 Operations'!$C$2:$C$534, 'S18 Operations'!$D$2:$D$534), 2, 0), "")</f>
        <v>WS-27</v>
      </c>
      <c r="H9" s="310" t="str" cm="1">
        <f t="array" ref="H9">IFERROR(VLOOKUP($A9&amp;"-"&amp;H$2, CHOOSE({1,2}, 'S18 Operations'!$B$2:$B$534&amp;"-"&amp;'S18 Operations'!$C$2:$C$534, 'S18 Operations'!$D$2:$D$534), 2, 0), "")</f>
        <v>WS-32</v>
      </c>
      <c r="I9" s="310" t="str" cm="1">
        <f t="array" ref="I9">IFERROR(VLOOKUP($A9&amp;"-"&amp;I$2, CHOOSE({1,2}, 'S18 Operations'!$B$2:$B$534&amp;"-"&amp;'S18 Operations'!$C$2:$C$534, 'S18 Operations'!$D$2:$D$534), 2, 0), "")</f>
        <v>WS-44</v>
      </c>
    </row>
    <row r="10" spans="1:9" s="257" customFormat="1">
      <c r="A10" s="309" t="str">
        <f>'S20 Clustering'!A10</f>
        <v>I-073</v>
      </c>
      <c r="B10" s="310" t="str" cm="1">
        <f t="array" ref="B10">IFERROR(VLOOKUP($A10&amp;"-"&amp;B$2, CHOOSE({1,2}, 'S18 Operations'!$B$2:$B$534&amp;"-"&amp;'S18 Operations'!$C$2:$C$534, 'S18 Operations'!$D$2:$D$534), 2, 0), "")</f>
        <v>WS-43</v>
      </c>
      <c r="C10" s="310" t="str" cm="1">
        <f t="array" ref="C10">IFERROR(VLOOKUP($A10&amp;"-"&amp;C$2, CHOOSE({1,2}, 'S18 Operations'!$B$2:$B$534&amp;"-"&amp;'S18 Operations'!$C$2:$C$534, 'S18 Operations'!$D$2:$D$534), 2, 0), "")</f>
        <v>WS-38</v>
      </c>
      <c r="D10" s="310" t="str" cm="1">
        <f t="array" ref="D10">IFERROR(VLOOKUP($A10&amp;"-"&amp;D$2, CHOOSE({1,2}, 'S18 Operations'!$B$2:$B$534&amp;"-"&amp;'S18 Operations'!$C$2:$C$534, 'S18 Operations'!$D$2:$D$534), 2, 0), "")</f>
        <v>WS-07</v>
      </c>
      <c r="E10" s="310" t="str" cm="1">
        <f t="array" ref="E10">IFERROR(VLOOKUP($A10&amp;"-"&amp;E$2, CHOOSE({1,2}, 'S18 Operations'!$B$2:$B$534&amp;"-"&amp;'S18 Operations'!$C$2:$C$534, 'S18 Operations'!$D$2:$D$534), 2, 0), "")</f>
        <v>WS-21</v>
      </c>
      <c r="F10" s="310" t="str" cm="1">
        <f t="array" ref="F10">IFERROR(VLOOKUP($A10&amp;"-"&amp;F$2, CHOOSE({1,2}, 'S18 Operations'!$B$2:$B$534&amp;"-"&amp;'S18 Operations'!$C$2:$C$534, 'S18 Operations'!$D$2:$D$534), 2, 0), "")</f>
        <v>WS-28</v>
      </c>
      <c r="G10" s="310" t="str" cm="1">
        <f t="array" ref="G10">IFERROR(VLOOKUP($A10&amp;"-"&amp;G$2, CHOOSE({1,2}, 'S18 Operations'!$B$2:$B$534&amp;"-"&amp;'S18 Operations'!$C$2:$C$534, 'S18 Operations'!$D$2:$D$534), 2, 0), "")</f>
        <v>WS-27</v>
      </c>
      <c r="H10" s="310" t="str" cm="1">
        <f t="array" ref="H10">IFERROR(VLOOKUP($A10&amp;"-"&amp;H$2, CHOOSE({1,2}, 'S18 Operations'!$B$2:$B$534&amp;"-"&amp;'S18 Operations'!$C$2:$C$534, 'S18 Operations'!$D$2:$D$534), 2, 0), "")</f>
        <v>WS-32</v>
      </c>
      <c r="I10" s="310" t="str" cm="1">
        <f t="array" ref="I10">IFERROR(VLOOKUP($A10&amp;"-"&amp;I$2, CHOOSE({1,2}, 'S18 Operations'!$B$2:$B$534&amp;"-"&amp;'S18 Operations'!$C$2:$C$534, 'S18 Operations'!$D$2:$D$534), 2, 0), "")</f>
        <v>WS-44</v>
      </c>
    </row>
    <row r="11" spans="1:9" s="257" customFormat="1">
      <c r="A11" s="309" t="str">
        <f>'S20 Clustering'!A11</f>
        <v>I-074</v>
      </c>
      <c r="B11" s="310" t="str" cm="1">
        <f t="array" ref="B11">IFERROR(VLOOKUP($A11&amp;"-"&amp;B$2, CHOOSE({1,2}, 'S18 Operations'!$B$2:$B$534&amp;"-"&amp;'S18 Operations'!$C$2:$C$534, 'S18 Operations'!$D$2:$D$534), 2, 0), "")</f>
        <v>WS-43</v>
      </c>
      <c r="C11" s="310" t="str" cm="1">
        <f t="array" ref="C11">IFERROR(VLOOKUP($A11&amp;"-"&amp;C$2, CHOOSE({1,2}, 'S18 Operations'!$B$2:$B$534&amp;"-"&amp;'S18 Operations'!$C$2:$C$534, 'S18 Operations'!$D$2:$D$534), 2, 0), "")</f>
        <v>WS-38</v>
      </c>
      <c r="D11" s="310" t="str" cm="1">
        <f t="array" ref="D11">IFERROR(VLOOKUP($A11&amp;"-"&amp;D$2, CHOOSE({1,2}, 'S18 Operations'!$B$2:$B$534&amp;"-"&amp;'S18 Operations'!$C$2:$C$534, 'S18 Operations'!$D$2:$D$534), 2, 0), "")</f>
        <v>WS-07</v>
      </c>
      <c r="E11" s="310" t="str" cm="1">
        <f t="array" ref="E11">IFERROR(VLOOKUP($A11&amp;"-"&amp;E$2, CHOOSE({1,2}, 'S18 Operations'!$B$2:$B$534&amp;"-"&amp;'S18 Operations'!$C$2:$C$534, 'S18 Operations'!$D$2:$D$534), 2, 0), "")</f>
        <v>WS-21</v>
      </c>
      <c r="F11" s="310" t="str" cm="1">
        <f t="array" ref="F11">IFERROR(VLOOKUP($A11&amp;"-"&amp;F$2, CHOOSE({1,2}, 'S18 Operations'!$B$2:$B$534&amp;"-"&amp;'S18 Operations'!$C$2:$C$534, 'S18 Operations'!$D$2:$D$534), 2, 0), "")</f>
        <v>WS-28</v>
      </c>
      <c r="G11" s="310" t="str" cm="1">
        <f t="array" ref="G11">IFERROR(VLOOKUP($A11&amp;"-"&amp;G$2, CHOOSE({1,2}, 'S18 Operations'!$B$2:$B$534&amp;"-"&amp;'S18 Operations'!$C$2:$C$534, 'S18 Operations'!$D$2:$D$534), 2, 0), "")</f>
        <v>WS-27</v>
      </c>
      <c r="H11" s="310" t="str" cm="1">
        <f t="array" ref="H11">IFERROR(VLOOKUP($A11&amp;"-"&amp;H$2, CHOOSE({1,2}, 'S18 Operations'!$B$2:$B$534&amp;"-"&amp;'S18 Operations'!$C$2:$C$534, 'S18 Operations'!$D$2:$D$534), 2, 0), "")</f>
        <v>WS-32</v>
      </c>
      <c r="I11" s="310" t="str" cm="1">
        <f t="array" ref="I11">IFERROR(VLOOKUP($A11&amp;"-"&amp;I$2, CHOOSE({1,2}, 'S18 Operations'!$B$2:$B$534&amp;"-"&amp;'S18 Operations'!$C$2:$C$534, 'S18 Operations'!$D$2:$D$534), 2, 0), "")</f>
        <v>WS-44</v>
      </c>
    </row>
    <row r="12" spans="1:9" s="257" customFormat="1">
      <c r="A12" s="309" t="str">
        <f>'S20 Clustering'!A12</f>
        <v>I-006</v>
      </c>
      <c r="B12" s="310" t="str" cm="1">
        <f t="array" ref="B12">IFERROR(VLOOKUP($A12&amp;"-"&amp;B$2, CHOOSE({1,2}, 'S18 Operations'!$B$2:$B$534&amp;"-"&amp;'S18 Operations'!$C$2:$C$534, 'S18 Operations'!$D$2:$D$534), 2, 0), "")</f>
        <v>WS-43</v>
      </c>
      <c r="C12" s="310" t="str" cm="1">
        <f t="array" ref="C12">IFERROR(VLOOKUP($A12&amp;"-"&amp;C$2, CHOOSE({1,2}, 'S18 Operations'!$B$2:$B$534&amp;"-"&amp;'S18 Operations'!$C$2:$C$534, 'S18 Operations'!$D$2:$D$534), 2, 0), "")</f>
        <v>WS-40</v>
      </c>
      <c r="D12" s="310" t="str" cm="1">
        <f t="array" ref="D12">IFERROR(VLOOKUP($A12&amp;"-"&amp;D$2, CHOOSE({1,2}, 'S18 Operations'!$B$2:$B$534&amp;"-"&amp;'S18 Operations'!$C$2:$C$534, 'S18 Operations'!$D$2:$D$534), 2, 0), "")</f>
        <v>WS-02</v>
      </c>
      <c r="E12" s="310" t="str" cm="1">
        <f t="array" ref="E12">IFERROR(VLOOKUP($A12&amp;"-"&amp;E$2, CHOOSE({1,2}, 'S18 Operations'!$B$2:$B$534&amp;"-"&amp;'S18 Operations'!$C$2:$C$534, 'S18 Operations'!$D$2:$D$534), 2, 0), "")</f>
        <v>WS-18</v>
      </c>
      <c r="F12" s="310" t="str" cm="1">
        <f t="array" ref="F12">IFERROR(VLOOKUP($A12&amp;"-"&amp;F$2, CHOOSE({1,2}, 'S18 Operations'!$B$2:$B$534&amp;"-"&amp;'S18 Operations'!$C$2:$C$534, 'S18 Operations'!$D$2:$D$534), 2, 0), "")</f>
        <v>WS-24</v>
      </c>
      <c r="G12" s="310" t="str" cm="1">
        <f t="array" ref="G12">IFERROR(VLOOKUP($A12&amp;"-"&amp;G$2, CHOOSE({1,2}, 'S18 Operations'!$B$2:$B$534&amp;"-"&amp;'S18 Operations'!$C$2:$C$534, 'S18 Operations'!$D$2:$D$534), 2, 0), "")</f>
        <v>WS-29</v>
      </c>
      <c r="H12" s="310" t="str" cm="1">
        <f t="array" ref="H12">IFERROR(VLOOKUP($A12&amp;"-"&amp;H$2, CHOOSE({1,2}, 'S18 Operations'!$B$2:$B$534&amp;"-"&amp;'S18 Operations'!$C$2:$C$534, 'S18 Operations'!$D$2:$D$534), 2, 0), "")</f>
        <v>WS-33</v>
      </c>
      <c r="I12" s="310" t="str" cm="1">
        <f t="array" ref="I12">IFERROR(VLOOKUP($A12&amp;"-"&amp;I$2, CHOOSE({1,2}, 'S18 Operations'!$B$2:$B$534&amp;"-"&amp;'S18 Operations'!$C$2:$C$534, 'S18 Operations'!$D$2:$D$534), 2, 0), "")</f>
        <v>WS-44</v>
      </c>
    </row>
    <row r="13" spans="1:9" s="257" customFormat="1">
      <c r="A13" s="309" t="str">
        <f>'S20 Clustering'!A13</f>
        <v>I-007</v>
      </c>
      <c r="B13" s="310" t="str" cm="1">
        <f t="array" ref="B13">IFERROR(VLOOKUP($A13&amp;"-"&amp;B$2, CHOOSE({1,2}, 'S18 Operations'!$B$2:$B$534&amp;"-"&amp;'S18 Operations'!$C$2:$C$534, 'S18 Operations'!$D$2:$D$534), 2, 0), "")</f>
        <v>WS-43</v>
      </c>
      <c r="C13" s="310" t="str" cm="1">
        <f t="array" ref="C13">IFERROR(VLOOKUP($A13&amp;"-"&amp;C$2, CHOOSE({1,2}, 'S18 Operations'!$B$2:$B$534&amp;"-"&amp;'S18 Operations'!$C$2:$C$534, 'S18 Operations'!$D$2:$D$534), 2, 0), "")</f>
        <v>WS-40</v>
      </c>
      <c r="D13" s="310" t="str" cm="1">
        <f t="array" ref="D13">IFERROR(VLOOKUP($A13&amp;"-"&amp;D$2, CHOOSE({1,2}, 'S18 Operations'!$B$2:$B$534&amp;"-"&amp;'S18 Operations'!$C$2:$C$534, 'S18 Operations'!$D$2:$D$534), 2, 0), "")</f>
        <v>WS-02</v>
      </c>
      <c r="E13" s="310" t="str" cm="1">
        <f t="array" ref="E13">IFERROR(VLOOKUP($A13&amp;"-"&amp;E$2, CHOOSE({1,2}, 'S18 Operations'!$B$2:$B$534&amp;"-"&amp;'S18 Operations'!$C$2:$C$534, 'S18 Operations'!$D$2:$D$534), 2, 0), "")</f>
        <v>WS-18</v>
      </c>
      <c r="F13" s="310" t="str" cm="1">
        <f t="array" ref="F13">IFERROR(VLOOKUP($A13&amp;"-"&amp;F$2, CHOOSE({1,2}, 'S18 Operations'!$B$2:$B$534&amp;"-"&amp;'S18 Operations'!$C$2:$C$534, 'S18 Operations'!$D$2:$D$534), 2, 0), "")</f>
        <v>WS-24</v>
      </c>
      <c r="G13" s="310" t="str" cm="1">
        <f t="array" ref="G13">IFERROR(VLOOKUP($A13&amp;"-"&amp;G$2, CHOOSE({1,2}, 'S18 Operations'!$B$2:$B$534&amp;"-"&amp;'S18 Operations'!$C$2:$C$534, 'S18 Operations'!$D$2:$D$534), 2, 0), "")</f>
        <v>WS-29</v>
      </c>
      <c r="H13" s="310" t="str" cm="1">
        <f t="array" ref="H13">IFERROR(VLOOKUP($A13&amp;"-"&amp;H$2, CHOOSE({1,2}, 'S18 Operations'!$B$2:$B$534&amp;"-"&amp;'S18 Operations'!$C$2:$C$534, 'S18 Operations'!$D$2:$D$534), 2, 0), "")</f>
        <v>WS-33</v>
      </c>
      <c r="I13" s="310" t="str" cm="1">
        <f t="array" ref="I13">IFERROR(VLOOKUP($A13&amp;"-"&amp;I$2, CHOOSE({1,2}, 'S18 Operations'!$B$2:$B$534&amp;"-"&amp;'S18 Operations'!$C$2:$C$534, 'S18 Operations'!$D$2:$D$534), 2, 0), "")</f>
        <v>WS-44</v>
      </c>
    </row>
    <row r="14" spans="1:9" s="257" customFormat="1">
      <c r="A14" s="309" t="str">
        <f>'S20 Clustering'!A14</f>
        <v>I-010</v>
      </c>
      <c r="B14" s="310" t="str" cm="1">
        <f t="array" ref="B14">IFERROR(VLOOKUP($A14&amp;"-"&amp;B$2, CHOOSE({1,2}, 'S18 Operations'!$B$2:$B$534&amp;"-"&amp;'S18 Operations'!$C$2:$C$534, 'S18 Operations'!$D$2:$D$534), 2, 0), "")</f>
        <v>WS-43</v>
      </c>
      <c r="C14" s="310" t="str" cm="1">
        <f t="array" ref="C14">IFERROR(VLOOKUP($A14&amp;"-"&amp;C$2, CHOOSE({1,2}, 'S18 Operations'!$B$2:$B$534&amp;"-"&amp;'S18 Operations'!$C$2:$C$534, 'S18 Operations'!$D$2:$D$534), 2, 0), "")</f>
        <v>WS-40</v>
      </c>
      <c r="D14" s="310" t="str" cm="1">
        <f t="array" ref="D14">IFERROR(VLOOKUP($A14&amp;"-"&amp;D$2, CHOOSE({1,2}, 'S18 Operations'!$B$2:$B$534&amp;"-"&amp;'S18 Operations'!$C$2:$C$534, 'S18 Operations'!$D$2:$D$534), 2, 0), "")</f>
        <v>WS-02</v>
      </c>
      <c r="E14" s="310" t="str" cm="1">
        <f t="array" ref="E14">IFERROR(VLOOKUP($A14&amp;"-"&amp;E$2, CHOOSE({1,2}, 'S18 Operations'!$B$2:$B$534&amp;"-"&amp;'S18 Operations'!$C$2:$C$534, 'S18 Operations'!$D$2:$D$534), 2, 0), "")</f>
        <v>WS-18</v>
      </c>
      <c r="F14" s="310" t="str" cm="1">
        <f t="array" ref="F14">IFERROR(VLOOKUP($A14&amp;"-"&amp;F$2, CHOOSE({1,2}, 'S18 Operations'!$B$2:$B$534&amp;"-"&amp;'S18 Operations'!$C$2:$C$534, 'S18 Operations'!$D$2:$D$534), 2, 0), "")</f>
        <v>WS-24</v>
      </c>
      <c r="G14" s="310" t="str" cm="1">
        <f t="array" ref="G14">IFERROR(VLOOKUP($A14&amp;"-"&amp;G$2, CHOOSE({1,2}, 'S18 Operations'!$B$2:$B$534&amp;"-"&amp;'S18 Operations'!$C$2:$C$534, 'S18 Operations'!$D$2:$D$534), 2, 0), "")</f>
        <v>WS-29</v>
      </c>
      <c r="H14" s="310" t="str" cm="1">
        <f t="array" ref="H14">IFERROR(VLOOKUP($A14&amp;"-"&amp;H$2, CHOOSE({1,2}, 'S18 Operations'!$B$2:$B$534&amp;"-"&amp;'S18 Operations'!$C$2:$C$534, 'S18 Operations'!$D$2:$D$534), 2, 0), "")</f>
        <v>WS-33</v>
      </c>
      <c r="I14" s="310" t="str" cm="1">
        <f t="array" ref="I14">IFERROR(VLOOKUP($A14&amp;"-"&amp;I$2, CHOOSE({1,2}, 'S18 Operations'!$B$2:$B$534&amp;"-"&amp;'S18 Operations'!$C$2:$C$534, 'S18 Operations'!$D$2:$D$534), 2, 0), "")</f>
        <v>WS-44</v>
      </c>
    </row>
    <row r="15" spans="1:9" s="257" customFormat="1">
      <c r="A15" s="309" t="str">
        <f>'S20 Clustering'!A15</f>
        <v>I-012</v>
      </c>
      <c r="B15" s="310" t="str" cm="1">
        <f t="array" ref="B15">IFERROR(VLOOKUP($A15&amp;"-"&amp;B$2, CHOOSE({1,2}, 'S18 Operations'!$B$2:$B$534&amp;"-"&amp;'S18 Operations'!$C$2:$C$534, 'S18 Operations'!$D$2:$D$534), 2, 0), "")</f>
        <v>WS-43</v>
      </c>
      <c r="C15" s="310" t="str" cm="1">
        <f t="array" ref="C15">IFERROR(VLOOKUP($A15&amp;"-"&amp;C$2, CHOOSE({1,2}, 'S18 Operations'!$B$2:$B$534&amp;"-"&amp;'S18 Operations'!$C$2:$C$534, 'S18 Operations'!$D$2:$D$534), 2, 0), "")</f>
        <v>WS-40</v>
      </c>
      <c r="D15" s="310" t="str" cm="1">
        <f t="array" ref="D15">IFERROR(VLOOKUP($A15&amp;"-"&amp;D$2, CHOOSE({1,2}, 'S18 Operations'!$B$2:$B$534&amp;"-"&amp;'S18 Operations'!$C$2:$C$534, 'S18 Operations'!$D$2:$D$534), 2, 0), "")</f>
        <v>WS-07</v>
      </c>
      <c r="E15" s="310" t="str" cm="1">
        <f t="array" ref="E15">IFERROR(VLOOKUP($A15&amp;"-"&amp;E$2, CHOOSE({1,2}, 'S18 Operations'!$B$2:$B$534&amp;"-"&amp;'S18 Operations'!$C$2:$C$534, 'S18 Operations'!$D$2:$D$534), 2, 0), "")</f>
        <v>WS-08</v>
      </c>
      <c r="F15" s="310" t="str" cm="1">
        <f t="array" ref="F15">IFERROR(VLOOKUP($A15&amp;"-"&amp;F$2, CHOOSE({1,2}, 'S18 Operations'!$B$2:$B$534&amp;"-"&amp;'S18 Operations'!$C$2:$C$534, 'S18 Operations'!$D$2:$D$534), 2, 0), "")</f>
        <v>WS-20</v>
      </c>
      <c r="G15" s="310" t="str" cm="1">
        <f t="array" ref="G15">IFERROR(VLOOKUP($A15&amp;"-"&amp;G$2, CHOOSE({1,2}, 'S18 Operations'!$B$2:$B$534&amp;"-"&amp;'S18 Operations'!$C$2:$C$534, 'S18 Operations'!$D$2:$D$534), 2, 0), "")</f>
        <v>WS-26</v>
      </c>
      <c r="H15" s="310" t="str" cm="1">
        <f t="array" ref="H15">IFERROR(VLOOKUP($A15&amp;"-"&amp;H$2, CHOOSE({1,2}, 'S18 Operations'!$B$2:$B$534&amp;"-"&amp;'S18 Operations'!$C$2:$C$534, 'S18 Operations'!$D$2:$D$534), 2, 0), "")</f>
        <v>WS-32</v>
      </c>
      <c r="I15" s="310" t="str" cm="1">
        <f t="array" ref="I15">IFERROR(VLOOKUP($A15&amp;"-"&amp;I$2, CHOOSE({1,2}, 'S18 Operations'!$B$2:$B$534&amp;"-"&amp;'S18 Operations'!$C$2:$C$534, 'S18 Operations'!$D$2:$D$534), 2, 0), "")</f>
        <v>WS-44</v>
      </c>
    </row>
    <row r="16" spans="1:9" s="257" customFormat="1">
      <c r="A16" s="309" t="str">
        <f>'S20 Clustering'!A16</f>
        <v>I-052</v>
      </c>
      <c r="B16" s="310" t="str" cm="1">
        <f t="array" ref="B16">IFERROR(VLOOKUP($A16&amp;"-"&amp;B$2, CHOOSE({1,2}, 'S18 Operations'!$B$2:$B$534&amp;"-"&amp;'S18 Operations'!$C$2:$C$534, 'S18 Operations'!$D$2:$D$534), 2, 0), "")</f>
        <v>WS-43</v>
      </c>
      <c r="C16" s="310" t="str" cm="1">
        <f t="array" ref="C16">IFERROR(VLOOKUP($A16&amp;"-"&amp;C$2, CHOOSE({1,2}, 'S18 Operations'!$B$2:$B$534&amp;"-"&amp;'S18 Operations'!$C$2:$C$534, 'S18 Operations'!$D$2:$D$534), 2, 0), "")</f>
        <v>WS-40</v>
      </c>
      <c r="D16" s="310" t="str" cm="1">
        <f t="array" ref="D16">IFERROR(VLOOKUP($A16&amp;"-"&amp;D$2, CHOOSE({1,2}, 'S18 Operations'!$B$2:$B$534&amp;"-"&amp;'S18 Operations'!$C$2:$C$534, 'S18 Operations'!$D$2:$D$534), 2, 0), "")</f>
        <v>WS-07</v>
      </c>
      <c r="E16" s="310" t="str" cm="1">
        <f t="array" ref="E16">IFERROR(VLOOKUP($A16&amp;"-"&amp;E$2, CHOOSE({1,2}, 'S18 Operations'!$B$2:$B$534&amp;"-"&amp;'S18 Operations'!$C$2:$C$534, 'S18 Operations'!$D$2:$D$534), 2, 0), "")</f>
        <v>WS-08</v>
      </c>
      <c r="F16" s="310" t="str" cm="1">
        <f t="array" ref="F16">IFERROR(VLOOKUP($A16&amp;"-"&amp;F$2, CHOOSE({1,2}, 'S18 Operations'!$B$2:$B$534&amp;"-"&amp;'S18 Operations'!$C$2:$C$534, 'S18 Operations'!$D$2:$D$534), 2, 0), "")</f>
        <v>WS-20</v>
      </c>
      <c r="G16" s="310" t="str" cm="1">
        <f t="array" ref="G16">IFERROR(VLOOKUP($A16&amp;"-"&amp;G$2, CHOOSE({1,2}, 'S18 Operations'!$B$2:$B$534&amp;"-"&amp;'S18 Operations'!$C$2:$C$534, 'S18 Operations'!$D$2:$D$534), 2, 0), "")</f>
        <v>WS-26</v>
      </c>
      <c r="H16" s="310" t="str" cm="1">
        <f t="array" ref="H16">IFERROR(VLOOKUP($A16&amp;"-"&amp;H$2, CHOOSE({1,2}, 'S18 Operations'!$B$2:$B$534&amp;"-"&amp;'S18 Operations'!$C$2:$C$534, 'S18 Operations'!$D$2:$D$534), 2, 0), "")</f>
        <v>WS-32</v>
      </c>
      <c r="I16" s="310" t="str" cm="1">
        <f t="array" ref="I16">IFERROR(VLOOKUP($A16&amp;"-"&amp;I$2, CHOOSE({1,2}, 'S18 Operations'!$B$2:$B$534&amp;"-"&amp;'S18 Operations'!$C$2:$C$534, 'S18 Operations'!$D$2:$D$534), 2, 0), "")</f>
        <v>WS-44</v>
      </c>
    </row>
    <row r="17" spans="1:9" s="257" customFormat="1">
      <c r="A17" s="309" t="str">
        <f>'S20 Clustering'!A17</f>
        <v>I-053</v>
      </c>
      <c r="B17" s="310" t="str" cm="1">
        <f t="array" ref="B17">IFERROR(VLOOKUP($A17&amp;"-"&amp;B$2, CHOOSE({1,2}, 'S18 Operations'!$B$2:$B$534&amp;"-"&amp;'S18 Operations'!$C$2:$C$534, 'S18 Operations'!$D$2:$D$534), 2, 0), "")</f>
        <v>WS-43</v>
      </c>
      <c r="C17" s="310" t="str" cm="1">
        <f t="array" ref="C17">IFERROR(VLOOKUP($A17&amp;"-"&amp;C$2, CHOOSE({1,2}, 'S18 Operations'!$B$2:$B$534&amp;"-"&amp;'S18 Operations'!$C$2:$C$534, 'S18 Operations'!$D$2:$D$534), 2, 0), "")</f>
        <v>WS-40</v>
      </c>
      <c r="D17" s="310" t="str" cm="1">
        <f t="array" ref="D17">IFERROR(VLOOKUP($A17&amp;"-"&amp;D$2, CHOOSE({1,2}, 'S18 Operations'!$B$2:$B$534&amp;"-"&amp;'S18 Operations'!$C$2:$C$534, 'S18 Operations'!$D$2:$D$534), 2, 0), "")</f>
        <v>WS-04</v>
      </c>
      <c r="E17" s="310" t="str" cm="1">
        <f t="array" ref="E17">IFERROR(VLOOKUP($A17&amp;"-"&amp;E$2, CHOOSE({1,2}, 'S18 Operations'!$B$2:$B$534&amp;"-"&amp;'S18 Operations'!$C$2:$C$534, 'S18 Operations'!$D$2:$D$534), 2, 0), "")</f>
        <v>WS-03</v>
      </c>
      <c r="F17" s="310" t="str" cm="1">
        <f t="array" ref="F17">IFERROR(VLOOKUP($A17&amp;"-"&amp;F$2, CHOOSE({1,2}, 'S18 Operations'!$B$2:$B$534&amp;"-"&amp;'S18 Operations'!$C$2:$C$534, 'S18 Operations'!$D$2:$D$534), 2, 0), "")</f>
        <v>WS-23</v>
      </c>
      <c r="G17" s="310" t="str" cm="1">
        <f t="array" ref="G17">IFERROR(VLOOKUP($A17&amp;"-"&amp;G$2, CHOOSE({1,2}, 'S18 Operations'!$B$2:$B$534&amp;"-"&amp;'S18 Operations'!$C$2:$C$534, 'S18 Operations'!$D$2:$D$534), 2, 0), "")</f>
        <v>WS-31</v>
      </c>
      <c r="H17" s="310" t="str" cm="1">
        <f t="array" ref="H17">IFERROR(VLOOKUP($A17&amp;"-"&amp;H$2, CHOOSE({1,2}, 'S18 Operations'!$B$2:$B$534&amp;"-"&amp;'S18 Operations'!$C$2:$C$534, 'S18 Operations'!$D$2:$D$534), 2, 0), "")</f>
        <v>WS-32</v>
      </c>
      <c r="I17" s="310" t="str" cm="1">
        <f t="array" ref="I17">IFERROR(VLOOKUP($A17&amp;"-"&amp;I$2, CHOOSE({1,2}, 'S18 Operations'!$B$2:$B$534&amp;"-"&amp;'S18 Operations'!$C$2:$C$534, 'S18 Operations'!$D$2:$D$534), 2, 0), "")</f>
        <v>WS-44</v>
      </c>
    </row>
    <row r="18" spans="1:9" s="257" customFormat="1">
      <c r="A18" s="309" t="str">
        <f>'S20 Clustering'!A18</f>
        <v>I-064</v>
      </c>
      <c r="B18" s="310" t="str" cm="1">
        <f t="array" ref="B18">IFERROR(VLOOKUP($A18&amp;"-"&amp;B$2, CHOOSE({1,2}, 'S18 Operations'!$B$2:$B$534&amp;"-"&amp;'S18 Operations'!$C$2:$C$534, 'S18 Operations'!$D$2:$D$534), 2, 0), "")</f>
        <v>WS-43</v>
      </c>
      <c r="C18" s="310" t="str" cm="1">
        <f t="array" ref="C18">IFERROR(VLOOKUP($A18&amp;"-"&amp;C$2, CHOOSE({1,2}, 'S18 Operations'!$B$2:$B$534&amp;"-"&amp;'S18 Operations'!$C$2:$C$534, 'S18 Operations'!$D$2:$D$534), 2, 0), "")</f>
        <v>WS-40</v>
      </c>
      <c r="D18" s="310" t="str" cm="1">
        <f t="array" ref="D18">IFERROR(VLOOKUP($A18&amp;"-"&amp;D$2, CHOOSE({1,2}, 'S18 Operations'!$B$2:$B$534&amp;"-"&amp;'S18 Operations'!$C$2:$C$534, 'S18 Operations'!$D$2:$D$534), 2, 0), "")</f>
        <v>WS-04</v>
      </c>
      <c r="E18" s="310" t="str" cm="1">
        <f t="array" ref="E18">IFERROR(VLOOKUP($A18&amp;"-"&amp;E$2, CHOOSE({1,2}, 'S18 Operations'!$B$2:$B$534&amp;"-"&amp;'S18 Operations'!$C$2:$C$534, 'S18 Operations'!$D$2:$D$534), 2, 0), "")</f>
        <v>WS-03</v>
      </c>
      <c r="F18" s="310" t="str" cm="1">
        <f t="array" ref="F18">IFERROR(VLOOKUP($A18&amp;"-"&amp;F$2, CHOOSE({1,2}, 'S18 Operations'!$B$2:$B$534&amp;"-"&amp;'S18 Operations'!$C$2:$C$534, 'S18 Operations'!$D$2:$D$534), 2, 0), "")</f>
        <v>WS-23</v>
      </c>
      <c r="G18" s="310" t="str" cm="1">
        <f t="array" ref="G18">IFERROR(VLOOKUP($A18&amp;"-"&amp;G$2, CHOOSE({1,2}, 'S18 Operations'!$B$2:$B$534&amp;"-"&amp;'S18 Operations'!$C$2:$C$534, 'S18 Operations'!$D$2:$D$534), 2, 0), "")</f>
        <v>WS-31</v>
      </c>
      <c r="H18" s="310" t="str" cm="1">
        <f t="array" ref="H18">IFERROR(VLOOKUP($A18&amp;"-"&amp;H$2, CHOOSE({1,2}, 'S18 Operations'!$B$2:$B$534&amp;"-"&amp;'S18 Operations'!$C$2:$C$534, 'S18 Operations'!$D$2:$D$534), 2, 0), "")</f>
        <v>WS-32</v>
      </c>
      <c r="I18" s="310" t="str" cm="1">
        <f t="array" ref="I18">IFERROR(VLOOKUP($A18&amp;"-"&amp;I$2, CHOOSE({1,2}, 'S18 Operations'!$B$2:$B$534&amp;"-"&amp;'S18 Operations'!$C$2:$C$534, 'S18 Operations'!$D$2:$D$534), 2, 0), "")</f>
        <v>WS-42</v>
      </c>
    </row>
  </sheetData>
  <mergeCells count="1">
    <mergeCell ref="B1:I1"/>
  </mergeCells>
  <pageMargins left="0.7" right="0.7" top="0.75" bottom="0.75" header="0.3" footer="0.3"/>
  <pageSetup orientation="portrait" horizontalDpi="4294967293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92EF-D284-4D4E-85DA-EFDDEDDF1A54}">
  <sheetPr codeName="Sheet22"/>
  <dimension ref="A1:AR315"/>
  <sheetViews>
    <sheetView topLeftCell="CG1" zoomScale="111" zoomScaleNormal="60" workbookViewId="0">
      <selection activeCell="S39" sqref="S39"/>
    </sheetView>
  </sheetViews>
  <sheetFormatPr defaultColWidth="11" defaultRowHeight="15.5"/>
  <cols>
    <col min="3" max="3" width="21.1640625" bestFit="1" customWidth="1"/>
    <col min="4" max="4" width="28.1640625" bestFit="1" customWidth="1"/>
    <col min="5" max="5" width="32.83203125" bestFit="1" customWidth="1"/>
    <col min="6" max="6" width="24.5" bestFit="1" customWidth="1"/>
    <col min="7" max="7" width="26.6640625" bestFit="1" customWidth="1"/>
    <col min="8" max="8" width="29.1640625" bestFit="1" customWidth="1"/>
    <col min="9" max="9" width="42.33203125" bestFit="1" customWidth="1"/>
    <col min="10" max="10" width="33" bestFit="1" customWidth="1"/>
    <col min="11" max="11" width="24.1640625" customWidth="1"/>
    <col min="12" max="12" width="26.1640625" bestFit="1" customWidth="1"/>
    <col min="13" max="13" width="15.1640625" bestFit="1" customWidth="1"/>
    <col min="14" max="14" width="16.5" bestFit="1" customWidth="1"/>
    <col min="15" max="15" width="13" bestFit="1" customWidth="1"/>
    <col min="16" max="16" width="6" customWidth="1"/>
    <col min="17" max="17" width="36" bestFit="1" customWidth="1"/>
    <col min="18" max="18" width="6.33203125" customWidth="1"/>
    <col min="19" max="28" width="10.83203125" customWidth="1"/>
    <col min="29" max="44" width="11.1640625" customWidth="1"/>
  </cols>
  <sheetData>
    <row r="1" spans="1:44">
      <c r="A1" s="67" t="s">
        <v>1175</v>
      </c>
      <c r="B1" s="67" t="s">
        <v>506</v>
      </c>
      <c r="C1" s="67" t="s">
        <v>1176</v>
      </c>
      <c r="D1" s="67" t="s">
        <v>1177</v>
      </c>
      <c r="E1" s="67" t="s">
        <v>1178</v>
      </c>
      <c r="F1" s="67" t="s">
        <v>1030</v>
      </c>
      <c r="G1" s="67" t="s">
        <v>1115</v>
      </c>
      <c r="H1" s="67" t="s">
        <v>1179</v>
      </c>
      <c r="I1" s="67" t="s">
        <v>1180</v>
      </c>
      <c r="J1" s="5" t="s">
        <v>1181</v>
      </c>
      <c r="K1" s="328"/>
      <c r="L1" t="s">
        <v>1182</v>
      </c>
      <c r="M1" t="s">
        <v>1183</v>
      </c>
      <c r="N1" t="s">
        <v>1184</v>
      </c>
      <c r="O1" t="s">
        <v>1185</v>
      </c>
      <c r="P1" s="328"/>
      <c r="Q1" s="66" t="s">
        <v>1186</v>
      </c>
      <c r="S1" s="447" t="s">
        <v>1187</v>
      </c>
      <c r="T1" s="447"/>
      <c r="U1" s="447"/>
      <c r="V1" s="447"/>
      <c r="W1" s="447"/>
      <c r="X1" s="447"/>
      <c r="Y1" s="447"/>
      <c r="Z1" s="447"/>
      <c r="AA1" s="447"/>
      <c r="AB1" s="447"/>
      <c r="AC1" s="447"/>
      <c r="AD1" s="447"/>
      <c r="AE1" s="447"/>
      <c r="AF1" s="447"/>
      <c r="AG1" s="447"/>
      <c r="AH1" s="447"/>
      <c r="AI1" s="447"/>
      <c r="AJ1" s="447"/>
      <c r="AK1" s="447"/>
      <c r="AL1" s="447"/>
      <c r="AM1" s="447"/>
      <c r="AN1" s="447"/>
      <c r="AO1" s="447"/>
      <c r="AP1" s="447"/>
      <c r="AQ1" s="447"/>
      <c r="AR1" s="447"/>
    </row>
    <row r="2" spans="1:44">
      <c r="A2" s="329" t="s">
        <v>1036</v>
      </c>
      <c r="B2" s="329" t="s">
        <v>526</v>
      </c>
      <c r="C2" s="330">
        <f>VLOOKUP(B2, 'S14 ABC Output'!$A$3:$C$18, 3, 0)</f>
        <v>250356</v>
      </c>
      <c r="D2" s="330">
        <f>_xlfn.XLOOKUP(B2, 'S18 Operations'!$B$2:$B$534, 'S18 Operations'!$G$2:$G$534, 0, 0)</f>
        <v>200</v>
      </c>
      <c r="E2" s="330">
        <f>ROUNDUP(C2/D2, 0)</f>
        <v>1252</v>
      </c>
      <c r="F2" s="330">
        <f>VLOOKUP(A2, 'S17 Work Stations'!$A$2:$C$45, 3, 0)</f>
        <v>30</v>
      </c>
      <c r="G2" s="330" cm="1">
        <f t="array" ref="G2">VLOOKUP(A2&amp;"-"&amp;B2, CHOOSE({1,2}, 'S18 Operations'!$D$2:$D$534&amp;"-"&amp;'S18 Operations'!$B$2:$B$534, 'S18 Operations'!$F$2:$F$534), 2, 0)</f>
        <v>360</v>
      </c>
      <c r="H2" s="331">
        <f>G2/60</f>
        <v>6</v>
      </c>
      <c r="I2" s="331">
        <f>(H2*C2)+(F2*(IF(O2=1, 0, HLOOKUP(A2, $S$19:$AR$35, L2+IF(E2=N2, 2, 1), 0))))</f>
        <v>1506006</v>
      </c>
      <c r="J2" s="331">
        <f>I2/60</f>
        <v>25100.1</v>
      </c>
      <c r="L2">
        <f t="shared" ref="L2:L65" si="0">RANK(HLOOKUP(A2,$S$19:$AR$36,MATCH(E2,INDEX($S$19:$AR$35, ,HLOOKUP(A2,$S$19:$AR$36,18,0)),0),0),INDEX($S$19:$AR$35, ,HLOOKUP(A2,$S$19:$AR$36,18,0)),0)</f>
        <v>1</v>
      </c>
      <c r="M2">
        <f t="shared" ref="M2:M65" si="1">MIN(_xlfn.IFS($A2=$S$2,$S$3:$S$18,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f>
        <v>129</v>
      </c>
      <c r="N2">
        <f t="shared" ref="N2:N65" si="2">MAX(_xlfn.IFS($A2=$S$2,$S$3:$S$18,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f>
        <v>1252</v>
      </c>
      <c r="O2">
        <f>COUNT(_xlfn.IFS($A2=$S$2,$S$3:$S$18, $A2=$T$2,$T$3:$T$18, $A2=$U$2,$U$3:$U$18, $A2=$V$2,$V$3:$V$18, $A2=$W$2,$W$3:$W$18, $A2=$X$2, $X$3:$X$18, $A2=$Y$2,$Y$3:$Y$18, $A2=$Z$2,$Z$3:$Z$18, $A2=$AA$2,$AA$3:$AA$18, $A2=$AB$2,$AB$3:$AB$18, $A2=$AC$2,$AC$3:$AC$18, $A2=$AD$2,$AD$3:$AD$18, $A2=$AE$2,$AE$3:$AE$18, $A2=$AF$2,$AF$3:$AF$18, $A2=$AG$2,$AG$3:$AG$18, $A2=$AH$2,$AH$3:$AH$18, $A2=$AI$2,$AI$3:$AI$18, $A2=$AJ$2,$AJ$3:$AJ$18, $A2=$AK$2,$AK$3:$AK$18, $A2=$AL$2,$AL$3:$AL$18, $A2=$AM$2,$AM$3:$AM$18, $A2=$AN$2,$AN$3:$AN$18, $A2=$AO$2,$AO$3:$AO$18, $A2=$AP$2,$AP$3:$AP$18, $A2=$AQ$2,$AQ$3:$AQ$18, $A2=$AR$2,$AR$3:$AR$18))</f>
        <v>3</v>
      </c>
      <c r="Q2" s="257" t="str" cm="1">
        <f t="array" ref="Q2">INDEX($A$2:$A$118, MATCH(0, COUNTIF($Q$1:Q1, $A$2:$A$118), 0))</f>
        <v>WS-02</v>
      </c>
      <c r="S2" s="92" t="str">
        <f t="array" ref="S2:AR2">TRANSPOSE(Q2:Q27)</f>
        <v>WS-02</v>
      </c>
      <c r="T2" s="92" t="str">
        <v>WS-03</v>
      </c>
      <c r="U2" s="92" t="str">
        <v>WS-04</v>
      </c>
      <c r="V2" s="92" t="str">
        <v>WS-05</v>
      </c>
      <c r="W2" s="92" t="str">
        <v>WS-07</v>
      </c>
      <c r="X2" s="92" t="str">
        <v>WS-08</v>
      </c>
      <c r="Y2" s="92" t="str">
        <v>WS-18</v>
      </c>
      <c r="Z2" s="92" t="str">
        <v>WS-20</v>
      </c>
      <c r="AA2" s="92" t="str">
        <v>WS-21</v>
      </c>
      <c r="AB2" s="92" t="str">
        <v>WS-23</v>
      </c>
      <c r="AC2" s="92" t="str">
        <v>WS-24</v>
      </c>
      <c r="AD2" s="92" t="str">
        <v>WS-25</v>
      </c>
      <c r="AE2" s="92" t="str">
        <v>WS-26</v>
      </c>
      <c r="AF2" s="92" t="str">
        <v>WS-27</v>
      </c>
      <c r="AG2" s="92" t="str">
        <v>WS-28</v>
      </c>
      <c r="AH2" s="92" t="str">
        <v>WS-29</v>
      </c>
      <c r="AI2" s="92" t="str">
        <v>WS-31</v>
      </c>
      <c r="AJ2" s="92" t="str">
        <v>WS-32</v>
      </c>
      <c r="AK2" s="92" t="str">
        <v>WS-33</v>
      </c>
      <c r="AL2" s="92" t="str">
        <v>WS-34</v>
      </c>
      <c r="AM2" s="92" t="str">
        <v>WS-36</v>
      </c>
      <c r="AN2" s="92" t="str">
        <v>WS-38</v>
      </c>
      <c r="AO2" s="92" t="str">
        <v>WS-40</v>
      </c>
      <c r="AP2" s="92" t="str">
        <v>WS-42</v>
      </c>
      <c r="AQ2" s="92" t="str">
        <v>WS-43</v>
      </c>
      <c r="AR2" s="92" t="str">
        <v>WS-44</v>
      </c>
    </row>
    <row r="3" spans="1:44">
      <c r="A3" s="329" t="s">
        <v>1036</v>
      </c>
      <c r="B3" s="329" t="s">
        <v>518</v>
      </c>
      <c r="C3" s="330">
        <f>VLOOKUP(B3, 'S14 ABC Output'!$A$3:$C$18, 3, 0)</f>
        <v>25689</v>
      </c>
      <c r="D3" s="330">
        <f>_xlfn.XLOOKUP(B3, 'S18 Operations'!$B$2:$B$534, 'S18 Operations'!$G$2:$G$534, 0, 0)</f>
        <v>200</v>
      </c>
      <c r="E3" s="330">
        <f t="shared" ref="E3:E66" si="3">ROUNDUP(C3/D3, 0)</f>
        <v>129</v>
      </c>
      <c r="F3" s="330">
        <f>VLOOKUP(A3, 'S17 Work Stations'!$A$2:$C$45, 3, 0)</f>
        <v>30</v>
      </c>
      <c r="G3" s="330" cm="1">
        <f t="array" ref="G3">VLOOKUP(A3&amp;"-"&amp;B3, CHOOSE({1,2}, 'S18 Operations'!$D$2:$D$534&amp;"-"&amp;'S18 Operations'!$B$2:$B$534, 'S18 Operations'!$F$2:$F$534), 2, 0)</f>
        <v>600</v>
      </c>
      <c r="H3" s="331">
        <f t="shared" ref="H3:H66" si="4">G3/60</f>
        <v>10</v>
      </c>
      <c r="I3" s="331">
        <f t="shared" ref="I3:I66" si="5">(H3*C3)+(F3*(IF(O3=1, 0, HLOOKUP(A3, $S$19:$AR$35, L3+IF(E3=N3, 2, 1), 0))))</f>
        <v>260760</v>
      </c>
      <c r="J3" s="331">
        <f t="shared" ref="J3:J66" si="6">I3/60</f>
        <v>4346</v>
      </c>
      <c r="L3">
        <f t="shared" si="0"/>
        <v>2</v>
      </c>
      <c r="M3">
        <f t="shared" si="1"/>
        <v>129</v>
      </c>
      <c r="N3">
        <f t="shared" si="2"/>
        <v>1252</v>
      </c>
      <c r="O3">
        <f t="shared" ref="O3:O66" si="7">COUNT(_xlfn.IFS($A3=$S$2,$S$3:$S$18, $A3=$T$2,$T$3:$T$18, $A3=$U$2,$U$3:$U$18, $A3=$V$2,$V$3:$V$18, $A3=$W$2,$W$3:$W$18, $A3=$X$2, $X$3:$X$18, $A3=$Y$2,$Y$3:$Y$18, $A3=$Z$2,$Z$3:$Z$18, $A3=$AA$2,$AA$3:$AA$18, $A3=$AB$2,$AB$3:$AB$18, $A3=$AC$2,$AC$3:$AC$18, $A3=$AD$2,$AD$3:$AD$18, $A3=$AE$2,$AE$3:$AE$18, $A3=$AF$2,$AF$3:$AF$18, $A3=$AG$2,$AG$3:$AG$18, $A3=$AH$2,$AH$3:$AH$18, $A3=$AI$2,$AI$3:$AI$18, $A3=$AJ$2,$AJ$3:$AJ$18, $A3=$AK$2,$AK$3:$AK$18, $A3=$AL$2,$AL$3:$AL$18, $A3=$AM$2,$AM$3:$AM$18, $A3=$AN$2,$AN$3:$AN$18, $A3=$AO$2,$AO$3:$AO$18, $A3=$AP$2,$AP$3:$AP$18, $A3=$AQ$2,$AQ$3:$AQ$18, $A3=$AR$2,$AR$3:$AR$18))</f>
        <v>3</v>
      </c>
      <c r="Q3" s="257" t="str" cm="1">
        <f t="array" ref="Q3">INDEX($A$2:$A$118, MATCH(0, COUNTIF($Q$1:Q2, $A$2:$A$118), 0))</f>
        <v>WS-03</v>
      </c>
      <c r="S3" s="332" cm="1">
        <f t="array" ref="S3">IFERROR(INDEX($E$2:$E$118, SMALL(IF($A$2:$A$118=S$2, ROW($E$2:$E$118)-ROW($E$2)+1), ROWS($S$3:S3))), "")</f>
        <v>1252</v>
      </c>
      <c r="T3" s="332" cm="1">
        <f t="array" ref="T3">IFERROR(INDEX($E$2:$E$118, SMALL(IF($A$2:$A$118=T$2, ROW($E$2:$E$118)-ROW($E$2)+1), ROWS($S$3:T3))), "")</f>
        <v>433</v>
      </c>
      <c r="U3" s="332" cm="1">
        <f t="array" ref="U3">IFERROR(INDEX($E$2:$E$118, SMALL(IF($A$2:$A$118=U$2, ROW($E$2:$E$118)-ROW($E$2)+1), ROWS($S$3:U3))), "")</f>
        <v>433</v>
      </c>
      <c r="V3" s="332" cm="1">
        <f t="array" ref="V3">IFERROR(INDEX($E$2:$E$118, SMALL(IF($A$2:$A$118=V$2, ROW($E$2:$E$118)-ROW($E$2)+1), ROWS($S$3:V3))), "")</f>
        <v>1078</v>
      </c>
      <c r="W3" s="332" cm="1">
        <f t="array" ref="W3">IFERROR(INDEX($E$2:$E$118, SMALL(IF($A$2:$A$118=W$2, ROW($E$2:$E$118)-ROW($E$2)+1), ROWS($S$3:W3))), "")</f>
        <v>626</v>
      </c>
      <c r="X3" s="332" cm="1">
        <f t="array" ref="X3">IFERROR(INDEX($E$2:$E$118, SMALL(IF($A$2:$A$118=X$2, ROW($E$2:$E$118)-ROW($E$2)+1), ROWS($S$3:X3))), "")</f>
        <v>429</v>
      </c>
      <c r="Y3" s="332" cm="1">
        <f t="array" ref="Y3">IFERROR(INDEX($E$2:$E$118, SMALL(IF($A$2:$A$118=Y$2, ROW($E$2:$E$118)-ROW($E$2)+1), ROWS($S$3:Y3))), "")</f>
        <v>1252</v>
      </c>
      <c r="Z3" s="332" cm="1">
        <f t="array" ref="Z3">IFERROR(INDEX($E$2:$E$118, SMALL(IF($A$2:$A$118=Z$2, ROW($E$2:$E$118)-ROW($E$2)+1), ROWS($S$3:Z3))), "")</f>
        <v>429</v>
      </c>
      <c r="AA3" s="332" cm="1">
        <f t="array" ref="AA3">IFERROR(INDEX($E$2:$E$118, SMALL(IF($A$2:$A$118=AA$2, ROW($E$2:$E$118)-ROW($E$2)+1), ROWS($S$3:AA3))), "")</f>
        <v>626</v>
      </c>
      <c r="AB3" s="332" cm="1">
        <f t="array" ref="AB3">IFERROR(INDEX($E$2:$E$118, SMALL(IF($A$2:$A$118=AB$2, ROW($E$2:$E$118)-ROW($E$2)+1), ROWS($S$3:AB3))), "")</f>
        <v>433</v>
      </c>
      <c r="AC3" s="332" cm="1">
        <f t="array" ref="AC3">IFERROR(INDEX($E$2:$E$118, SMALL(IF($A$2:$A$118=AC$2, ROW($E$2:$E$118)-ROW($E$2)+1), ROWS($S$3:AC3))), "")</f>
        <v>1252</v>
      </c>
      <c r="AD3" s="332" cm="1">
        <f t="array" ref="AD3">IFERROR(INDEX($E$2:$E$118, SMALL(IF($A$2:$A$118=AD$2, ROW($E$2:$E$118)-ROW($E$2)+1), ROWS($S$3:AD3))), "")</f>
        <v>1078</v>
      </c>
      <c r="AE3" s="332" cm="1">
        <f t="array" ref="AE3">IFERROR(INDEX($E$2:$E$118, SMALL(IF($A$2:$A$118=AE$2, ROW($E$2:$E$118)-ROW($E$2)+1), ROWS($S$3:AE3))), "")</f>
        <v>429</v>
      </c>
      <c r="AF3" s="332" cm="1">
        <f t="array" ref="AF3">IFERROR(INDEX($E$2:$E$118, SMALL(IF($A$2:$A$118=AF$2, ROW($E$2:$E$118)-ROW($E$2)+1), ROWS($S$3:AF3))), "")</f>
        <v>626</v>
      </c>
      <c r="AG3" s="332" cm="1">
        <f t="array" ref="AG3">IFERROR(INDEX($E$2:$E$118, SMALL(IF($A$2:$A$118=AG$2, ROW($E$2:$E$118)-ROW($E$2)+1), ROWS($S$3:AG3))), "")</f>
        <v>626</v>
      </c>
      <c r="AH3" s="332" cm="1">
        <f t="array" ref="AH3">IFERROR(INDEX($E$2:$E$118, SMALL(IF($A$2:$A$118=AH$2, ROW($E$2:$E$118)-ROW($E$2)+1), ROWS($S$3:AH3))), "")</f>
        <v>1252</v>
      </c>
      <c r="AI3" s="332" cm="1">
        <f t="array" ref="AI3">IFERROR(INDEX($E$2:$E$118, SMALL(IF($A$2:$A$118=AI$2, ROW($E$2:$E$118)-ROW($E$2)+1), ROWS($S$3:AI3))), "")</f>
        <v>433</v>
      </c>
      <c r="AJ3" s="332" cm="1">
        <f t="array" ref="AJ3">IFERROR(INDEX($E$2:$E$118, SMALL(IF($A$2:$A$118=AJ$2, ROW($E$2:$E$118)-ROW($E$2)+1), ROWS($S$3:AJ3))), "")</f>
        <v>626</v>
      </c>
      <c r="AK3" s="332" cm="1">
        <f t="array" ref="AK3">IFERROR(INDEX($E$2:$E$118, SMALL(IF($A$2:$A$118=AK$2, ROW($E$2:$E$118)-ROW($E$2)+1), ROWS($S$3:AK3))), "")</f>
        <v>1252</v>
      </c>
      <c r="AL3" s="332" cm="1">
        <f t="array" ref="AL3">IFERROR(INDEX($E$2:$E$118, SMALL(IF($A$2:$A$118=AL$2, ROW($E$2:$E$118)-ROW($E$2)+1), ROWS($S$3:AL3))), "")</f>
        <v>1078</v>
      </c>
      <c r="AM3" s="332" cm="1">
        <f t="array" ref="AM3">IFERROR(INDEX($E$2:$E$118, SMALL(IF($A$2:$A$118=AM$2, ROW($E$2:$E$118)-ROW($E$2)+1), ROWS($S$3:AM3))), "")</f>
        <v>1078</v>
      </c>
      <c r="AN3" s="332" cm="1">
        <f t="array" ref="AN3">IFERROR(INDEX($E$2:$E$118, SMALL(IF($A$2:$A$118=AN$2, ROW($E$2:$E$118)-ROW($E$2)+1), ROWS($S$3:AN3))), "")</f>
        <v>626</v>
      </c>
      <c r="AO3" s="332" cm="1">
        <f t="array" ref="AO3">IFERROR(INDEX($E$2:$E$118, SMALL(IF($A$2:$A$118=AO$2, ROW($E$2:$E$118)-ROW($E$2)+1), ROWS($S$3:AO3))), "")</f>
        <v>1252</v>
      </c>
      <c r="AP3" s="332" cm="1">
        <f t="array" ref="AP3">IFERROR(INDEX($E$2:$E$118, SMALL(IF($A$2:$A$118=AP$2, ROW($E$2:$E$118)-ROW($E$2)+1), ROWS($S$3:AP3))), "")</f>
        <v>433</v>
      </c>
      <c r="AQ3" s="332" cm="1">
        <f t="array" ref="AQ3">IFERROR(INDEX($E$2:$E$118, SMALL(IF($A$2:$A$118=AQ$2, ROW($E$2:$E$118)-ROW($E$2)+1), ROWS($S$3:AQ3))), "")</f>
        <v>1252</v>
      </c>
      <c r="AR3" s="332" cm="1">
        <f t="array" ref="AR3">IFERROR(INDEX($E$2:$E$118, SMALL(IF($A$2:$A$118=AR$2, ROW($E$2:$E$118)-ROW($E$2)+1), ROWS($S$3:AR3))), "")</f>
        <v>1252</v>
      </c>
    </row>
    <row r="4" spans="1:44">
      <c r="A4" s="329" t="s">
        <v>1036</v>
      </c>
      <c r="B4" s="329" t="s">
        <v>520</v>
      </c>
      <c r="C4" s="330">
        <f>VLOOKUP(B4, 'S14 ABC Output'!$A$3:$C$18, 3, 0)</f>
        <v>25639</v>
      </c>
      <c r="D4" s="330">
        <f>_xlfn.XLOOKUP(B4, 'S18 Operations'!$B$2:$B$534, 'S18 Operations'!$G$2:$G$534, 0, 0)</f>
        <v>200</v>
      </c>
      <c r="E4" s="330">
        <f t="shared" si="3"/>
        <v>129</v>
      </c>
      <c r="F4" s="330">
        <f>VLOOKUP(A4, 'S17 Work Stations'!$A$2:$C$45, 3, 0)</f>
        <v>30</v>
      </c>
      <c r="G4" s="330" cm="1">
        <f t="array" ref="G4">VLOOKUP(A4&amp;"-"&amp;B4, CHOOSE({1,2}, 'S18 Operations'!$D$2:$D$534&amp;"-"&amp;'S18 Operations'!$B$2:$B$534, 'S18 Operations'!$F$2:$F$534), 2, 0)</f>
        <v>360</v>
      </c>
      <c r="H4" s="331">
        <f t="shared" si="4"/>
        <v>6</v>
      </c>
      <c r="I4" s="331">
        <f t="shared" si="5"/>
        <v>157704</v>
      </c>
      <c r="J4" s="331">
        <f t="shared" si="6"/>
        <v>2628.4</v>
      </c>
      <c r="L4">
        <f t="shared" si="0"/>
        <v>2</v>
      </c>
      <c r="M4">
        <f t="shared" si="1"/>
        <v>129</v>
      </c>
      <c r="N4">
        <f t="shared" si="2"/>
        <v>1252</v>
      </c>
      <c r="O4">
        <f t="shared" si="7"/>
        <v>3</v>
      </c>
      <c r="Q4" s="257" t="str" cm="1">
        <f t="array" ref="Q4">INDEX($A$2:$A$118, MATCH(0, COUNTIF($Q$1:Q3, $A$2:$A$118), 0))</f>
        <v>WS-04</v>
      </c>
      <c r="S4" s="332" cm="1">
        <f t="array" ref="S4">IFERROR(INDEX($E$2:$E$118, SMALL(IF($A$2:$A$118=S$2, ROW($E$2:$E$118)-ROW($E$2)+1), ROWS($S$3:S4))), "")</f>
        <v>129</v>
      </c>
      <c r="T4" s="332" cm="1">
        <f t="array" ref="T4">IFERROR(INDEX($E$2:$E$118, SMALL(IF($A$2:$A$118=T$2, ROW($E$2:$E$118)-ROW($E$2)+1), ROWS($S$3:T4))), "")</f>
        <v>274</v>
      </c>
      <c r="U4" s="332" cm="1">
        <f t="array" ref="U4">IFERROR(INDEX($E$2:$E$118, SMALL(IF($A$2:$A$118=U$2, ROW($E$2:$E$118)-ROW($E$2)+1), ROWS($S$3:U4))), "")</f>
        <v>274</v>
      </c>
      <c r="V4" s="332" cm="1">
        <f t="array" ref="V4">IFERROR(INDEX($E$2:$E$118, SMALL(IF($A$2:$A$118=V$2, ROW($E$2:$E$118)-ROW($E$2)+1), ROWS($S$3:V4))), "")</f>
        <v>327</v>
      </c>
      <c r="W4" s="332" cm="1">
        <f t="array" ref="W4">IFERROR(INDEX($E$2:$E$118, SMALL(IF($A$2:$A$118=W$2, ROW($E$2:$E$118)-ROW($E$2)+1), ROWS($S$3:W4))), "")</f>
        <v>429</v>
      </c>
      <c r="X4" s="332" cm="1">
        <f t="array" ref="X4">IFERROR(INDEX($E$2:$E$118, SMALL(IF($A$2:$A$118=X$2, ROW($E$2:$E$118)-ROW($E$2)+1), ROWS($S$3:X4))), "")</f>
        <v>254</v>
      </c>
      <c r="Y4" s="332" cm="1">
        <f t="array" ref="Y4">IFERROR(INDEX($E$2:$E$118, SMALL(IF($A$2:$A$118=Y$2, ROW($E$2:$E$118)-ROW($E$2)+1), ROWS($S$3:Y4))), "")</f>
        <v>129</v>
      </c>
      <c r="Z4" s="332" cm="1">
        <f t="array" ref="Z4">IFERROR(INDEX($E$2:$E$118, SMALL(IF($A$2:$A$118=Z$2, ROW($E$2:$E$118)-ROW($E$2)+1), ROWS($S$3:Z4))), "")</f>
        <v>254</v>
      </c>
      <c r="AA4" s="332" cm="1">
        <f t="array" ref="AA4">IFERROR(INDEX($E$2:$E$118, SMALL(IF($A$2:$A$118=AA$2, ROW($E$2:$E$118)-ROW($E$2)+1), ROWS($S$3:AA4))), "")</f>
        <v>129</v>
      </c>
      <c r="AB4" s="332" cm="1">
        <f t="array" ref="AB4">IFERROR(INDEX($E$2:$E$118, SMALL(IF($A$2:$A$118=AB$2, ROW($E$2:$E$118)-ROW($E$2)+1), ROWS($S$3:AB4))), "")</f>
        <v>274</v>
      </c>
      <c r="AC4" s="332" cm="1">
        <f t="array" ref="AC4">IFERROR(INDEX($E$2:$E$118, SMALL(IF($A$2:$A$118=AC$2, ROW($E$2:$E$118)-ROW($E$2)+1), ROWS($S$3:AC4))), "")</f>
        <v>129</v>
      </c>
      <c r="AD4" s="332" cm="1">
        <f t="array" ref="AD4">IFERROR(INDEX($E$2:$E$118, SMALL(IF($A$2:$A$118=AD$2, ROW($E$2:$E$118)-ROW($E$2)+1), ROWS($S$3:AD4))), "")</f>
        <v>327</v>
      </c>
      <c r="AE4" s="332" cm="1">
        <f t="array" ref="AE4">IFERROR(INDEX($E$2:$E$118, SMALL(IF($A$2:$A$118=AE$2, ROW($E$2:$E$118)-ROW($E$2)+1), ROWS($S$3:AE4))), "")</f>
        <v>254</v>
      </c>
      <c r="AF4" s="332" cm="1">
        <f t="array" ref="AF4">IFERROR(INDEX($E$2:$E$118, SMALL(IF($A$2:$A$118=AF$2, ROW($E$2:$E$118)-ROW($E$2)+1), ROWS($S$3:AF4))), "")</f>
        <v>129</v>
      </c>
      <c r="AG4" s="332" cm="1">
        <f t="array" ref="AG4">IFERROR(INDEX($E$2:$E$118, SMALL(IF($A$2:$A$118=AG$2, ROW($E$2:$E$118)-ROW($E$2)+1), ROWS($S$3:AG4))), "")</f>
        <v>129</v>
      </c>
      <c r="AH4" s="332" cm="1">
        <f t="array" ref="AH4">IFERROR(INDEX($E$2:$E$118, SMALL(IF($A$2:$A$118=AH$2, ROW($E$2:$E$118)-ROW($E$2)+1), ROWS($S$3:AH4))), "")</f>
        <v>129</v>
      </c>
      <c r="AI4" s="332" cm="1">
        <f t="array" ref="AI4">IFERROR(INDEX($E$2:$E$118, SMALL(IF($A$2:$A$118=AI$2, ROW($E$2:$E$118)-ROW($E$2)+1), ROWS($S$3:AI4))), "")</f>
        <v>274</v>
      </c>
      <c r="AJ4" s="332" cm="1">
        <f t="array" ref="AJ4">IFERROR(INDEX($E$2:$E$118, SMALL(IF($A$2:$A$118=AJ$2, ROW($E$2:$E$118)-ROW($E$2)+1), ROWS($S$3:AJ4))), "")</f>
        <v>433</v>
      </c>
      <c r="AK4" s="332" cm="1">
        <f t="array" ref="AK4">IFERROR(INDEX($E$2:$E$118, SMALL(IF($A$2:$A$118=AK$2, ROW($E$2:$E$118)-ROW($E$2)+1), ROWS($S$3:AK4))), "")</f>
        <v>129</v>
      </c>
      <c r="AL4" s="332" cm="1">
        <f t="array" ref="AL4">IFERROR(INDEX($E$2:$E$118, SMALL(IF($A$2:$A$118=AL$2, ROW($E$2:$E$118)-ROW($E$2)+1), ROWS($S$3:AL4))), "")</f>
        <v>327</v>
      </c>
      <c r="AM4" s="332" cm="1">
        <f t="array" ref="AM4">IFERROR(INDEX($E$2:$E$118, SMALL(IF($A$2:$A$118=AM$2, ROW($E$2:$E$118)-ROW($E$2)+1), ROWS($S$3:AM4))), "")</f>
        <v>327</v>
      </c>
      <c r="AN4" s="332" cm="1">
        <f t="array" ref="AN4">IFERROR(INDEX($E$2:$E$118, SMALL(IF($A$2:$A$118=AN$2, ROW($E$2:$E$118)-ROW($E$2)+1), ROWS($S$3:AN4))), "")</f>
        <v>129</v>
      </c>
      <c r="AO4" s="332" cm="1">
        <f t="array" ref="AO4">IFERROR(INDEX($E$2:$E$118, SMALL(IF($A$2:$A$118=AO$2, ROW($E$2:$E$118)-ROW($E$2)+1), ROWS($S$3:AO4))), "")</f>
        <v>433</v>
      </c>
      <c r="AP4" s="332" t="str" cm="1">
        <f t="array" ref="AP4">IFERROR(INDEX($E$2:$E$118, SMALL(IF($A$2:$A$118=AP$2, ROW($E$2:$E$118)-ROW($E$2)+1), ROWS($S$3:AP4))), "")</f>
        <v/>
      </c>
      <c r="AQ4" s="332" cm="1">
        <f t="array" ref="AQ4">IFERROR(INDEX($E$2:$E$118, SMALL(IF($A$2:$A$118=AQ$2, ROW($E$2:$E$118)-ROW($E$2)+1), ROWS($S$3:AQ4))), "")</f>
        <v>1078</v>
      </c>
      <c r="AR4" s="332" cm="1">
        <f t="array" ref="AR4">IFERROR(INDEX($E$2:$E$118, SMALL(IF($A$2:$A$118=AR$2, ROW($E$2:$E$118)-ROW($E$2)+1), ROWS($S$3:AR4))), "")</f>
        <v>1078</v>
      </c>
    </row>
    <row r="5" spans="1:44">
      <c r="A5" s="329" t="s">
        <v>1038</v>
      </c>
      <c r="B5" s="329" t="s">
        <v>634</v>
      </c>
      <c r="C5" s="330">
        <f>VLOOKUP(B5, 'S14 ABC Output'!$A$3:$C$18, 3, 0)</f>
        <v>86542</v>
      </c>
      <c r="D5" s="330">
        <f>_xlfn.XLOOKUP(B5, 'S18 Operations'!$B$2:$B$534, 'S18 Operations'!$G$2:$G$534, 0, 0)</f>
        <v>200</v>
      </c>
      <c r="E5" s="330">
        <f t="shared" si="3"/>
        <v>433</v>
      </c>
      <c r="F5" s="330">
        <f>VLOOKUP(A5, 'S17 Work Stations'!$A$2:$C$45, 3, 0)</f>
        <v>30</v>
      </c>
      <c r="G5" s="330" cm="1">
        <f t="array" ref="G5">VLOOKUP(A5&amp;"-"&amp;B5, CHOOSE({1,2}, 'S18 Operations'!$D$2:$D$534&amp;"-"&amp;'S18 Operations'!$B$2:$B$534, 'S18 Operations'!$F$2:$F$534), 2, 0)</f>
        <v>120</v>
      </c>
      <c r="H5" s="331">
        <f t="shared" si="4"/>
        <v>2</v>
      </c>
      <c r="I5" s="331">
        <f t="shared" si="5"/>
        <v>181304</v>
      </c>
      <c r="J5" s="331">
        <f t="shared" si="6"/>
        <v>3021.7333333333331</v>
      </c>
      <c r="L5">
        <f t="shared" si="0"/>
        <v>1</v>
      </c>
      <c r="M5">
        <f t="shared" si="1"/>
        <v>274</v>
      </c>
      <c r="N5">
        <f t="shared" si="2"/>
        <v>433</v>
      </c>
      <c r="O5">
        <f t="shared" si="7"/>
        <v>2</v>
      </c>
      <c r="Q5" s="257" t="str" cm="1">
        <f t="array" ref="Q5">INDEX($A$2:$A$118, MATCH(0, COUNTIF($Q$1:Q4, $A$2:$A$118), 0))</f>
        <v>WS-05</v>
      </c>
      <c r="S5" s="332" cm="1">
        <f t="array" ref="S5">IFERROR(INDEX($E$2:$E$118, SMALL(IF($A$2:$A$118=S$2, ROW($E$2:$E$118)-ROW($E$2)+1), ROWS($S$3:S5))), "")</f>
        <v>129</v>
      </c>
      <c r="T5" s="332" t="str" cm="1">
        <f t="array" ref="T5">IFERROR(INDEX($E$2:$E$118, SMALL(IF($A$2:$A$118=T$2, ROW($E$2:$E$118)-ROW($E$2)+1), ROWS($S$3:T5))), "")</f>
        <v/>
      </c>
      <c r="U5" s="332" t="str" cm="1">
        <f t="array" ref="U5">IFERROR(INDEX($E$2:$E$118, SMALL(IF($A$2:$A$118=U$2, ROW($E$2:$E$118)-ROW($E$2)+1), ROWS($S$3:U5))), "")</f>
        <v/>
      </c>
      <c r="V5" s="332" cm="1">
        <f t="array" ref="V5">IFERROR(INDEX($E$2:$E$118, SMALL(IF($A$2:$A$118=V$2, ROW($E$2:$E$118)-ROW($E$2)+1), ROWS($S$3:V5))), "")</f>
        <v>230</v>
      </c>
      <c r="W5" s="332" cm="1">
        <f t="array" ref="W5">IFERROR(INDEX($E$2:$E$118, SMALL(IF($A$2:$A$118=W$2, ROW($E$2:$E$118)-ROW($E$2)+1), ROWS($S$3:W5))), "")</f>
        <v>254</v>
      </c>
      <c r="X5" s="332" t="str" cm="1">
        <f t="array" ref="X5">IFERROR(INDEX($E$2:$E$118, SMALL(IF($A$2:$A$118=X$2, ROW($E$2:$E$118)-ROW($E$2)+1), ROWS($S$3:X5))), "")</f>
        <v/>
      </c>
      <c r="Y5" s="332" cm="1">
        <f t="array" ref="Y5">IFERROR(INDEX($E$2:$E$118, SMALL(IF($A$2:$A$118=Y$2, ROW($E$2:$E$118)-ROW($E$2)+1), ROWS($S$3:Y5))), "")</f>
        <v>129</v>
      </c>
      <c r="Z5" s="332" t="str" cm="1">
        <f t="array" ref="Z5">IFERROR(INDEX($E$2:$E$118, SMALL(IF($A$2:$A$118=Z$2, ROW($E$2:$E$118)-ROW($E$2)+1), ROWS($S$3:Z5))), "")</f>
        <v/>
      </c>
      <c r="AA5" s="332" cm="1">
        <f t="array" ref="AA5">IFERROR(INDEX($E$2:$E$118, SMALL(IF($A$2:$A$118=AA$2, ROW($E$2:$E$118)-ROW($E$2)+1), ROWS($S$3:AA5))), "")</f>
        <v>510</v>
      </c>
      <c r="AB5" s="332" t="str" cm="1">
        <f t="array" ref="AB5">IFERROR(INDEX($E$2:$E$118, SMALL(IF($A$2:$A$118=AB$2, ROW($E$2:$E$118)-ROW($E$2)+1), ROWS($S$3:AB5))), "")</f>
        <v/>
      </c>
      <c r="AC5" s="332" cm="1">
        <f t="array" ref="AC5">IFERROR(INDEX($E$2:$E$118, SMALL(IF($A$2:$A$118=AC$2, ROW($E$2:$E$118)-ROW($E$2)+1), ROWS($S$3:AC5))), "")</f>
        <v>129</v>
      </c>
      <c r="AD5" s="332" cm="1">
        <f t="array" ref="AD5">IFERROR(INDEX($E$2:$E$118, SMALL(IF($A$2:$A$118=AD$2, ROW($E$2:$E$118)-ROW($E$2)+1), ROWS($S$3:AD5))), "")</f>
        <v>230</v>
      </c>
      <c r="AE5" s="332" t="str" cm="1">
        <f t="array" ref="AE5">IFERROR(INDEX($E$2:$E$118, SMALL(IF($A$2:$A$118=AE$2, ROW($E$2:$E$118)-ROW($E$2)+1), ROWS($S$3:AE5))), "")</f>
        <v/>
      </c>
      <c r="AF5" s="332" cm="1">
        <f t="array" ref="AF5">IFERROR(INDEX($E$2:$E$118, SMALL(IF($A$2:$A$118=AF$2, ROW($E$2:$E$118)-ROW($E$2)+1), ROWS($S$3:AF5))), "")</f>
        <v>510</v>
      </c>
      <c r="AG5" s="332" cm="1">
        <f t="array" ref="AG5">IFERROR(INDEX($E$2:$E$118, SMALL(IF($A$2:$A$118=AG$2, ROW($E$2:$E$118)-ROW($E$2)+1), ROWS($S$3:AG5))), "")</f>
        <v>510</v>
      </c>
      <c r="AH5" s="332" cm="1">
        <f t="array" ref="AH5">IFERROR(INDEX($E$2:$E$118, SMALL(IF($A$2:$A$118=AH$2, ROW($E$2:$E$118)-ROW($E$2)+1), ROWS($S$3:AH5))), "")</f>
        <v>129</v>
      </c>
      <c r="AI5" s="332" t="str" cm="1">
        <f t="array" ref="AI5">IFERROR(INDEX($E$2:$E$118, SMALL(IF($A$2:$A$118=AI$2, ROW($E$2:$E$118)-ROW($E$2)+1), ROWS($S$3:AI5))), "")</f>
        <v/>
      </c>
      <c r="AJ5" s="332" cm="1">
        <f t="array" ref="AJ5">IFERROR(INDEX($E$2:$E$118, SMALL(IF($A$2:$A$118=AJ$2, ROW($E$2:$E$118)-ROW($E$2)+1), ROWS($S$3:AJ5))), "")</f>
        <v>429</v>
      </c>
      <c r="AK5" s="332" cm="1">
        <f t="array" ref="AK5">IFERROR(INDEX($E$2:$E$118, SMALL(IF($A$2:$A$118=AK$2, ROW($E$2:$E$118)-ROW($E$2)+1), ROWS($S$3:AK5))), "")</f>
        <v>129</v>
      </c>
      <c r="AL5" s="332" cm="1">
        <f t="array" ref="AL5">IFERROR(INDEX($E$2:$E$118, SMALL(IF($A$2:$A$118=AL$2, ROW($E$2:$E$118)-ROW($E$2)+1), ROWS($S$3:AL5))), "")</f>
        <v>230</v>
      </c>
      <c r="AM5" s="332" cm="1">
        <f t="array" ref="AM5">IFERROR(INDEX($E$2:$E$118, SMALL(IF($A$2:$A$118=AM$2, ROW($E$2:$E$118)-ROW($E$2)+1), ROWS($S$3:AM5))), "")</f>
        <v>230</v>
      </c>
      <c r="AN5" s="332" cm="1">
        <f t="array" ref="AN5">IFERROR(INDEX($E$2:$E$118, SMALL(IF($A$2:$A$118=AN$2, ROW($E$2:$E$118)-ROW($E$2)+1), ROWS($S$3:AN5))), "")</f>
        <v>510</v>
      </c>
      <c r="AO5" s="332" cm="1">
        <f t="array" ref="AO5">IFERROR(INDEX($E$2:$E$118, SMALL(IF($A$2:$A$118=AO$2, ROW($E$2:$E$118)-ROW($E$2)+1), ROWS($S$3:AO5))), "")</f>
        <v>429</v>
      </c>
      <c r="AP5" s="332" t="str" cm="1">
        <f t="array" ref="AP5">IFERROR(INDEX($E$2:$E$118, SMALL(IF($A$2:$A$118=AP$2, ROW($E$2:$E$118)-ROW($E$2)+1), ROWS($S$3:AP5))), "")</f>
        <v/>
      </c>
      <c r="AQ5" s="332" cm="1">
        <f t="array" ref="AQ5">IFERROR(INDEX($E$2:$E$118, SMALL(IF($A$2:$A$118=AQ$2, ROW($E$2:$E$118)-ROW($E$2)+1), ROWS($S$3:AQ5))), "")</f>
        <v>626</v>
      </c>
      <c r="AR5" s="332" cm="1">
        <f t="array" ref="AR5">IFERROR(INDEX($E$2:$E$118, SMALL(IF($A$2:$A$118=AR$2, ROW($E$2:$E$118)-ROW($E$2)+1), ROWS($S$3:AR5))), "")</f>
        <v>626</v>
      </c>
    </row>
    <row r="6" spans="1:44">
      <c r="A6" s="329" t="s">
        <v>1038</v>
      </c>
      <c r="B6" s="329" t="s">
        <v>612</v>
      </c>
      <c r="C6" s="330">
        <f>VLOOKUP(B6, 'S14 ABC Output'!$A$3:$C$18, 3, 0)</f>
        <v>54682</v>
      </c>
      <c r="D6" s="330">
        <f>_xlfn.XLOOKUP(B6, 'S18 Operations'!$B$2:$B$534, 'S18 Operations'!$G$2:$G$534, 0, 0)</f>
        <v>200</v>
      </c>
      <c r="E6" s="330">
        <f t="shared" si="3"/>
        <v>274</v>
      </c>
      <c r="F6" s="330">
        <f>VLOOKUP(A6, 'S17 Work Stations'!$A$2:$C$45, 3, 0)</f>
        <v>30</v>
      </c>
      <c r="G6" s="330" cm="1">
        <f t="array" ref="G6">VLOOKUP(A6&amp;"-"&amp;B6, CHOOSE({1,2}, 'S18 Operations'!$D$2:$D$534&amp;"-"&amp;'S18 Operations'!$B$2:$B$534, 'S18 Operations'!$F$2:$F$534), 2, 0)</f>
        <v>420</v>
      </c>
      <c r="H6" s="331">
        <f t="shared" si="4"/>
        <v>7</v>
      </c>
      <c r="I6" s="331">
        <f t="shared" si="5"/>
        <v>390994</v>
      </c>
      <c r="J6" s="331">
        <f t="shared" si="6"/>
        <v>6516.5666666666666</v>
      </c>
      <c r="L6">
        <f t="shared" si="0"/>
        <v>2</v>
      </c>
      <c r="M6">
        <f t="shared" si="1"/>
        <v>274</v>
      </c>
      <c r="N6">
        <f t="shared" si="2"/>
        <v>433</v>
      </c>
      <c r="O6">
        <f t="shared" si="7"/>
        <v>2</v>
      </c>
      <c r="Q6" s="257" t="str" cm="1">
        <f t="array" ref="Q6">INDEX($A$2:$A$118, MATCH(0, COUNTIF($Q$1:Q5, $A$2:$A$118), 0))</f>
        <v>WS-07</v>
      </c>
      <c r="S6" s="332" t="str" cm="1">
        <f t="array" ref="S6">IFERROR(INDEX($E$2:$E$118, SMALL(IF($A$2:$A$118=S$2, ROW($E$2:$E$118)-ROW($E$2)+1), ROWS($S$3:S6))), "")</f>
        <v/>
      </c>
      <c r="T6" s="332" t="str" cm="1">
        <f t="array" ref="T6">IFERROR(INDEX($E$2:$E$118, SMALL(IF($A$2:$A$118=T$2, ROW($E$2:$E$118)-ROW($E$2)+1), ROWS($S$3:T6))), "")</f>
        <v/>
      </c>
      <c r="U6" s="332" t="str" cm="1">
        <f t="array" ref="U6">IFERROR(INDEX($E$2:$E$118, SMALL(IF($A$2:$A$118=U$2, ROW($E$2:$E$118)-ROW($E$2)+1), ROWS($S$3:U6))), "")</f>
        <v/>
      </c>
      <c r="V6" s="332" cm="1">
        <f t="array" ref="V6">IFERROR(INDEX($E$2:$E$118, SMALL(IF($A$2:$A$118=V$2, ROW($E$2:$E$118)-ROW($E$2)+1), ROWS($S$3:V6))), "")</f>
        <v>183</v>
      </c>
      <c r="W6" s="332" cm="1">
        <f t="array" ref="W6">IFERROR(INDEX($E$2:$E$118, SMALL(IF($A$2:$A$118=W$2, ROW($E$2:$E$118)-ROW($E$2)+1), ROWS($S$3:W6))), "")</f>
        <v>129</v>
      </c>
      <c r="X6" s="332" t="str" cm="1">
        <f t="array" ref="X6">IFERROR(INDEX($E$2:$E$118, SMALL(IF($A$2:$A$118=X$2, ROW($E$2:$E$118)-ROW($E$2)+1), ROWS($S$3:X6))), "")</f>
        <v/>
      </c>
      <c r="Y6" s="332" t="str" cm="1">
        <f t="array" ref="Y6">IFERROR(INDEX($E$2:$E$118, SMALL(IF($A$2:$A$118=Y$2, ROW($E$2:$E$118)-ROW($E$2)+1), ROWS($S$3:Y6))), "")</f>
        <v/>
      </c>
      <c r="Z6" s="332" t="str" cm="1">
        <f t="array" ref="Z6">IFERROR(INDEX($E$2:$E$118, SMALL(IF($A$2:$A$118=Z$2, ROW($E$2:$E$118)-ROW($E$2)+1), ROWS($S$3:Z6))), "")</f>
        <v/>
      </c>
      <c r="AA6" s="332" t="str" cm="1">
        <f t="array" ref="AA6">IFERROR(INDEX($E$2:$E$118, SMALL(IF($A$2:$A$118=AA$2, ROW($E$2:$E$118)-ROW($E$2)+1), ROWS($S$3:AA6))), "")</f>
        <v/>
      </c>
      <c r="AB6" s="332" t="str" cm="1">
        <f t="array" ref="AB6">IFERROR(INDEX($E$2:$E$118, SMALL(IF($A$2:$A$118=AB$2, ROW($E$2:$E$118)-ROW($E$2)+1), ROWS($S$3:AB6))), "")</f>
        <v/>
      </c>
      <c r="AC6" s="332" t="str" cm="1">
        <f t="array" ref="AC6">IFERROR(INDEX($E$2:$E$118, SMALL(IF($A$2:$A$118=AC$2, ROW($E$2:$E$118)-ROW($E$2)+1), ROWS($S$3:AC6))), "")</f>
        <v/>
      </c>
      <c r="AD6" s="332" cm="1">
        <f t="array" ref="AD6">IFERROR(INDEX($E$2:$E$118, SMALL(IF($A$2:$A$118=AD$2, ROW($E$2:$E$118)-ROW($E$2)+1), ROWS($S$3:AD6))), "")</f>
        <v>183</v>
      </c>
      <c r="AE6" s="332" t="str" cm="1">
        <f t="array" ref="AE6">IFERROR(INDEX($E$2:$E$118, SMALL(IF($A$2:$A$118=AE$2, ROW($E$2:$E$118)-ROW($E$2)+1), ROWS($S$3:AE6))), "")</f>
        <v/>
      </c>
      <c r="AF6" s="332" t="str" cm="1">
        <f t="array" ref="AF6">IFERROR(INDEX($E$2:$E$118, SMALL(IF($A$2:$A$118=AF$2, ROW($E$2:$E$118)-ROW($E$2)+1), ROWS($S$3:AF6))), "")</f>
        <v/>
      </c>
      <c r="AG6" s="332" t="str" cm="1">
        <f t="array" ref="AG6">IFERROR(INDEX($E$2:$E$118, SMALL(IF($A$2:$A$118=AG$2, ROW($E$2:$E$118)-ROW($E$2)+1), ROWS($S$3:AG6))), "")</f>
        <v/>
      </c>
      <c r="AH6" s="332" t="str" cm="1">
        <f t="array" ref="AH6">IFERROR(INDEX($E$2:$E$118, SMALL(IF($A$2:$A$118=AH$2, ROW($E$2:$E$118)-ROW($E$2)+1), ROWS($S$3:AH6))), "")</f>
        <v/>
      </c>
      <c r="AI6" s="332" t="str" cm="1">
        <f t="array" ref="AI6">IFERROR(INDEX($E$2:$E$118, SMALL(IF($A$2:$A$118=AI$2, ROW($E$2:$E$118)-ROW($E$2)+1), ROWS($S$3:AI6))), "")</f>
        <v/>
      </c>
      <c r="AJ6" s="332" cm="1">
        <f t="array" ref="AJ6">IFERROR(INDEX($E$2:$E$118, SMALL(IF($A$2:$A$118=AJ$2, ROW($E$2:$E$118)-ROW($E$2)+1), ROWS($S$3:AJ6))), "")</f>
        <v>274</v>
      </c>
      <c r="AK6" s="332" t="str" cm="1">
        <f t="array" ref="AK6">IFERROR(INDEX($E$2:$E$118, SMALL(IF($A$2:$A$118=AK$2, ROW($E$2:$E$118)-ROW($E$2)+1), ROWS($S$3:AK6))), "")</f>
        <v/>
      </c>
      <c r="AL6" s="332" cm="1">
        <f t="array" ref="AL6">IFERROR(INDEX($E$2:$E$118, SMALL(IF($A$2:$A$118=AL$2, ROW($E$2:$E$118)-ROW($E$2)+1), ROWS($S$3:AL6))), "")</f>
        <v>183</v>
      </c>
      <c r="AM6" s="332" cm="1">
        <f t="array" ref="AM6">IFERROR(INDEX($E$2:$E$118, SMALL(IF($A$2:$A$118=AM$2, ROW($E$2:$E$118)-ROW($E$2)+1), ROWS($S$3:AM6))), "")</f>
        <v>183</v>
      </c>
      <c r="AN6" s="332" t="str" cm="1">
        <f t="array" ref="AN6">IFERROR(INDEX($E$2:$E$118, SMALL(IF($A$2:$A$118=AN$2, ROW($E$2:$E$118)-ROW($E$2)+1), ROWS($S$3:AN6))), "")</f>
        <v/>
      </c>
      <c r="AO6" s="332" cm="1">
        <f t="array" ref="AO6">IFERROR(INDEX($E$2:$E$118, SMALL(IF($A$2:$A$118=AO$2, ROW($E$2:$E$118)-ROW($E$2)+1), ROWS($S$3:AO6))), "")</f>
        <v>274</v>
      </c>
      <c r="AP6" s="332" t="str" cm="1">
        <f t="array" ref="AP6">IFERROR(INDEX($E$2:$E$118, SMALL(IF($A$2:$A$118=AP$2, ROW($E$2:$E$118)-ROW($E$2)+1), ROWS($S$3:AP6))), "")</f>
        <v/>
      </c>
      <c r="AQ6" s="332" cm="1">
        <f t="array" ref="AQ6">IFERROR(INDEX($E$2:$E$118, SMALL(IF($A$2:$A$118=AQ$2, ROW($E$2:$E$118)-ROW($E$2)+1), ROWS($S$3:AQ6))), "")</f>
        <v>433</v>
      </c>
      <c r="AR6" s="332" cm="1">
        <f t="array" ref="AR6">IFERROR(INDEX($E$2:$E$118, SMALL(IF($A$2:$A$118=AR$2, ROW($E$2:$E$118)-ROW($E$2)+1), ROWS($S$3:AR6))), "")</f>
        <v>433</v>
      </c>
    </row>
    <row r="7" spans="1:44">
      <c r="A7" s="329" t="s">
        <v>1040</v>
      </c>
      <c r="B7" s="329" t="s">
        <v>634</v>
      </c>
      <c r="C7" s="330">
        <f>VLOOKUP(B7, 'S14 ABC Output'!$A$3:$C$18, 3, 0)</f>
        <v>86542</v>
      </c>
      <c r="D7" s="330">
        <f>_xlfn.XLOOKUP(B7, 'S18 Operations'!$B$2:$B$534, 'S18 Operations'!$G$2:$G$534, 0, 0)</f>
        <v>200</v>
      </c>
      <c r="E7" s="330">
        <f t="shared" si="3"/>
        <v>433</v>
      </c>
      <c r="F7" s="330">
        <f>VLOOKUP(A7, 'S17 Work Stations'!$A$2:$C$45, 3, 0)</f>
        <v>40</v>
      </c>
      <c r="G7" s="330" cm="1">
        <f t="array" ref="G7">VLOOKUP(A7&amp;"-"&amp;B7, CHOOSE({1,2}, 'S18 Operations'!$D$2:$D$534&amp;"-"&amp;'S18 Operations'!$B$2:$B$534, 'S18 Operations'!$F$2:$F$534), 2, 0)</f>
        <v>120</v>
      </c>
      <c r="H7" s="331">
        <f t="shared" si="4"/>
        <v>2</v>
      </c>
      <c r="I7" s="331">
        <f t="shared" si="5"/>
        <v>184044</v>
      </c>
      <c r="J7" s="331">
        <f t="shared" si="6"/>
        <v>3067.4</v>
      </c>
      <c r="L7">
        <f t="shared" si="0"/>
        <v>1</v>
      </c>
      <c r="M7">
        <f t="shared" si="1"/>
        <v>274</v>
      </c>
      <c r="N7">
        <f t="shared" si="2"/>
        <v>433</v>
      </c>
      <c r="O7">
        <f t="shared" si="7"/>
        <v>2</v>
      </c>
      <c r="Q7" s="257" t="str" cm="1">
        <f t="array" ref="Q7">INDEX($A$2:$A$118, MATCH(0, COUNTIF($Q$1:Q6, $A$2:$A$118), 0))</f>
        <v>WS-08</v>
      </c>
      <c r="S7" s="332" t="str" cm="1">
        <f t="array" ref="S7">IFERROR(INDEX($E$2:$E$118, SMALL(IF($A$2:$A$118=S$2, ROW($E$2:$E$118)-ROW($E$2)+1), ROWS($S$3:S7))), "")</f>
        <v/>
      </c>
      <c r="T7" s="332" t="str" cm="1">
        <f t="array" ref="T7">IFERROR(INDEX($E$2:$E$118, SMALL(IF($A$2:$A$118=T$2, ROW($E$2:$E$118)-ROW($E$2)+1), ROWS($S$3:T7))), "")</f>
        <v/>
      </c>
      <c r="U7" s="332" t="str" cm="1">
        <f t="array" ref="U7">IFERROR(INDEX($E$2:$E$118, SMALL(IF($A$2:$A$118=U$2, ROW($E$2:$E$118)-ROW($E$2)+1), ROWS($S$3:U7))), "")</f>
        <v/>
      </c>
      <c r="V7" s="332" cm="1">
        <f t="array" ref="V7">IFERROR(INDEX($E$2:$E$118, SMALL(IF($A$2:$A$118=V$2, ROW($E$2:$E$118)-ROW($E$2)+1), ROWS($S$3:V7))), "")</f>
        <v>183</v>
      </c>
      <c r="W7" s="332" cm="1">
        <f t="array" ref="W7">IFERROR(INDEX($E$2:$E$118, SMALL(IF($A$2:$A$118=W$2, ROW($E$2:$E$118)-ROW($E$2)+1), ROWS($S$3:W7))), "")</f>
        <v>510</v>
      </c>
      <c r="X7" s="332" t="str" cm="1">
        <f t="array" ref="X7">IFERROR(INDEX($E$2:$E$118, SMALL(IF($A$2:$A$118=X$2, ROW($E$2:$E$118)-ROW($E$2)+1), ROWS($S$3:X7))), "")</f>
        <v/>
      </c>
      <c r="Y7" s="332" t="str" cm="1">
        <f t="array" ref="Y7">IFERROR(INDEX($E$2:$E$118, SMALL(IF($A$2:$A$118=Y$2, ROW($E$2:$E$118)-ROW($E$2)+1), ROWS($S$3:Y7))), "")</f>
        <v/>
      </c>
      <c r="Z7" s="332" t="str" cm="1">
        <f t="array" ref="Z7">IFERROR(INDEX($E$2:$E$118, SMALL(IF($A$2:$A$118=Z$2, ROW($E$2:$E$118)-ROW($E$2)+1), ROWS($S$3:Z7))), "")</f>
        <v/>
      </c>
      <c r="AA7" s="332" t="str" cm="1">
        <f t="array" ref="AA7">IFERROR(INDEX($E$2:$E$118, SMALL(IF($A$2:$A$118=AA$2, ROW($E$2:$E$118)-ROW($E$2)+1), ROWS($S$3:AA7))), "")</f>
        <v/>
      </c>
      <c r="AB7" s="332" t="str" cm="1">
        <f t="array" ref="AB7">IFERROR(INDEX($E$2:$E$118, SMALL(IF($A$2:$A$118=AB$2, ROW($E$2:$E$118)-ROW($E$2)+1), ROWS($S$3:AB7))), "")</f>
        <v/>
      </c>
      <c r="AC7" s="332" t="str" cm="1">
        <f t="array" ref="AC7">IFERROR(INDEX($E$2:$E$118, SMALL(IF($A$2:$A$118=AC$2, ROW($E$2:$E$118)-ROW($E$2)+1), ROWS($S$3:AC7))), "")</f>
        <v/>
      </c>
      <c r="AD7" s="332" cm="1">
        <f t="array" ref="AD7">IFERROR(INDEX($E$2:$E$118, SMALL(IF($A$2:$A$118=AD$2, ROW($E$2:$E$118)-ROW($E$2)+1), ROWS($S$3:AD7))), "")</f>
        <v>183</v>
      </c>
      <c r="AE7" s="332" t="str" cm="1">
        <f t="array" ref="AE7">IFERROR(INDEX($E$2:$E$118, SMALL(IF($A$2:$A$118=AE$2, ROW($E$2:$E$118)-ROW($E$2)+1), ROWS($S$3:AE7))), "")</f>
        <v/>
      </c>
      <c r="AF7" s="332" t="str" cm="1">
        <f t="array" ref="AF7">IFERROR(INDEX($E$2:$E$118, SMALL(IF($A$2:$A$118=AF$2, ROW($E$2:$E$118)-ROW($E$2)+1), ROWS($S$3:AF7))), "")</f>
        <v/>
      </c>
      <c r="AG7" s="332" t="str" cm="1">
        <f t="array" ref="AG7">IFERROR(INDEX($E$2:$E$118, SMALL(IF($A$2:$A$118=AG$2, ROW($E$2:$E$118)-ROW($E$2)+1), ROWS($S$3:AG7))), "")</f>
        <v/>
      </c>
      <c r="AH7" s="332" t="str" cm="1">
        <f t="array" ref="AH7">IFERROR(INDEX($E$2:$E$118, SMALL(IF($A$2:$A$118=AH$2, ROW($E$2:$E$118)-ROW($E$2)+1), ROWS($S$3:AH7))), "")</f>
        <v/>
      </c>
      <c r="AI7" s="332" t="str" cm="1">
        <f t="array" ref="AI7">IFERROR(INDEX($E$2:$E$118, SMALL(IF($A$2:$A$118=AI$2, ROW($E$2:$E$118)-ROW($E$2)+1), ROWS($S$3:AI7))), "")</f>
        <v/>
      </c>
      <c r="AJ7" s="332" cm="1">
        <f t="array" ref="AJ7">IFERROR(INDEX($E$2:$E$118, SMALL(IF($A$2:$A$118=AJ$2, ROW($E$2:$E$118)-ROW($E$2)+1), ROWS($S$3:AJ7))), "")</f>
        <v>254</v>
      </c>
      <c r="AK7" s="332" t="str" cm="1">
        <f t="array" ref="AK7">IFERROR(INDEX($E$2:$E$118, SMALL(IF($A$2:$A$118=AK$2, ROW($E$2:$E$118)-ROW($E$2)+1), ROWS($S$3:AK7))), "")</f>
        <v/>
      </c>
      <c r="AL7" s="332" cm="1">
        <f t="array" ref="AL7">IFERROR(INDEX($E$2:$E$118, SMALL(IF($A$2:$A$118=AL$2, ROW($E$2:$E$118)-ROW($E$2)+1), ROWS($S$3:AL7))), "")</f>
        <v>183</v>
      </c>
      <c r="AM7" s="332" cm="1">
        <f t="array" ref="AM7">IFERROR(INDEX($E$2:$E$118, SMALL(IF($A$2:$A$118=AM$2, ROW($E$2:$E$118)-ROW($E$2)+1), ROWS($S$3:AM7))), "")</f>
        <v>183</v>
      </c>
      <c r="AN7" s="332" t="str" cm="1">
        <f t="array" ref="AN7">IFERROR(INDEX($E$2:$E$118, SMALL(IF($A$2:$A$118=AN$2, ROW($E$2:$E$118)-ROW($E$2)+1), ROWS($S$3:AN7))), "")</f>
        <v/>
      </c>
      <c r="AO7" s="332" cm="1">
        <f t="array" ref="AO7">IFERROR(INDEX($E$2:$E$118, SMALL(IF($A$2:$A$118=AO$2, ROW($E$2:$E$118)-ROW($E$2)+1), ROWS($S$3:AO7))), "")</f>
        <v>254</v>
      </c>
      <c r="AP7" s="332" t="str" cm="1">
        <f t="array" ref="AP7">IFERROR(INDEX($E$2:$E$118, SMALL(IF($A$2:$A$118=AP$2, ROW($E$2:$E$118)-ROW($E$2)+1), ROWS($S$3:AP7))), "")</f>
        <v/>
      </c>
      <c r="AQ7" s="332" cm="1">
        <f t="array" ref="AQ7">IFERROR(INDEX($E$2:$E$118, SMALL(IF($A$2:$A$118=AQ$2, ROW($E$2:$E$118)-ROW($E$2)+1), ROWS($S$3:AQ7))), "")</f>
        <v>429</v>
      </c>
      <c r="AR7" s="332" cm="1">
        <f t="array" ref="AR7">IFERROR(INDEX($E$2:$E$118, SMALL(IF($A$2:$A$118=AR$2, ROW($E$2:$E$118)-ROW($E$2)+1), ROWS($S$3:AR7))), "")</f>
        <v>429</v>
      </c>
    </row>
    <row r="8" spans="1:44">
      <c r="A8" s="329" t="s">
        <v>1040</v>
      </c>
      <c r="B8" s="329" t="s">
        <v>612</v>
      </c>
      <c r="C8" s="330">
        <f>VLOOKUP(B8, 'S14 ABC Output'!$A$3:$C$18, 3, 0)</f>
        <v>54682</v>
      </c>
      <c r="D8" s="330">
        <f>_xlfn.XLOOKUP(B8, 'S18 Operations'!$B$2:$B$534, 'S18 Operations'!$G$2:$G$534, 0, 0)</f>
        <v>200</v>
      </c>
      <c r="E8" s="330">
        <f t="shared" si="3"/>
        <v>274</v>
      </c>
      <c r="F8" s="330">
        <f>VLOOKUP(A8, 'S17 Work Stations'!$A$2:$C$45, 3, 0)</f>
        <v>40</v>
      </c>
      <c r="G8" s="330" cm="1">
        <f t="array" ref="G8">VLOOKUP(A8&amp;"-"&amp;B8, CHOOSE({1,2}, 'S18 Operations'!$D$2:$D$534&amp;"-"&amp;'S18 Operations'!$B$2:$B$534, 'S18 Operations'!$F$2:$F$534), 2, 0)</f>
        <v>180</v>
      </c>
      <c r="H8" s="331">
        <f t="shared" si="4"/>
        <v>3</v>
      </c>
      <c r="I8" s="331">
        <f t="shared" si="5"/>
        <v>175006</v>
      </c>
      <c r="J8" s="331">
        <f t="shared" si="6"/>
        <v>2916.7666666666669</v>
      </c>
      <c r="L8">
        <f t="shared" si="0"/>
        <v>2</v>
      </c>
      <c r="M8">
        <f t="shared" si="1"/>
        <v>274</v>
      </c>
      <c r="N8">
        <f t="shared" si="2"/>
        <v>433</v>
      </c>
      <c r="O8">
        <f t="shared" si="7"/>
        <v>2</v>
      </c>
      <c r="Q8" s="257" t="str" cm="1">
        <f t="array" ref="Q8">INDEX($A$2:$A$118, MATCH(0, COUNTIF($Q$1:Q7, $A$2:$A$118), 0))</f>
        <v>WS-18</v>
      </c>
      <c r="S8" s="332" t="str" cm="1">
        <f t="array" ref="S8">IFERROR(INDEX($E$2:$E$118, SMALL(IF($A$2:$A$118=S$2, ROW($E$2:$E$118)-ROW($E$2)+1), ROWS($S$3:S8))), "")</f>
        <v/>
      </c>
      <c r="T8" s="332" t="str" cm="1">
        <f t="array" ref="T8">IFERROR(INDEX($E$2:$E$118, SMALL(IF($A$2:$A$118=T$2, ROW($E$2:$E$118)-ROW($E$2)+1), ROWS($S$3:T8))), "")</f>
        <v/>
      </c>
      <c r="U8" s="332" t="str" cm="1">
        <f t="array" ref="U8">IFERROR(INDEX($E$2:$E$118, SMALL(IF($A$2:$A$118=U$2, ROW($E$2:$E$118)-ROW($E$2)+1), ROWS($S$3:U8))), "")</f>
        <v/>
      </c>
      <c r="V8" s="332" cm="1">
        <f t="array" ref="V8">IFERROR(INDEX($E$2:$E$118, SMALL(IF($A$2:$A$118=V$2, ROW($E$2:$E$118)-ROW($E$2)+1), ROWS($S$3:V8))), "")</f>
        <v>129</v>
      </c>
      <c r="W8" s="332" t="str" cm="1">
        <f t="array" ref="W8">IFERROR(INDEX($E$2:$E$118, SMALL(IF($A$2:$A$118=W$2, ROW($E$2:$E$118)-ROW($E$2)+1), ROWS($S$3:W8))), "")</f>
        <v/>
      </c>
      <c r="X8" s="332" t="str" cm="1">
        <f t="array" ref="X8">IFERROR(INDEX($E$2:$E$118, SMALL(IF($A$2:$A$118=X$2, ROW($E$2:$E$118)-ROW($E$2)+1), ROWS($S$3:X8))), "")</f>
        <v/>
      </c>
      <c r="Y8" s="332" t="str" cm="1">
        <f t="array" ref="Y8">IFERROR(INDEX($E$2:$E$118, SMALL(IF($A$2:$A$118=Y$2, ROW($E$2:$E$118)-ROW($E$2)+1), ROWS($S$3:Y8))), "")</f>
        <v/>
      </c>
      <c r="Z8" s="332" t="str" cm="1">
        <f t="array" ref="Z8">IFERROR(INDEX($E$2:$E$118, SMALL(IF($A$2:$A$118=Z$2, ROW($E$2:$E$118)-ROW($E$2)+1), ROWS($S$3:Z8))), "")</f>
        <v/>
      </c>
      <c r="AA8" s="332" t="str" cm="1">
        <f t="array" ref="AA8">IFERROR(INDEX($E$2:$E$118, SMALL(IF($A$2:$A$118=AA$2, ROW($E$2:$E$118)-ROW($E$2)+1), ROWS($S$3:AA8))), "")</f>
        <v/>
      </c>
      <c r="AB8" s="332" t="str" cm="1">
        <f t="array" ref="AB8">IFERROR(INDEX($E$2:$E$118, SMALL(IF($A$2:$A$118=AB$2, ROW($E$2:$E$118)-ROW($E$2)+1), ROWS($S$3:AB8))), "")</f>
        <v/>
      </c>
      <c r="AC8" s="332" t="str" cm="1">
        <f t="array" ref="AC8">IFERROR(INDEX($E$2:$E$118, SMALL(IF($A$2:$A$118=AC$2, ROW($E$2:$E$118)-ROW($E$2)+1), ROWS($S$3:AC8))), "")</f>
        <v/>
      </c>
      <c r="AD8" s="332" cm="1">
        <f t="array" ref="AD8">IFERROR(INDEX($E$2:$E$118, SMALL(IF($A$2:$A$118=AD$2, ROW($E$2:$E$118)-ROW($E$2)+1), ROWS($S$3:AD8))), "")</f>
        <v>129</v>
      </c>
      <c r="AE8" s="332" t="str" cm="1">
        <f t="array" ref="AE8">IFERROR(INDEX($E$2:$E$118, SMALL(IF($A$2:$A$118=AE$2, ROW($E$2:$E$118)-ROW($E$2)+1), ROWS($S$3:AE8))), "")</f>
        <v/>
      </c>
      <c r="AF8" s="332" t="str" cm="1">
        <f t="array" ref="AF8">IFERROR(INDEX($E$2:$E$118, SMALL(IF($A$2:$A$118=AF$2, ROW($E$2:$E$118)-ROW($E$2)+1), ROWS($S$3:AF8))), "")</f>
        <v/>
      </c>
      <c r="AG8" s="332" t="str" cm="1">
        <f t="array" ref="AG8">IFERROR(INDEX($E$2:$E$118, SMALL(IF($A$2:$A$118=AG$2, ROW($E$2:$E$118)-ROW($E$2)+1), ROWS($S$3:AG8))), "")</f>
        <v/>
      </c>
      <c r="AH8" s="332" t="str" cm="1">
        <f t="array" ref="AH8">IFERROR(INDEX($E$2:$E$118, SMALL(IF($A$2:$A$118=AH$2, ROW($E$2:$E$118)-ROW($E$2)+1), ROWS($S$3:AH8))), "")</f>
        <v/>
      </c>
      <c r="AI8" s="332" t="str" cm="1">
        <f t="array" ref="AI8">IFERROR(INDEX($E$2:$E$118, SMALL(IF($A$2:$A$118=AI$2, ROW($E$2:$E$118)-ROW($E$2)+1), ROWS($S$3:AI8))), "")</f>
        <v/>
      </c>
      <c r="AJ8" s="332" cm="1">
        <f t="array" ref="AJ8">IFERROR(INDEX($E$2:$E$118, SMALL(IF($A$2:$A$118=AJ$2, ROW($E$2:$E$118)-ROW($E$2)+1), ROWS($S$3:AJ8))), "")</f>
        <v>129</v>
      </c>
      <c r="AK8" s="332" t="str" cm="1">
        <f t="array" ref="AK8">IFERROR(INDEX($E$2:$E$118, SMALL(IF($A$2:$A$118=AK$2, ROW($E$2:$E$118)-ROW($E$2)+1), ROWS($S$3:AK8))), "")</f>
        <v/>
      </c>
      <c r="AL8" s="332" cm="1">
        <f t="array" ref="AL8">IFERROR(INDEX($E$2:$E$118, SMALL(IF($A$2:$A$118=AL$2, ROW($E$2:$E$118)-ROW($E$2)+1), ROWS($S$3:AL8))), "")</f>
        <v>129</v>
      </c>
      <c r="AM8" s="332" cm="1">
        <f t="array" ref="AM8">IFERROR(INDEX($E$2:$E$118, SMALL(IF($A$2:$A$118=AM$2, ROW($E$2:$E$118)-ROW($E$2)+1), ROWS($S$3:AM8))), "")</f>
        <v>129</v>
      </c>
      <c r="AN8" s="332" t="str" cm="1">
        <f t="array" ref="AN8">IFERROR(INDEX($E$2:$E$118, SMALL(IF($A$2:$A$118=AN$2, ROW($E$2:$E$118)-ROW($E$2)+1), ROWS($S$3:AN8))), "")</f>
        <v/>
      </c>
      <c r="AO8" s="332" cm="1">
        <f t="array" ref="AO8">IFERROR(INDEX($E$2:$E$118, SMALL(IF($A$2:$A$118=AO$2, ROW($E$2:$E$118)-ROW($E$2)+1), ROWS($S$3:AO8))), "")</f>
        <v>129</v>
      </c>
      <c r="AP8" s="332" t="str" cm="1">
        <f t="array" ref="AP8">IFERROR(INDEX($E$2:$E$118, SMALL(IF($A$2:$A$118=AP$2, ROW($E$2:$E$118)-ROW($E$2)+1), ROWS($S$3:AP8))), "")</f>
        <v/>
      </c>
      <c r="AQ8" s="332" cm="1">
        <f t="array" ref="AQ8">IFERROR(INDEX($E$2:$E$118, SMALL(IF($A$2:$A$118=AQ$2, ROW($E$2:$E$118)-ROW($E$2)+1), ROWS($S$3:AQ8))), "")</f>
        <v>327</v>
      </c>
      <c r="AR8" s="332" cm="1">
        <f t="array" ref="AR8">IFERROR(INDEX($E$2:$E$118, SMALL(IF($A$2:$A$118=AR$2, ROW($E$2:$E$118)-ROW($E$2)+1), ROWS($S$3:AR8))), "")</f>
        <v>327</v>
      </c>
    </row>
    <row r="9" spans="1:44">
      <c r="A9" s="329" t="s">
        <v>1042</v>
      </c>
      <c r="B9" s="329" t="s">
        <v>514</v>
      </c>
      <c r="C9" s="330">
        <f>VLOOKUP(B9, 'S14 ABC Output'!$A$3:$C$18, 3, 0)</f>
        <v>215425</v>
      </c>
      <c r="D9" s="330">
        <f>_xlfn.XLOOKUP(B9, 'S18 Operations'!$B$2:$B$534, 'S18 Operations'!$G$2:$G$534, 0, 0)</f>
        <v>200</v>
      </c>
      <c r="E9" s="330">
        <f t="shared" si="3"/>
        <v>1078</v>
      </c>
      <c r="F9" s="330">
        <f>VLOOKUP(A9, 'S17 Work Stations'!$A$2:$C$45, 3, 0)</f>
        <v>30</v>
      </c>
      <c r="G9" s="330" cm="1">
        <f t="array" ref="G9">VLOOKUP(A9&amp;"-"&amp;B9, CHOOSE({1,2}, 'S18 Operations'!$D$2:$D$534&amp;"-"&amp;'S18 Operations'!$B$2:$B$534, 'S18 Operations'!$F$2:$F$534), 2, 0)</f>
        <v>480</v>
      </c>
      <c r="H9" s="331">
        <f t="shared" si="4"/>
        <v>8</v>
      </c>
      <c r="I9" s="331">
        <f t="shared" si="5"/>
        <v>1733210</v>
      </c>
      <c r="J9" s="331">
        <f t="shared" si="6"/>
        <v>28886.833333333332</v>
      </c>
      <c r="L9">
        <f t="shared" si="0"/>
        <v>1</v>
      </c>
      <c r="M9">
        <f t="shared" si="1"/>
        <v>129</v>
      </c>
      <c r="N9">
        <f t="shared" si="2"/>
        <v>1078</v>
      </c>
      <c r="O9">
        <f t="shared" si="7"/>
        <v>6</v>
      </c>
      <c r="Q9" s="257" t="str" cm="1">
        <f t="array" ref="Q9">INDEX($A$2:$A$118, MATCH(0, COUNTIF($Q$1:Q8, $A$2:$A$118), 0))</f>
        <v>WS-20</v>
      </c>
      <c r="S9" s="332" t="str" cm="1">
        <f t="array" ref="S9">IFERROR(INDEX($E$2:$E$118, SMALL(IF($A$2:$A$118=S$2, ROW($E$2:$E$118)-ROW($E$2)+1), ROWS($S$3:S9))), "")</f>
        <v/>
      </c>
      <c r="T9" s="332" t="str" cm="1">
        <f t="array" ref="T9">IFERROR(INDEX($E$2:$E$118, SMALL(IF($A$2:$A$118=T$2, ROW($E$2:$E$118)-ROW($E$2)+1), ROWS($S$3:T9))), "")</f>
        <v/>
      </c>
      <c r="U9" s="332" t="str" cm="1">
        <f t="array" ref="U9">IFERROR(INDEX($E$2:$E$118, SMALL(IF($A$2:$A$118=U$2, ROW($E$2:$E$118)-ROW($E$2)+1), ROWS($S$3:U9))), "")</f>
        <v/>
      </c>
      <c r="V9" s="332" t="str" cm="1">
        <f t="array" ref="V9">IFERROR(INDEX($E$2:$E$118, SMALL(IF($A$2:$A$118=V$2, ROW($E$2:$E$118)-ROW($E$2)+1), ROWS($S$3:V9))), "")</f>
        <v/>
      </c>
      <c r="W9" s="332" t="str" cm="1">
        <f t="array" ref="W9">IFERROR(INDEX($E$2:$E$118, SMALL(IF($A$2:$A$118=W$2, ROW($E$2:$E$118)-ROW($E$2)+1), ROWS($S$3:W9))), "")</f>
        <v/>
      </c>
      <c r="X9" s="332" t="str" cm="1">
        <f t="array" ref="X9">IFERROR(INDEX($E$2:$E$118, SMALL(IF($A$2:$A$118=X$2, ROW($E$2:$E$118)-ROW($E$2)+1), ROWS($S$3:X9))), "")</f>
        <v/>
      </c>
      <c r="Y9" s="332" t="str" cm="1">
        <f t="array" ref="Y9">IFERROR(INDEX($E$2:$E$118, SMALL(IF($A$2:$A$118=Y$2, ROW($E$2:$E$118)-ROW($E$2)+1), ROWS($S$3:Y9))), "")</f>
        <v/>
      </c>
      <c r="Z9" s="332" t="str" cm="1">
        <f t="array" ref="Z9">IFERROR(INDEX($E$2:$E$118, SMALL(IF($A$2:$A$118=Z$2, ROW($E$2:$E$118)-ROW($E$2)+1), ROWS($S$3:Z9))), "")</f>
        <v/>
      </c>
      <c r="AA9" s="332" t="str" cm="1">
        <f t="array" ref="AA9">IFERROR(INDEX($E$2:$E$118, SMALL(IF($A$2:$A$118=AA$2, ROW($E$2:$E$118)-ROW($E$2)+1), ROWS($S$3:AA9))), "")</f>
        <v/>
      </c>
      <c r="AB9" s="332" t="str" cm="1">
        <f t="array" ref="AB9">IFERROR(INDEX($E$2:$E$118, SMALL(IF($A$2:$A$118=AB$2, ROW($E$2:$E$118)-ROW($E$2)+1), ROWS($S$3:AB9))), "")</f>
        <v/>
      </c>
      <c r="AC9" s="332" t="str" cm="1">
        <f t="array" ref="AC9">IFERROR(INDEX($E$2:$E$118, SMALL(IF($A$2:$A$118=AC$2, ROW($E$2:$E$118)-ROW($E$2)+1), ROWS($S$3:AC9))), "")</f>
        <v/>
      </c>
      <c r="AD9" s="332" t="str" cm="1">
        <f t="array" ref="AD9">IFERROR(INDEX($E$2:$E$118, SMALL(IF($A$2:$A$118=AD$2, ROW($E$2:$E$118)-ROW($E$2)+1), ROWS($S$3:AD9))), "")</f>
        <v/>
      </c>
      <c r="AE9" s="332" t="str" cm="1">
        <f t="array" ref="AE9">IFERROR(INDEX($E$2:$E$118, SMALL(IF($A$2:$A$118=AE$2, ROW($E$2:$E$118)-ROW($E$2)+1), ROWS($S$3:AE9))), "")</f>
        <v/>
      </c>
      <c r="AF9" s="332" t="str" cm="1">
        <f t="array" ref="AF9">IFERROR(INDEX($E$2:$E$118, SMALL(IF($A$2:$A$118=AF$2, ROW($E$2:$E$118)-ROW($E$2)+1), ROWS($S$3:AF9))), "")</f>
        <v/>
      </c>
      <c r="AG9" s="332" t="str" cm="1">
        <f t="array" ref="AG9">IFERROR(INDEX($E$2:$E$118, SMALL(IF($A$2:$A$118=AG$2, ROW($E$2:$E$118)-ROW($E$2)+1), ROWS($S$3:AG9))), "")</f>
        <v/>
      </c>
      <c r="AH9" s="332" t="str" cm="1">
        <f t="array" ref="AH9">IFERROR(INDEX($E$2:$E$118, SMALL(IF($A$2:$A$118=AH$2, ROW($E$2:$E$118)-ROW($E$2)+1), ROWS($S$3:AH9))), "")</f>
        <v/>
      </c>
      <c r="AI9" s="332" t="str" cm="1">
        <f t="array" ref="AI9">IFERROR(INDEX($E$2:$E$118, SMALL(IF($A$2:$A$118=AI$2, ROW($E$2:$E$118)-ROW($E$2)+1), ROWS($S$3:AI9))), "")</f>
        <v/>
      </c>
      <c r="AJ9" s="332" cm="1">
        <f t="array" ref="AJ9">IFERROR(INDEX($E$2:$E$118, SMALL(IF($A$2:$A$118=AJ$2, ROW($E$2:$E$118)-ROW($E$2)+1), ROWS($S$3:AJ9))), "")</f>
        <v>510</v>
      </c>
      <c r="AK9" s="332" t="str" cm="1">
        <f t="array" ref="AK9">IFERROR(INDEX($E$2:$E$118, SMALL(IF($A$2:$A$118=AK$2, ROW($E$2:$E$118)-ROW($E$2)+1), ROWS($S$3:AK9))), "")</f>
        <v/>
      </c>
      <c r="AL9" s="332" t="str" cm="1">
        <f t="array" ref="AL9">IFERROR(INDEX($E$2:$E$118, SMALL(IF($A$2:$A$118=AL$2, ROW($E$2:$E$118)-ROW($E$2)+1), ROWS($S$3:AL9))), "")</f>
        <v/>
      </c>
      <c r="AM9" s="332" t="str" cm="1">
        <f t="array" ref="AM9">IFERROR(INDEX($E$2:$E$118, SMALL(IF($A$2:$A$118=AM$2, ROW($E$2:$E$118)-ROW($E$2)+1), ROWS($S$3:AM9))), "")</f>
        <v/>
      </c>
      <c r="AN9" s="332" t="str" cm="1">
        <f t="array" ref="AN9">IFERROR(INDEX($E$2:$E$118, SMALL(IF($A$2:$A$118=AN$2, ROW($E$2:$E$118)-ROW($E$2)+1), ROWS($S$3:AN9))), "")</f>
        <v/>
      </c>
      <c r="AO9" s="332" cm="1">
        <f t="array" ref="AO9">IFERROR(INDEX($E$2:$E$118, SMALL(IF($A$2:$A$118=AO$2, ROW($E$2:$E$118)-ROW($E$2)+1), ROWS($S$3:AO9))), "")</f>
        <v>129</v>
      </c>
      <c r="AP9" s="332" t="str" cm="1">
        <f t="array" ref="AP9">IFERROR(INDEX($E$2:$E$118, SMALL(IF($A$2:$A$118=AP$2, ROW($E$2:$E$118)-ROW($E$2)+1), ROWS($S$3:AP9))), "")</f>
        <v/>
      </c>
      <c r="AQ9" s="332" cm="1">
        <f t="array" ref="AQ9">IFERROR(INDEX($E$2:$E$118, SMALL(IF($A$2:$A$118=AQ$2, ROW($E$2:$E$118)-ROW($E$2)+1), ROWS($S$3:AQ9))), "")</f>
        <v>274</v>
      </c>
      <c r="AR9" s="332" cm="1">
        <f t="array" ref="AR9">IFERROR(INDEX($E$2:$E$118, SMALL(IF($A$2:$A$118=AR$2, ROW($E$2:$E$118)-ROW($E$2)+1), ROWS($S$3:AR9))), "")</f>
        <v>274</v>
      </c>
    </row>
    <row r="10" spans="1:44">
      <c r="A10" s="329" t="s">
        <v>1042</v>
      </c>
      <c r="B10" s="329" t="s">
        <v>642</v>
      </c>
      <c r="C10" s="330">
        <f>VLOOKUP(B10, 'S14 ABC Output'!$A$3:$C$18, 3, 0)</f>
        <v>65248</v>
      </c>
      <c r="D10" s="330">
        <f>_xlfn.XLOOKUP(B10, 'S18 Operations'!$B$2:$B$534, 'S18 Operations'!$G$2:$G$534, 0, 0)</f>
        <v>200</v>
      </c>
      <c r="E10" s="330">
        <f t="shared" si="3"/>
        <v>327</v>
      </c>
      <c r="F10" s="330">
        <f>VLOOKUP(A10, 'S17 Work Stations'!$A$2:$C$45, 3, 0)</f>
        <v>30</v>
      </c>
      <c r="G10" s="330" cm="1">
        <f t="array" ref="G10">VLOOKUP(A10&amp;"-"&amp;B10, CHOOSE({1,2}, 'S18 Operations'!$D$2:$D$534&amp;"-"&amp;'S18 Operations'!$B$2:$B$534, 'S18 Operations'!$F$2:$F$534), 2, 0)</f>
        <v>720</v>
      </c>
      <c r="H10" s="331">
        <f t="shared" si="4"/>
        <v>12</v>
      </c>
      <c r="I10" s="331">
        <f t="shared" si="5"/>
        <v>792786</v>
      </c>
      <c r="J10" s="331">
        <f t="shared" si="6"/>
        <v>13213.1</v>
      </c>
      <c r="L10">
        <f t="shared" si="0"/>
        <v>2</v>
      </c>
      <c r="M10">
        <f t="shared" si="1"/>
        <v>129</v>
      </c>
      <c r="N10">
        <f t="shared" si="2"/>
        <v>1078</v>
      </c>
      <c r="O10">
        <f t="shared" si="7"/>
        <v>6</v>
      </c>
      <c r="Q10" s="257" t="str" cm="1">
        <f t="array" ref="Q10">INDEX($A$2:$A$118, MATCH(0, COUNTIF($Q$1:Q9, $A$2:$A$118), 0))</f>
        <v>WS-21</v>
      </c>
      <c r="S10" s="332" t="str" cm="1">
        <f t="array" ref="S10">IFERROR(INDEX($E$2:$E$118, SMALL(IF($A$2:$A$118=S$2, ROW($E$2:$E$118)-ROW($E$2)+1), ROWS($S$3:S10))), "")</f>
        <v/>
      </c>
      <c r="T10" s="332" t="str" cm="1">
        <f t="array" ref="T10">IFERROR(INDEX($E$2:$E$118, SMALL(IF($A$2:$A$118=T$2, ROW($E$2:$E$118)-ROW($E$2)+1), ROWS($S$3:T10))), "")</f>
        <v/>
      </c>
      <c r="U10" s="332" t="str" cm="1">
        <f t="array" ref="U10">IFERROR(INDEX($E$2:$E$118, SMALL(IF($A$2:$A$118=U$2, ROW($E$2:$E$118)-ROW($E$2)+1), ROWS($S$3:U10))), "")</f>
        <v/>
      </c>
      <c r="V10" s="332" t="str" cm="1">
        <f t="array" ref="V10">IFERROR(INDEX($E$2:$E$118, SMALL(IF($A$2:$A$118=V$2, ROW($E$2:$E$118)-ROW($E$2)+1), ROWS($S$3:V10))), "")</f>
        <v/>
      </c>
      <c r="W10" s="332" t="str" cm="1">
        <f t="array" ref="W10">IFERROR(INDEX($E$2:$E$118, SMALL(IF($A$2:$A$118=W$2, ROW($E$2:$E$118)-ROW($E$2)+1), ROWS($S$3:W10))), "")</f>
        <v/>
      </c>
      <c r="X10" s="332" t="str" cm="1">
        <f t="array" ref="X10">IFERROR(INDEX($E$2:$E$118, SMALL(IF($A$2:$A$118=X$2, ROW($E$2:$E$118)-ROW($E$2)+1), ROWS($S$3:X10))), "")</f>
        <v/>
      </c>
      <c r="Y10" s="332" t="str" cm="1">
        <f t="array" ref="Y10">IFERROR(INDEX($E$2:$E$118, SMALL(IF($A$2:$A$118=Y$2, ROW($E$2:$E$118)-ROW($E$2)+1), ROWS($S$3:Y10))), "")</f>
        <v/>
      </c>
      <c r="Z10" s="332" t="str" cm="1">
        <f t="array" ref="Z10">IFERROR(INDEX($E$2:$E$118, SMALL(IF($A$2:$A$118=Z$2, ROW($E$2:$E$118)-ROW($E$2)+1), ROWS($S$3:Z10))), "")</f>
        <v/>
      </c>
      <c r="AA10" s="332" t="str" cm="1">
        <f t="array" ref="AA10">IFERROR(INDEX($E$2:$E$118, SMALL(IF($A$2:$A$118=AA$2, ROW($E$2:$E$118)-ROW($E$2)+1), ROWS($S$3:AA10))), "")</f>
        <v/>
      </c>
      <c r="AB10" s="332" t="str" cm="1">
        <f t="array" ref="AB10">IFERROR(INDEX($E$2:$E$118, SMALL(IF($A$2:$A$118=AB$2, ROW($E$2:$E$118)-ROW($E$2)+1), ROWS($S$3:AB10))), "")</f>
        <v/>
      </c>
      <c r="AC10" s="332" t="str" cm="1">
        <f t="array" ref="AC10">IFERROR(INDEX($E$2:$E$118, SMALL(IF($A$2:$A$118=AC$2, ROW($E$2:$E$118)-ROW($E$2)+1), ROWS($S$3:AC10))), "")</f>
        <v/>
      </c>
      <c r="AD10" s="332" t="str" cm="1">
        <f t="array" ref="AD10">IFERROR(INDEX($E$2:$E$118, SMALL(IF($A$2:$A$118=AD$2, ROW($E$2:$E$118)-ROW($E$2)+1), ROWS($S$3:AD10))), "")</f>
        <v/>
      </c>
      <c r="AE10" s="332" t="str" cm="1">
        <f t="array" ref="AE10">IFERROR(INDEX($E$2:$E$118, SMALL(IF($A$2:$A$118=AE$2, ROW($E$2:$E$118)-ROW($E$2)+1), ROWS($S$3:AE10))), "")</f>
        <v/>
      </c>
      <c r="AF10" s="332" t="str" cm="1">
        <f t="array" ref="AF10">IFERROR(INDEX($E$2:$E$118, SMALL(IF($A$2:$A$118=AF$2, ROW($E$2:$E$118)-ROW($E$2)+1), ROWS($S$3:AF10))), "")</f>
        <v/>
      </c>
      <c r="AG10" s="332" t="str" cm="1">
        <f t="array" ref="AG10">IFERROR(INDEX($E$2:$E$118, SMALL(IF($A$2:$A$118=AG$2, ROW($E$2:$E$118)-ROW($E$2)+1), ROWS($S$3:AG10))), "")</f>
        <v/>
      </c>
      <c r="AH10" s="332" t="str" cm="1">
        <f t="array" ref="AH10">IFERROR(INDEX($E$2:$E$118, SMALL(IF($A$2:$A$118=AH$2, ROW($E$2:$E$118)-ROW($E$2)+1), ROWS($S$3:AH10))), "")</f>
        <v/>
      </c>
      <c r="AI10" s="332" t="str" cm="1">
        <f t="array" ref="AI10">IFERROR(INDEX($E$2:$E$118, SMALL(IF($A$2:$A$118=AI$2, ROW($E$2:$E$118)-ROW($E$2)+1), ROWS($S$3:AI10))), "")</f>
        <v/>
      </c>
      <c r="AJ10" s="332" t="str" cm="1">
        <f t="array" ref="AJ10">IFERROR(INDEX($E$2:$E$118, SMALL(IF($A$2:$A$118=AJ$2, ROW($E$2:$E$118)-ROW($E$2)+1), ROWS($S$3:AJ10))), "")</f>
        <v/>
      </c>
      <c r="AK10" s="332" t="str" cm="1">
        <f t="array" ref="AK10">IFERROR(INDEX($E$2:$E$118, SMALL(IF($A$2:$A$118=AK$2, ROW($E$2:$E$118)-ROW($E$2)+1), ROWS($S$3:AK10))), "")</f>
        <v/>
      </c>
      <c r="AL10" s="332" t="str" cm="1">
        <f t="array" ref="AL10">IFERROR(INDEX($E$2:$E$118, SMALL(IF($A$2:$A$118=AL$2, ROW($E$2:$E$118)-ROW($E$2)+1), ROWS($S$3:AL10))), "")</f>
        <v/>
      </c>
      <c r="AM10" s="332" t="str" cm="1">
        <f t="array" ref="AM10">IFERROR(INDEX($E$2:$E$118, SMALL(IF($A$2:$A$118=AM$2, ROW($E$2:$E$118)-ROW($E$2)+1), ROWS($S$3:AM10))), "")</f>
        <v/>
      </c>
      <c r="AN10" s="332" t="str" cm="1">
        <f t="array" ref="AN10">IFERROR(INDEX($E$2:$E$118, SMALL(IF($A$2:$A$118=AN$2, ROW($E$2:$E$118)-ROW($E$2)+1), ROWS($S$3:AN10))), "")</f>
        <v/>
      </c>
      <c r="AO10" s="332" t="str" cm="1">
        <f t="array" ref="AO10">IFERROR(INDEX($E$2:$E$118, SMALL(IF($A$2:$A$118=AO$2, ROW($E$2:$E$118)-ROW($E$2)+1), ROWS($S$3:AO10))), "")</f>
        <v/>
      </c>
      <c r="AP10" s="332" t="str" cm="1">
        <f t="array" ref="AP10">IFERROR(INDEX($E$2:$E$118, SMALL(IF($A$2:$A$118=AP$2, ROW($E$2:$E$118)-ROW($E$2)+1), ROWS($S$3:AP10))), "")</f>
        <v/>
      </c>
      <c r="AQ10" s="332" cm="1">
        <f t="array" ref="AQ10">IFERROR(INDEX($E$2:$E$118, SMALL(IF($A$2:$A$118=AQ$2, ROW($E$2:$E$118)-ROW($E$2)+1), ROWS($S$3:AQ10))), "")</f>
        <v>254</v>
      </c>
      <c r="AR10" s="332" cm="1">
        <f t="array" ref="AR10">IFERROR(INDEX($E$2:$E$118, SMALL(IF($A$2:$A$118=AR$2, ROW($E$2:$E$118)-ROW($E$2)+1), ROWS($S$3:AR10))), "")</f>
        <v>254</v>
      </c>
    </row>
    <row r="11" spans="1:44">
      <c r="A11" s="329" t="s">
        <v>1042</v>
      </c>
      <c r="B11" s="329" t="s">
        <v>638</v>
      </c>
      <c r="C11" s="330">
        <f>VLOOKUP(B11, 'S14 ABC Output'!$A$3:$C$18, 3, 0)</f>
        <v>45896</v>
      </c>
      <c r="D11" s="330">
        <f>_xlfn.XLOOKUP(B11, 'S18 Operations'!$B$2:$B$534, 'S18 Operations'!$G$2:$G$534, 0, 0)</f>
        <v>200</v>
      </c>
      <c r="E11" s="330">
        <f t="shared" si="3"/>
        <v>230</v>
      </c>
      <c r="F11" s="330">
        <f>VLOOKUP(A11, 'S17 Work Stations'!$A$2:$C$45, 3, 0)</f>
        <v>30</v>
      </c>
      <c r="G11" s="330" cm="1">
        <f t="array" ref="G11">VLOOKUP(A11&amp;"-"&amp;B11, CHOOSE({1,2}, 'S18 Operations'!$D$2:$D$534&amp;"-"&amp;'S18 Operations'!$B$2:$B$534, 'S18 Operations'!$F$2:$F$534), 2, 0)</f>
        <v>720</v>
      </c>
      <c r="H11" s="331">
        <f t="shared" si="4"/>
        <v>12</v>
      </c>
      <c r="I11" s="331">
        <f t="shared" si="5"/>
        <v>557652</v>
      </c>
      <c r="J11" s="331">
        <f t="shared" si="6"/>
        <v>9294.2000000000007</v>
      </c>
      <c r="L11">
        <f t="shared" si="0"/>
        <v>3</v>
      </c>
      <c r="M11">
        <f t="shared" si="1"/>
        <v>129</v>
      </c>
      <c r="N11">
        <f t="shared" si="2"/>
        <v>1078</v>
      </c>
      <c r="O11">
        <f t="shared" si="7"/>
        <v>6</v>
      </c>
      <c r="Q11" s="257" t="str" cm="1">
        <f t="array" ref="Q11">INDEX($A$2:$A$118, MATCH(0, COUNTIF($Q$1:Q10, $A$2:$A$118), 0))</f>
        <v>WS-23</v>
      </c>
      <c r="S11" s="332" t="str" cm="1">
        <f t="array" ref="S11">IFERROR(INDEX($E$2:$E$118, SMALL(IF($A$2:$A$118=S$2, ROW($E$2:$E$118)-ROW($E$2)+1), ROWS($S$3:S11))), "")</f>
        <v/>
      </c>
      <c r="T11" s="332" t="str" cm="1">
        <f t="array" ref="T11">IFERROR(INDEX($E$2:$E$118, SMALL(IF($A$2:$A$118=T$2, ROW($E$2:$E$118)-ROW($E$2)+1), ROWS($S$3:T11))), "")</f>
        <v/>
      </c>
      <c r="U11" s="332" t="str" cm="1">
        <f t="array" ref="U11">IFERROR(INDEX($E$2:$E$118, SMALL(IF($A$2:$A$118=U$2, ROW($E$2:$E$118)-ROW($E$2)+1), ROWS($S$3:U11))), "")</f>
        <v/>
      </c>
      <c r="V11" s="332" t="str" cm="1">
        <f t="array" ref="V11">IFERROR(INDEX($E$2:$E$118, SMALL(IF($A$2:$A$118=V$2, ROW($E$2:$E$118)-ROW($E$2)+1), ROWS($S$3:V11))), "")</f>
        <v/>
      </c>
      <c r="W11" s="332" t="str" cm="1">
        <f t="array" ref="W11">IFERROR(INDEX($E$2:$E$118, SMALL(IF($A$2:$A$118=W$2, ROW($E$2:$E$118)-ROW($E$2)+1), ROWS($S$3:W11))), "")</f>
        <v/>
      </c>
      <c r="X11" s="332" t="str" cm="1">
        <f t="array" ref="X11">IFERROR(INDEX($E$2:$E$118, SMALL(IF($A$2:$A$118=X$2, ROW($E$2:$E$118)-ROW($E$2)+1), ROWS($S$3:X11))), "")</f>
        <v/>
      </c>
      <c r="Y11" s="332" t="str" cm="1">
        <f t="array" ref="Y11">IFERROR(INDEX($E$2:$E$118, SMALL(IF($A$2:$A$118=Y$2, ROW($E$2:$E$118)-ROW($E$2)+1), ROWS($S$3:Y11))), "")</f>
        <v/>
      </c>
      <c r="Z11" s="332" t="str" cm="1">
        <f t="array" ref="Z11">IFERROR(INDEX($E$2:$E$118, SMALL(IF($A$2:$A$118=Z$2, ROW($E$2:$E$118)-ROW($E$2)+1), ROWS($S$3:Z11))), "")</f>
        <v/>
      </c>
      <c r="AA11" s="332" t="str" cm="1">
        <f t="array" ref="AA11">IFERROR(INDEX($E$2:$E$118, SMALL(IF($A$2:$A$118=AA$2, ROW($E$2:$E$118)-ROW($E$2)+1), ROWS($S$3:AA11))), "")</f>
        <v/>
      </c>
      <c r="AB11" s="332" t="str" cm="1">
        <f t="array" ref="AB11">IFERROR(INDEX($E$2:$E$118, SMALL(IF($A$2:$A$118=AB$2, ROW($E$2:$E$118)-ROW($E$2)+1), ROWS($S$3:AB11))), "")</f>
        <v/>
      </c>
      <c r="AC11" s="332" t="str" cm="1">
        <f t="array" ref="AC11">IFERROR(INDEX($E$2:$E$118, SMALL(IF($A$2:$A$118=AC$2, ROW($E$2:$E$118)-ROW($E$2)+1), ROWS($S$3:AC11))), "")</f>
        <v/>
      </c>
      <c r="AD11" s="332" t="str" cm="1">
        <f t="array" ref="AD11">IFERROR(INDEX($E$2:$E$118, SMALL(IF($A$2:$A$118=AD$2, ROW($E$2:$E$118)-ROW($E$2)+1), ROWS($S$3:AD11))), "")</f>
        <v/>
      </c>
      <c r="AE11" s="332" t="str" cm="1">
        <f t="array" ref="AE11">IFERROR(INDEX($E$2:$E$118, SMALL(IF($A$2:$A$118=AE$2, ROW($E$2:$E$118)-ROW($E$2)+1), ROWS($S$3:AE11))), "")</f>
        <v/>
      </c>
      <c r="AF11" s="332" t="str" cm="1">
        <f t="array" ref="AF11">IFERROR(INDEX($E$2:$E$118, SMALL(IF($A$2:$A$118=AF$2, ROW($E$2:$E$118)-ROW($E$2)+1), ROWS($S$3:AF11))), "")</f>
        <v/>
      </c>
      <c r="AG11" s="332" t="str" cm="1">
        <f t="array" ref="AG11">IFERROR(INDEX($E$2:$E$118, SMALL(IF($A$2:$A$118=AG$2, ROW($E$2:$E$118)-ROW($E$2)+1), ROWS($S$3:AG11))), "")</f>
        <v/>
      </c>
      <c r="AH11" s="332" t="str" cm="1">
        <f t="array" ref="AH11">IFERROR(INDEX($E$2:$E$118, SMALL(IF($A$2:$A$118=AH$2, ROW($E$2:$E$118)-ROW($E$2)+1), ROWS($S$3:AH11))), "")</f>
        <v/>
      </c>
      <c r="AI11" s="332" t="str" cm="1">
        <f t="array" ref="AI11">IFERROR(INDEX($E$2:$E$118, SMALL(IF($A$2:$A$118=AI$2, ROW($E$2:$E$118)-ROW($E$2)+1), ROWS($S$3:AI11))), "")</f>
        <v/>
      </c>
      <c r="AJ11" s="332" t="str" cm="1">
        <f t="array" ref="AJ11">IFERROR(INDEX($E$2:$E$118, SMALL(IF($A$2:$A$118=AJ$2, ROW($E$2:$E$118)-ROW($E$2)+1), ROWS($S$3:AJ11))), "")</f>
        <v/>
      </c>
      <c r="AK11" s="332" t="str" cm="1">
        <f t="array" ref="AK11">IFERROR(INDEX($E$2:$E$118, SMALL(IF($A$2:$A$118=AK$2, ROW($E$2:$E$118)-ROW($E$2)+1), ROWS($S$3:AK11))), "")</f>
        <v/>
      </c>
      <c r="AL11" s="332" t="str" cm="1">
        <f t="array" ref="AL11">IFERROR(INDEX($E$2:$E$118, SMALL(IF($A$2:$A$118=AL$2, ROW($E$2:$E$118)-ROW($E$2)+1), ROWS($S$3:AL11))), "")</f>
        <v/>
      </c>
      <c r="AM11" s="332" t="str" cm="1">
        <f t="array" ref="AM11">IFERROR(INDEX($E$2:$E$118, SMALL(IF($A$2:$A$118=AM$2, ROW($E$2:$E$118)-ROW($E$2)+1), ROWS($S$3:AM11))), "")</f>
        <v/>
      </c>
      <c r="AN11" s="332" t="str" cm="1">
        <f t="array" ref="AN11">IFERROR(INDEX($E$2:$E$118, SMALL(IF($A$2:$A$118=AN$2, ROW($E$2:$E$118)-ROW($E$2)+1), ROWS($S$3:AN11))), "")</f>
        <v/>
      </c>
      <c r="AO11" s="332" t="str" cm="1">
        <f t="array" ref="AO11">IFERROR(INDEX($E$2:$E$118, SMALL(IF($A$2:$A$118=AO$2, ROW($E$2:$E$118)-ROW($E$2)+1), ROWS($S$3:AO11))), "")</f>
        <v/>
      </c>
      <c r="AP11" s="332" t="str" cm="1">
        <f t="array" ref="AP11">IFERROR(INDEX($E$2:$E$118, SMALL(IF($A$2:$A$118=AP$2, ROW($E$2:$E$118)-ROW($E$2)+1), ROWS($S$3:AP11))), "")</f>
        <v/>
      </c>
      <c r="AQ11" s="332" cm="1">
        <f t="array" ref="AQ11">IFERROR(INDEX($E$2:$E$118, SMALL(IF($A$2:$A$118=AQ$2, ROW($E$2:$E$118)-ROW($E$2)+1), ROWS($S$3:AQ11))), "")</f>
        <v>230</v>
      </c>
      <c r="AR11" s="332" cm="1">
        <f t="array" ref="AR11">IFERROR(INDEX($E$2:$E$118, SMALL(IF($A$2:$A$118=AR$2, ROW($E$2:$E$118)-ROW($E$2)+1), ROWS($S$3:AR11))), "")</f>
        <v>230</v>
      </c>
    </row>
    <row r="12" spans="1:44">
      <c r="A12" s="329" t="s">
        <v>1042</v>
      </c>
      <c r="B12" s="329" t="s">
        <v>644</v>
      </c>
      <c r="C12" s="330">
        <f>VLOOKUP(B12, 'S14 ABC Output'!$A$3:$C$18, 3, 0)</f>
        <v>36524</v>
      </c>
      <c r="D12" s="330">
        <f>_xlfn.XLOOKUP(B12, 'S18 Operations'!$B$2:$B$534, 'S18 Operations'!$G$2:$G$534, 0, 0)</f>
        <v>200</v>
      </c>
      <c r="E12" s="330">
        <f t="shared" si="3"/>
        <v>183</v>
      </c>
      <c r="F12" s="330">
        <f>VLOOKUP(A12, 'S17 Work Stations'!$A$2:$C$45, 3, 0)</f>
        <v>30</v>
      </c>
      <c r="G12" s="330" cm="1">
        <f t="array" ref="G12">VLOOKUP(A12&amp;"-"&amp;B12, CHOOSE({1,2}, 'S18 Operations'!$D$2:$D$534&amp;"-"&amp;'S18 Operations'!$B$2:$B$534, 'S18 Operations'!$F$2:$F$534), 2, 0)</f>
        <v>360</v>
      </c>
      <c r="H12" s="331">
        <f t="shared" si="4"/>
        <v>6</v>
      </c>
      <c r="I12" s="331">
        <f t="shared" si="5"/>
        <v>224634</v>
      </c>
      <c r="J12" s="331">
        <f t="shared" si="6"/>
        <v>3743.9</v>
      </c>
      <c r="L12">
        <f t="shared" si="0"/>
        <v>4</v>
      </c>
      <c r="M12">
        <f t="shared" si="1"/>
        <v>129</v>
      </c>
      <c r="N12">
        <f t="shared" si="2"/>
        <v>1078</v>
      </c>
      <c r="O12">
        <f t="shared" si="7"/>
        <v>6</v>
      </c>
      <c r="Q12" s="257" t="str" cm="1">
        <f t="array" ref="Q12">INDEX($A$2:$A$118, MATCH(0, COUNTIF($Q$1:Q11, $A$2:$A$118), 0))</f>
        <v>WS-24</v>
      </c>
      <c r="S12" s="332" t="str" cm="1">
        <f t="array" ref="S12">IFERROR(INDEX($E$2:$E$118, SMALL(IF($A$2:$A$118=S$2, ROW($E$2:$E$118)-ROW($E$2)+1), ROWS($S$3:S12))), "")</f>
        <v/>
      </c>
      <c r="T12" s="332" t="str" cm="1">
        <f t="array" ref="T12">IFERROR(INDEX($E$2:$E$118, SMALL(IF($A$2:$A$118=T$2, ROW($E$2:$E$118)-ROW($E$2)+1), ROWS($S$3:T12))), "")</f>
        <v/>
      </c>
      <c r="U12" s="332" t="str" cm="1">
        <f t="array" ref="U12">IFERROR(INDEX($E$2:$E$118, SMALL(IF($A$2:$A$118=U$2, ROW($E$2:$E$118)-ROW($E$2)+1), ROWS($S$3:U12))), "")</f>
        <v/>
      </c>
      <c r="V12" s="332" t="str" cm="1">
        <f t="array" ref="V12">IFERROR(INDEX($E$2:$E$118, SMALL(IF($A$2:$A$118=V$2, ROW($E$2:$E$118)-ROW($E$2)+1), ROWS($S$3:V12))), "")</f>
        <v/>
      </c>
      <c r="W12" s="332" t="str" cm="1">
        <f t="array" ref="W12">IFERROR(INDEX($E$2:$E$118, SMALL(IF($A$2:$A$118=W$2, ROW($E$2:$E$118)-ROW($E$2)+1), ROWS($S$3:W12))), "")</f>
        <v/>
      </c>
      <c r="X12" s="332" t="str" cm="1">
        <f t="array" ref="X12">IFERROR(INDEX($E$2:$E$118, SMALL(IF($A$2:$A$118=X$2, ROW($E$2:$E$118)-ROW($E$2)+1), ROWS($S$3:X12))), "")</f>
        <v/>
      </c>
      <c r="Y12" s="332" t="str" cm="1">
        <f t="array" ref="Y12">IFERROR(INDEX($E$2:$E$118, SMALL(IF($A$2:$A$118=Y$2, ROW($E$2:$E$118)-ROW($E$2)+1), ROWS($S$3:Y12))), "")</f>
        <v/>
      </c>
      <c r="Z12" s="332" t="str" cm="1">
        <f t="array" ref="Z12">IFERROR(INDEX($E$2:$E$118, SMALL(IF($A$2:$A$118=Z$2, ROW($E$2:$E$118)-ROW($E$2)+1), ROWS($S$3:Z12))), "")</f>
        <v/>
      </c>
      <c r="AA12" s="332" t="str" cm="1">
        <f t="array" ref="AA12">IFERROR(INDEX($E$2:$E$118, SMALL(IF($A$2:$A$118=AA$2, ROW($E$2:$E$118)-ROW($E$2)+1), ROWS($S$3:AA12))), "")</f>
        <v/>
      </c>
      <c r="AB12" s="332" t="str" cm="1">
        <f t="array" ref="AB12">IFERROR(INDEX($E$2:$E$118, SMALL(IF($A$2:$A$118=AB$2, ROW($E$2:$E$118)-ROW($E$2)+1), ROWS($S$3:AB12))), "")</f>
        <v/>
      </c>
      <c r="AC12" s="332" t="str" cm="1">
        <f t="array" ref="AC12">IFERROR(INDEX($E$2:$E$118, SMALL(IF($A$2:$A$118=AC$2, ROW($E$2:$E$118)-ROW($E$2)+1), ROWS($S$3:AC12))), "")</f>
        <v/>
      </c>
      <c r="AD12" s="332" t="str" cm="1">
        <f t="array" ref="AD12">IFERROR(INDEX($E$2:$E$118, SMALL(IF($A$2:$A$118=AD$2, ROW($E$2:$E$118)-ROW($E$2)+1), ROWS($S$3:AD12))), "")</f>
        <v/>
      </c>
      <c r="AE12" s="332" t="str" cm="1">
        <f t="array" ref="AE12">IFERROR(INDEX($E$2:$E$118, SMALL(IF($A$2:$A$118=AE$2, ROW($E$2:$E$118)-ROW($E$2)+1), ROWS($S$3:AE12))), "")</f>
        <v/>
      </c>
      <c r="AF12" s="332" t="str" cm="1">
        <f t="array" ref="AF12">IFERROR(INDEX($E$2:$E$118, SMALL(IF($A$2:$A$118=AF$2, ROW($E$2:$E$118)-ROW($E$2)+1), ROWS($S$3:AF12))), "")</f>
        <v/>
      </c>
      <c r="AG12" s="332" t="str" cm="1">
        <f t="array" ref="AG12">IFERROR(INDEX($E$2:$E$118, SMALL(IF($A$2:$A$118=AG$2, ROW($E$2:$E$118)-ROW($E$2)+1), ROWS($S$3:AG12))), "")</f>
        <v/>
      </c>
      <c r="AH12" s="332" t="str" cm="1">
        <f t="array" ref="AH12">IFERROR(INDEX($E$2:$E$118, SMALL(IF($A$2:$A$118=AH$2, ROW($E$2:$E$118)-ROW($E$2)+1), ROWS($S$3:AH12))), "")</f>
        <v/>
      </c>
      <c r="AI12" s="332" t="str" cm="1">
        <f t="array" ref="AI12">IFERROR(INDEX($E$2:$E$118, SMALL(IF($A$2:$A$118=AI$2, ROW($E$2:$E$118)-ROW($E$2)+1), ROWS($S$3:AI12))), "")</f>
        <v/>
      </c>
      <c r="AJ12" s="332" t="str" cm="1">
        <f t="array" ref="AJ12">IFERROR(INDEX($E$2:$E$118, SMALL(IF($A$2:$A$118=AJ$2, ROW($E$2:$E$118)-ROW($E$2)+1), ROWS($S$3:AJ12))), "")</f>
        <v/>
      </c>
      <c r="AK12" s="332" t="str" cm="1">
        <f t="array" ref="AK12">IFERROR(INDEX($E$2:$E$118, SMALL(IF($A$2:$A$118=AK$2, ROW($E$2:$E$118)-ROW($E$2)+1), ROWS($S$3:AK12))), "")</f>
        <v/>
      </c>
      <c r="AL12" s="332" t="str" cm="1">
        <f t="array" ref="AL12">IFERROR(INDEX($E$2:$E$118, SMALL(IF($A$2:$A$118=AL$2, ROW($E$2:$E$118)-ROW($E$2)+1), ROWS($S$3:AL12))), "")</f>
        <v/>
      </c>
      <c r="AM12" s="332" t="str" cm="1">
        <f t="array" ref="AM12">IFERROR(INDEX($E$2:$E$118, SMALL(IF($A$2:$A$118=AM$2, ROW($E$2:$E$118)-ROW($E$2)+1), ROWS($S$3:AM12))), "")</f>
        <v/>
      </c>
      <c r="AN12" s="332" t="str" cm="1">
        <f t="array" ref="AN12">IFERROR(INDEX($E$2:$E$118, SMALL(IF($A$2:$A$118=AN$2, ROW($E$2:$E$118)-ROW($E$2)+1), ROWS($S$3:AN12))), "")</f>
        <v/>
      </c>
      <c r="AO12" s="332" t="str" cm="1">
        <f t="array" ref="AO12">IFERROR(INDEX($E$2:$E$118, SMALL(IF($A$2:$A$118=AO$2, ROW($E$2:$E$118)-ROW($E$2)+1), ROWS($S$3:AO12))), "")</f>
        <v/>
      </c>
      <c r="AP12" s="332" t="str" cm="1">
        <f t="array" ref="AP12">IFERROR(INDEX($E$2:$E$118, SMALL(IF($A$2:$A$118=AP$2, ROW($E$2:$E$118)-ROW($E$2)+1), ROWS($S$3:AP12))), "")</f>
        <v/>
      </c>
      <c r="AQ12" s="332" cm="1">
        <f t="array" ref="AQ12">IFERROR(INDEX($E$2:$E$118, SMALL(IF($A$2:$A$118=AQ$2, ROW($E$2:$E$118)-ROW($E$2)+1), ROWS($S$3:AQ12))), "")</f>
        <v>183</v>
      </c>
      <c r="AR12" s="332" cm="1">
        <f t="array" ref="AR12">IFERROR(INDEX($E$2:$E$118, SMALL(IF($A$2:$A$118=AR$2, ROW($E$2:$E$118)-ROW($E$2)+1), ROWS($S$3:AR12))), "")</f>
        <v>183</v>
      </c>
    </row>
    <row r="13" spans="1:44">
      <c r="A13" s="329" t="s">
        <v>1042</v>
      </c>
      <c r="B13" s="329" t="s">
        <v>646</v>
      </c>
      <c r="C13" s="330">
        <f>VLOOKUP(B13, 'S14 ABC Output'!$A$3:$C$18, 3, 0)</f>
        <v>36502</v>
      </c>
      <c r="D13" s="330">
        <f>_xlfn.XLOOKUP(B13, 'S18 Operations'!$B$2:$B$534, 'S18 Operations'!$G$2:$G$534, 0, 0)</f>
        <v>200</v>
      </c>
      <c r="E13" s="330">
        <f t="shared" si="3"/>
        <v>183</v>
      </c>
      <c r="F13" s="330">
        <f>VLOOKUP(A13, 'S17 Work Stations'!$A$2:$C$45, 3, 0)</f>
        <v>30</v>
      </c>
      <c r="G13" s="330" cm="1">
        <f t="array" ref="G13">VLOOKUP(A13&amp;"-"&amp;B13, CHOOSE({1,2}, 'S18 Operations'!$D$2:$D$534&amp;"-"&amp;'S18 Operations'!$B$2:$B$534, 'S18 Operations'!$F$2:$F$534), 2, 0)</f>
        <v>540</v>
      </c>
      <c r="H13" s="331">
        <f t="shared" si="4"/>
        <v>9</v>
      </c>
      <c r="I13" s="331">
        <f t="shared" si="5"/>
        <v>334008</v>
      </c>
      <c r="J13" s="331">
        <f t="shared" si="6"/>
        <v>5566.8</v>
      </c>
      <c r="L13">
        <f t="shared" si="0"/>
        <v>4</v>
      </c>
      <c r="M13">
        <f t="shared" si="1"/>
        <v>129</v>
      </c>
      <c r="N13">
        <f t="shared" si="2"/>
        <v>1078</v>
      </c>
      <c r="O13">
        <f t="shared" si="7"/>
        <v>6</v>
      </c>
      <c r="Q13" s="257" t="str" cm="1">
        <f t="array" ref="Q13">INDEX($A$2:$A$118, MATCH(0, COUNTIF($Q$1:Q12, $A$2:$A$118), 0))</f>
        <v>WS-25</v>
      </c>
      <c r="S13" s="332" t="str" cm="1">
        <f t="array" ref="S13">IFERROR(INDEX($E$2:$E$118, SMALL(IF($A$2:$A$118=S$2, ROW($E$2:$E$118)-ROW($E$2)+1), ROWS($S$3:S13))), "")</f>
        <v/>
      </c>
      <c r="T13" s="332" t="str" cm="1">
        <f t="array" ref="T13">IFERROR(INDEX($E$2:$E$118, SMALL(IF($A$2:$A$118=T$2, ROW($E$2:$E$118)-ROW($E$2)+1), ROWS($S$3:T13))), "")</f>
        <v/>
      </c>
      <c r="U13" s="332" t="str" cm="1">
        <f t="array" ref="U13">IFERROR(INDEX($E$2:$E$118, SMALL(IF($A$2:$A$118=U$2, ROW($E$2:$E$118)-ROW($E$2)+1), ROWS($S$3:U13))), "")</f>
        <v/>
      </c>
      <c r="V13" s="332" t="str" cm="1">
        <f t="array" ref="V13">IFERROR(INDEX($E$2:$E$118, SMALL(IF($A$2:$A$118=V$2, ROW($E$2:$E$118)-ROW($E$2)+1), ROWS($S$3:V13))), "")</f>
        <v/>
      </c>
      <c r="W13" s="332" t="str" cm="1">
        <f t="array" ref="W13">IFERROR(INDEX($E$2:$E$118, SMALL(IF($A$2:$A$118=W$2, ROW($E$2:$E$118)-ROW($E$2)+1), ROWS($S$3:W13))), "")</f>
        <v/>
      </c>
      <c r="X13" s="332" t="str" cm="1">
        <f t="array" ref="X13">IFERROR(INDEX($E$2:$E$118, SMALL(IF($A$2:$A$118=X$2, ROW($E$2:$E$118)-ROW($E$2)+1), ROWS($S$3:X13))), "")</f>
        <v/>
      </c>
      <c r="Y13" s="332" t="str" cm="1">
        <f t="array" ref="Y13">IFERROR(INDEX($E$2:$E$118, SMALL(IF($A$2:$A$118=Y$2, ROW($E$2:$E$118)-ROW($E$2)+1), ROWS($S$3:Y13))), "")</f>
        <v/>
      </c>
      <c r="Z13" s="332" t="str" cm="1">
        <f t="array" ref="Z13">IFERROR(INDEX($E$2:$E$118, SMALL(IF($A$2:$A$118=Z$2, ROW($E$2:$E$118)-ROW($E$2)+1), ROWS($S$3:Z13))), "")</f>
        <v/>
      </c>
      <c r="AA13" s="332" t="str" cm="1">
        <f t="array" ref="AA13">IFERROR(INDEX($E$2:$E$118, SMALL(IF($A$2:$A$118=AA$2, ROW($E$2:$E$118)-ROW($E$2)+1), ROWS($S$3:AA13))), "")</f>
        <v/>
      </c>
      <c r="AB13" s="332" t="str" cm="1">
        <f t="array" ref="AB13">IFERROR(INDEX($E$2:$E$118, SMALL(IF($A$2:$A$118=AB$2, ROW($E$2:$E$118)-ROW($E$2)+1), ROWS($S$3:AB13))), "")</f>
        <v/>
      </c>
      <c r="AC13" s="332" t="str" cm="1">
        <f t="array" ref="AC13">IFERROR(INDEX($E$2:$E$118, SMALL(IF($A$2:$A$118=AC$2, ROW($E$2:$E$118)-ROW($E$2)+1), ROWS($S$3:AC13))), "")</f>
        <v/>
      </c>
      <c r="AD13" s="332" t="str" cm="1">
        <f t="array" ref="AD13">IFERROR(INDEX($E$2:$E$118, SMALL(IF($A$2:$A$118=AD$2, ROW($E$2:$E$118)-ROW($E$2)+1), ROWS($S$3:AD13))), "")</f>
        <v/>
      </c>
      <c r="AE13" s="332" t="str" cm="1">
        <f t="array" ref="AE13">IFERROR(INDEX($E$2:$E$118, SMALL(IF($A$2:$A$118=AE$2, ROW($E$2:$E$118)-ROW($E$2)+1), ROWS($S$3:AE13))), "")</f>
        <v/>
      </c>
      <c r="AF13" s="332" t="str" cm="1">
        <f t="array" ref="AF13">IFERROR(INDEX($E$2:$E$118, SMALL(IF($A$2:$A$118=AF$2, ROW($E$2:$E$118)-ROW($E$2)+1), ROWS($S$3:AF13))), "")</f>
        <v/>
      </c>
      <c r="AG13" s="332" t="str" cm="1">
        <f t="array" ref="AG13">IFERROR(INDEX($E$2:$E$118, SMALL(IF($A$2:$A$118=AG$2, ROW($E$2:$E$118)-ROW($E$2)+1), ROWS($S$3:AG13))), "")</f>
        <v/>
      </c>
      <c r="AH13" s="332" t="str" cm="1">
        <f t="array" ref="AH13">IFERROR(INDEX($E$2:$E$118, SMALL(IF($A$2:$A$118=AH$2, ROW($E$2:$E$118)-ROW($E$2)+1), ROWS($S$3:AH13))), "")</f>
        <v/>
      </c>
      <c r="AI13" s="332" t="str" cm="1">
        <f t="array" ref="AI13">IFERROR(INDEX($E$2:$E$118, SMALL(IF($A$2:$A$118=AI$2, ROW($E$2:$E$118)-ROW($E$2)+1), ROWS($S$3:AI13))), "")</f>
        <v/>
      </c>
      <c r="AJ13" s="332" t="str" cm="1">
        <f t="array" ref="AJ13">IFERROR(INDEX($E$2:$E$118, SMALL(IF($A$2:$A$118=AJ$2, ROW($E$2:$E$118)-ROW($E$2)+1), ROWS($S$3:AJ13))), "")</f>
        <v/>
      </c>
      <c r="AK13" s="332" t="str" cm="1">
        <f t="array" ref="AK13">IFERROR(INDEX($E$2:$E$118, SMALL(IF($A$2:$A$118=AK$2, ROW($E$2:$E$118)-ROW($E$2)+1), ROWS($S$3:AK13))), "")</f>
        <v/>
      </c>
      <c r="AL13" s="332" t="str" cm="1">
        <f t="array" ref="AL13">IFERROR(INDEX($E$2:$E$118, SMALL(IF($A$2:$A$118=AL$2, ROW($E$2:$E$118)-ROW($E$2)+1), ROWS($S$3:AL13))), "")</f>
        <v/>
      </c>
      <c r="AM13" s="332" t="str" cm="1">
        <f t="array" ref="AM13">IFERROR(INDEX($E$2:$E$118, SMALL(IF($A$2:$A$118=AM$2, ROW($E$2:$E$118)-ROW($E$2)+1), ROWS($S$3:AM13))), "")</f>
        <v/>
      </c>
      <c r="AN13" s="332" t="str" cm="1">
        <f t="array" ref="AN13">IFERROR(INDEX($E$2:$E$118, SMALL(IF($A$2:$A$118=AN$2, ROW($E$2:$E$118)-ROW($E$2)+1), ROWS($S$3:AN13))), "")</f>
        <v/>
      </c>
      <c r="AO13" s="332" t="str" cm="1">
        <f t="array" ref="AO13">IFERROR(INDEX($E$2:$E$118, SMALL(IF($A$2:$A$118=AO$2, ROW($E$2:$E$118)-ROW($E$2)+1), ROWS($S$3:AO13))), "")</f>
        <v/>
      </c>
      <c r="AP13" s="332" t="str" cm="1">
        <f t="array" ref="AP13">IFERROR(INDEX($E$2:$E$118, SMALL(IF($A$2:$A$118=AP$2, ROW($E$2:$E$118)-ROW($E$2)+1), ROWS($S$3:AP13))), "")</f>
        <v/>
      </c>
      <c r="AQ13" s="332" cm="1">
        <f t="array" ref="AQ13">IFERROR(INDEX($E$2:$E$118, SMALL(IF($A$2:$A$118=AQ$2, ROW($E$2:$E$118)-ROW($E$2)+1), ROWS($S$3:AQ13))), "")</f>
        <v>183</v>
      </c>
      <c r="AR13" s="332" cm="1">
        <f t="array" ref="AR13">IFERROR(INDEX($E$2:$E$118, SMALL(IF($A$2:$A$118=AR$2, ROW($E$2:$E$118)-ROW($E$2)+1), ROWS($S$3:AR13))), "")</f>
        <v>183</v>
      </c>
    </row>
    <row r="14" spans="1:44">
      <c r="A14" s="329" t="s">
        <v>1042</v>
      </c>
      <c r="B14" s="329" t="s">
        <v>648</v>
      </c>
      <c r="C14" s="330">
        <f>VLOOKUP(B14, 'S14 ABC Output'!$A$3:$C$18, 3, 0)</f>
        <v>25649</v>
      </c>
      <c r="D14" s="330">
        <f>_xlfn.XLOOKUP(B14, 'S18 Operations'!$B$2:$B$534, 'S18 Operations'!$G$2:$G$534, 0, 0)</f>
        <v>200</v>
      </c>
      <c r="E14" s="330">
        <f t="shared" si="3"/>
        <v>129</v>
      </c>
      <c r="F14" s="330">
        <f>VLOOKUP(A14, 'S17 Work Stations'!$A$2:$C$45, 3, 0)</f>
        <v>30</v>
      </c>
      <c r="G14" s="330" cm="1">
        <f t="array" ref="G14">VLOOKUP(A14&amp;"-"&amp;B14, CHOOSE({1,2}, 'S18 Operations'!$D$2:$D$534&amp;"-"&amp;'S18 Operations'!$B$2:$B$534, 'S18 Operations'!$F$2:$F$534), 2, 0)</f>
        <v>840</v>
      </c>
      <c r="H14" s="331">
        <f t="shared" si="4"/>
        <v>14</v>
      </c>
      <c r="I14" s="331">
        <f t="shared" si="5"/>
        <v>362956</v>
      </c>
      <c r="J14" s="331">
        <f t="shared" si="6"/>
        <v>6049.2666666666664</v>
      </c>
      <c r="L14">
        <f t="shared" si="0"/>
        <v>6</v>
      </c>
      <c r="M14">
        <f t="shared" si="1"/>
        <v>129</v>
      </c>
      <c r="N14">
        <f t="shared" si="2"/>
        <v>1078</v>
      </c>
      <c r="O14">
        <f t="shared" si="7"/>
        <v>6</v>
      </c>
      <c r="Q14" s="257" t="str" cm="1">
        <f t="array" ref="Q14">INDEX($A$2:$A$118, MATCH(0, COUNTIF($Q$1:Q13, $A$2:$A$118), 0))</f>
        <v>WS-26</v>
      </c>
      <c r="S14" s="332" t="str" cm="1">
        <f t="array" ref="S14">IFERROR(INDEX($E$2:$E$118, SMALL(IF($A$2:$A$118=S$2, ROW($E$2:$E$118)-ROW($E$2)+1), ROWS($S$3:S14))), "")</f>
        <v/>
      </c>
      <c r="T14" s="332" t="str" cm="1">
        <f t="array" ref="T14">IFERROR(INDEX($E$2:$E$118, SMALL(IF($A$2:$A$118=T$2, ROW($E$2:$E$118)-ROW($E$2)+1), ROWS($S$3:T14))), "")</f>
        <v/>
      </c>
      <c r="U14" s="332" t="str" cm="1">
        <f t="array" ref="U14">IFERROR(INDEX($E$2:$E$118, SMALL(IF($A$2:$A$118=U$2, ROW($E$2:$E$118)-ROW($E$2)+1), ROWS($S$3:U14))), "")</f>
        <v/>
      </c>
      <c r="V14" s="332" t="str" cm="1">
        <f t="array" ref="V14">IFERROR(INDEX($E$2:$E$118, SMALL(IF($A$2:$A$118=V$2, ROW($E$2:$E$118)-ROW($E$2)+1), ROWS($S$3:V14))), "")</f>
        <v/>
      </c>
      <c r="W14" s="332" t="str" cm="1">
        <f t="array" ref="W14">IFERROR(INDEX($E$2:$E$118, SMALL(IF($A$2:$A$118=W$2, ROW($E$2:$E$118)-ROW($E$2)+1), ROWS($S$3:W14))), "")</f>
        <v/>
      </c>
      <c r="X14" s="332" t="str" cm="1">
        <f t="array" ref="X14">IFERROR(INDEX($E$2:$E$118, SMALL(IF($A$2:$A$118=X$2, ROW($E$2:$E$118)-ROW($E$2)+1), ROWS($S$3:X14))), "")</f>
        <v/>
      </c>
      <c r="Y14" s="332" t="str" cm="1">
        <f t="array" ref="Y14">IFERROR(INDEX($E$2:$E$118, SMALL(IF($A$2:$A$118=Y$2, ROW($E$2:$E$118)-ROW($E$2)+1), ROWS($S$3:Y14))), "")</f>
        <v/>
      </c>
      <c r="Z14" s="332" t="str" cm="1">
        <f t="array" ref="Z14">IFERROR(INDEX($E$2:$E$118, SMALL(IF($A$2:$A$118=Z$2, ROW($E$2:$E$118)-ROW($E$2)+1), ROWS($S$3:Z14))), "")</f>
        <v/>
      </c>
      <c r="AA14" s="332" t="str" cm="1">
        <f t="array" ref="AA14">IFERROR(INDEX($E$2:$E$118, SMALL(IF($A$2:$A$118=AA$2, ROW($E$2:$E$118)-ROW($E$2)+1), ROWS($S$3:AA14))), "")</f>
        <v/>
      </c>
      <c r="AB14" s="332" t="str" cm="1">
        <f t="array" ref="AB14">IFERROR(INDEX($E$2:$E$118, SMALL(IF($A$2:$A$118=AB$2, ROW($E$2:$E$118)-ROW($E$2)+1), ROWS($S$3:AB14))), "")</f>
        <v/>
      </c>
      <c r="AC14" s="332" t="str" cm="1">
        <f t="array" ref="AC14">IFERROR(INDEX($E$2:$E$118, SMALL(IF($A$2:$A$118=AC$2, ROW($E$2:$E$118)-ROW($E$2)+1), ROWS($S$3:AC14))), "")</f>
        <v/>
      </c>
      <c r="AD14" s="332" t="str" cm="1">
        <f t="array" ref="AD14">IFERROR(INDEX($E$2:$E$118, SMALL(IF($A$2:$A$118=AD$2, ROW($E$2:$E$118)-ROW($E$2)+1), ROWS($S$3:AD14))), "")</f>
        <v/>
      </c>
      <c r="AE14" s="332" t="str" cm="1">
        <f t="array" ref="AE14">IFERROR(INDEX($E$2:$E$118, SMALL(IF($A$2:$A$118=AE$2, ROW($E$2:$E$118)-ROW($E$2)+1), ROWS($S$3:AE14))), "")</f>
        <v/>
      </c>
      <c r="AF14" s="332" t="str" cm="1">
        <f t="array" ref="AF14">IFERROR(INDEX($E$2:$E$118, SMALL(IF($A$2:$A$118=AF$2, ROW($E$2:$E$118)-ROW($E$2)+1), ROWS($S$3:AF14))), "")</f>
        <v/>
      </c>
      <c r="AG14" s="332" t="str" cm="1">
        <f t="array" ref="AG14">IFERROR(INDEX($E$2:$E$118, SMALL(IF($A$2:$A$118=AG$2, ROW($E$2:$E$118)-ROW($E$2)+1), ROWS($S$3:AG14))), "")</f>
        <v/>
      </c>
      <c r="AH14" s="332" t="str" cm="1">
        <f t="array" ref="AH14">IFERROR(INDEX($E$2:$E$118, SMALL(IF($A$2:$A$118=AH$2, ROW($E$2:$E$118)-ROW($E$2)+1), ROWS($S$3:AH14))), "")</f>
        <v/>
      </c>
      <c r="AI14" s="332" t="str" cm="1">
        <f t="array" ref="AI14">IFERROR(INDEX($E$2:$E$118, SMALL(IF($A$2:$A$118=AI$2, ROW($E$2:$E$118)-ROW($E$2)+1), ROWS($S$3:AI14))), "")</f>
        <v/>
      </c>
      <c r="AJ14" s="332" t="str" cm="1">
        <f t="array" ref="AJ14">IFERROR(INDEX($E$2:$E$118, SMALL(IF($A$2:$A$118=AJ$2, ROW($E$2:$E$118)-ROW($E$2)+1), ROWS($S$3:AJ14))), "")</f>
        <v/>
      </c>
      <c r="AK14" s="332" t="str" cm="1">
        <f t="array" ref="AK14">IFERROR(INDEX($E$2:$E$118, SMALL(IF($A$2:$A$118=AK$2, ROW($E$2:$E$118)-ROW($E$2)+1), ROWS($S$3:AK14))), "")</f>
        <v/>
      </c>
      <c r="AL14" s="332" t="str" cm="1">
        <f t="array" ref="AL14">IFERROR(INDEX($E$2:$E$118, SMALL(IF($A$2:$A$118=AL$2, ROW($E$2:$E$118)-ROW($E$2)+1), ROWS($S$3:AL14))), "")</f>
        <v/>
      </c>
      <c r="AM14" s="332" t="str" cm="1">
        <f t="array" ref="AM14">IFERROR(INDEX($E$2:$E$118, SMALL(IF($A$2:$A$118=AM$2, ROW($E$2:$E$118)-ROW($E$2)+1), ROWS($S$3:AM14))), "")</f>
        <v/>
      </c>
      <c r="AN14" s="332" t="str" cm="1">
        <f t="array" ref="AN14">IFERROR(INDEX($E$2:$E$118, SMALL(IF($A$2:$A$118=AN$2, ROW($E$2:$E$118)-ROW($E$2)+1), ROWS($S$3:AN14))), "")</f>
        <v/>
      </c>
      <c r="AO14" s="332" t="str" cm="1">
        <f t="array" ref="AO14">IFERROR(INDEX($E$2:$E$118, SMALL(IF($A$2:$A$118=AO$2, ROW($E$2:$E$118)-ROW($E$2)+1), ROWS($S$3:AO14))), "")</f>
        <v/>
      </c>
      <c r="AP14" s="332" t="str" cm="1">
        <f t="array" ref="AP14">IFERROR(INDEX($E$2:$E$118, SMALL(IF($A$2:$A$118=AP$2, ROW($E$2:$E$118)-ROW($E$2)+1), ROWS($S$3:AP14))), "")</f>
        <v/>
      </c>
      <c r="AQ14" s="332" cm="1">
        <f t="array" ref="AQ14">IFERROR(INDEX($E$2:$E$118, SMALL(IF($A$2:$A$118=AQ$2, ROW($E$2:$E$118)-ROW($E$2)+1), ROWS($S$3:AQ14))), "")</f>
        <v>129</v>
      </c>
      <c r="AR14" s="332" cm="1">
        <f t="array" ref="AR14">IFERROR(INDEX($E$2:$E$118, SMALL(IF($A$2:$A$118=AR$2, ROW($E$2:$E$118)-ROW($E$2)+1), ROWS($S$3:AR14))), "")</f>
        <v>129</v>
      </c>
    </row>
    <row r="15" spans="1:44">
      <c r="A15" s="329" t="s">
        <v>1046</v>
      </c>
      <c r="B15" s="329" t="s">
        <v>580</v>
      </c>
      <c r="C15" s="330">
        <f>VLOOKUP(B15, 'S14 ABC Output'!$A$3:$C$18, 3, 0)</f>
        <v>125036</v>
      </c>
      <c r="D15" s="330">
        <f>_xlfn.XLOOKUP(B15, 'S18 Operations'!$B$2:$B$534, 'S18 Operations'!$G$2:$G$534, 0, 0)</f>
        <v>200</v>
      </c>
      <c r="E15" s="330">
        <f t="shared" si="3"/>
        <v>626</v>
      </c>
      <c r="F15" s="330">
        <f>VLOOKUP(A15, 'S17 Work Stations'!$A$2:$C$45, 3, 0)</f>
        <v>35</v>
      </c>
      <c r="G15" s="330" cm="1">
        <f t="array" ref="G15">VLOOKUP(A15&amp;"-"&amp;B15, CHOOSE({1,2}, 'S18 Operations'!$D$2:$D$534&amp;"-"&amp;'S18 Operations'!$B$2:$B$534, 'S18 Operations'!$F$2:$F$534), 2, 0)</f>
        <v>300</v>
      </c>
      <c r="H15" s="331">
        <f t="shared" si="4"/>
        <v>5</v>
      </c>
      <c r="I15" s="331">
        <f t="shared" si="5"/>
        <v>643030</v>
      </c>
      <c r="J15" s="331">
        <f t="shared" si="6"/>
        <v>10717.166666666666</v>
      </c>
      <c r="L15">
        <f t="shared" si="0"/>
        <v>1</v>
      </c>
      <c r="M15">
        <f t="shared" si="1"/>
        <v>129</v>
      </c>
      <c r="N15">
        <f t="shared" si="2"/>
        <v>626</v>
      </c>
      <c r="O15">
        <f t="shared" si="7"/>
        <v>5</v>
      </c>
      <c r="Q15" s="257" t="str" cm="1">
        <f t="array" ref="Q15">INDEX($A$2:$A$118, MATCH(0, COUNTIF($Q$1:Q14, $A$2:$A$118), 0))</f>
        <v>WS-27</v>
      </c>
      <c r="S15" s="332" t="str" cm="1">
        <f t="array" ref="S15">IFERROR(INDEX($E$2:$E$118, SMALL(IF($A$2:$A$118=S$2, ROW($E$2:$E$118)-ROW($E$2)+1), ROWS($S$3:S15))), "")</f>
        <v/>
      </c>
      <c r="T15" s="332" t="str" cm="1">
        <f t="array" ref="T15">IFERROR(INDEX($E$2:$E$118, SMALL(IF($A$2:$A$118=T$2, ROW($E$2:$E$118)-ROW($E$2)+1), ROWS($S$3:T15))), "")</f>
        <v/>
      </c>
      <c r="U15" s="332" t="str" cm="1">
        <f t="array" ref="U15">IFERROR(INDEX($E$2:$E$118, SMALL(IF($A$2:$A$118=U$2, ROW($E$2:$E$118)-ROW($E$2)+1), ROWS($S$3:U15))), "")</f>
        <v/>
      </c>
      <c r="V15" s="332" t="str" cm="1">
        <f t="array" ref="V15">IFERROR(INDEX($E$2:$E$118, SMALL(IF($A$2:$A$118=V$2, ROW($E$2:$E$118)-ROW($E$2)+1), ROWS($S$3:V15))), "")</f>
        <v/>
      </c>
      <c r="W15" s="332" t="str" cm="1">
        <f t="array" ref="W15">IFERROR(INDEX($E$2:$E$118, SMALL(IF($A$2:$A$118=W$2, ROW($E$2:$E$118)-ROW($E$2)+1), ROWS($S$3:W15))), "")</f>
        <v/>
      </c>
      <c r="X15" s="332" t="str" cm="1">
        <f t="array" ref="X15">IFERROR(INDEX($E$2:$E$118, SMALL(IF($A$2:$A$118=X$2, ROW($E$2:$E$118)-ROW($E$2)+1), ROWS($S$3:X15))), "")</f>
        <v/>
      </c>
      <c r="Y15" s="332" t="str" cm="1">
        <f t="array" ref="Y15">IFERROR(INDEX($E$2:$E$118, SMALL(IF($A$2:$A$118=Y$2, ROW($E$2:$E$118)-ROW($E$2)+1), ROWS($S$3:Y15))), "")</f>
        <v/>
      </c>
      <c r="Z15" s="332" t="str" cm="1">
        <f t="array" ref="Z15">IFERROR(INDEX($E$2:$E$118, SMALL(IF($A$2:$A$118=Z$2, ROW($E$2:$E$118)-ROW($E$2)+1), ROWS($S$3:Z15))), "")</f>
        <v/>
      </c>
      <c r="AA15" s="332" t="str" cm="1">
        <f t="array" ref="AA15">IFERROR(INDEX($E$2:$E$118, SMALL(IF($A$2:$A$118=AA$2, ROW($E$2:$E$118)-ROW($E$2)+1), ROWS($S$3:AA15))), "")</f>
        <v/>
      </c>
      <c r="AB15" s="332" t="str" cm="1">
        <f t="array" ref="AB15">IFERROR(INDEX($E$2:$E$118, SMALL(IF($A$2:$A$118=AB$2, ROW($E$2:$E$118)-ROW($E$2)+1), ROWS($S$3:AB15))), "")</f>
        <v/>
      </c>
      <c r="AC15" s="332" t="str" cm="1">
        <f t="array" ref="AC15">IFERROR(INDEX($E$2:$E$118, SMALL(IF($A$2:$A$118=AC$2, ROW($E$2:$E$118)-ROW($E$2)+1), ROWS($S$3:AC15))), "")</f>
        <v/>
      </c>
      <c r="AD15" s="332" t="str" cm="1">
        <f t="array" ref="AD15">IFERROR(INDEX($E$2:$E$118, SMALL(IF($A$2:$A$118=AD$2, ROW($E$2:$E$118)-ROW($E$2)+1), ROWS($S$3:AD15))), "")</f>
        <v/>
      </c>
      <c r="AE15" s="332" t="str" cm="1">
        <f t="array" ref="AE15">IFERROR(INDEX($E$2:$E$118, SMALL(IF($A$2:$A$118=AE$2, ROW($E$2:$E$118)-ROW($E$2)+1), ROWS($S$3:AE15))), "")</f>
        <v/>
      </c>
      <c r="AF15" s="332" t="str" cm="1">
        <f t="array" ref="AF15">IFERROR(INDEX($E$2:$E$118, SMALL(IF($A$2:$A$118=AF$2, ROW($E$2:$E$118)-ROW($E$2)+1), ROWS($S$3:AF15))), "")</f>
        <v/>
      </c>
      <c r="AG15" s="332" t="str" cm="1">
        <f t="array" ref="AG15">IFERROR(INDEX($E$2:$E$118, SMALL(IF($A$2:$A$118=AG$2, ROW($E$2:$E$118)-ROW($E$2)+1), ROWS($S$3:AG15))), "")</f>
        <v/>
      </c>
      <c r="AH15" s="332" t="str" cm="1">
        <f t="array" ref="AH15">IFERROR(INDEX($E$2:$E$118, SMALL(IF($A$2:$A$118=AH$2, ROW($E$2:$E$118)-ROW($E$2)+1), ROWS($S$3:AH15))), "")</f>
        <v/>
      </c>
      <c r="AI15" s="332" t="str" cm="1">
        <f t="array" ref="AI15">IFERROR(INDEX($E$2:$E$118, SMALL(IF($A$2:$A$118=AI$2, ROW($E$2:$E$118)-ROW($E$2)+1), ROWS($S$3:AI15))), "")</f>
        <v/>
      </c>
      <c r="AJ15" s="332" t="str" cm="1">
        <f t="array" ref="AJ15">IFERROR(INDEX($E$2:$E$118, SMALL(IF($A$2:$A$118=AJ$2, ROW($E$2:$E$118)-ROW($E$2)+1), ROWS($S$3:AJ15))), "")</f>
        <v/>
      </c>
      <c r="AK15" s="332" t="str" cm="1">
        <f t="array" ref="AK15">IFERROR(INDEX($E$2:$E$118, SMALL(IF($A$2:$A$118=AK$2, ROW($E$2:$E$118)-ROW($E$2)+1), ROWS($S$3:AK15))), "")</f>
        <v/>
      </c>
      <c r="AL15" s="332" t="str" cm="1">
        <f t="array" ref="AL15">IFERROR(INDEX($E$2:$E$118, SMALL(IF($A$2:$A$118=AL$2, ROW($E$2:$E$118)-ROW($E$2)+1), ROWS($S$3:AL15))), "")</f>
        <v/>
      </c>
      <c r="AM15" s="332" t="str" cm="1">
        <f t="array" ref="AM15">IFERROR(INDEX($E$2:$E$118, SMALL(IF($A$2:$A$118=AM$2, ROW($E$2:$E$118)-ROW($E$2)+1), ROWS($S$3:AM15))), "")</f>
        <v/>
      </c>
      <c r="AN15" s="332" t="str" cm="1">
        <f t="array" ref="AN15">IFERROR(INDEX($E$2:$E$118, SMALL(IF($A$2:$A$118=AN$2, ROW($E$2:$E$118)-ROW($E$2)+1), ROWS($S$3:AN15))), "")</f>
        <v/>
      </c>
      <c r="AO15" s="332" t="str" cm="1">
        <f t="array" ref="AO15">IFERROR(INDEX($E$2:$E$118, SMALL(IF($A$2:$A$118=AO$2, ROW($E$2:$E$118)-ROW($E$2)+1), ROWS($S$3:AO15))), "")</f>
        <v/>
      </c>
      <c r="AP15" s="332" t="str" cm="1">
        <f t="array" ref="AP15">IFERROR(INDEX($E$2:$E$118, SMALL(IF($A$2:$A$118=AP$2, ROW($E$2:$E$118)-ROW($E$2)+1), ROWS($S$3:AP15))), "")</f>
        <v/>
      </c>
      <c r="AQ15" s="332" cm="1">
        <f t="array" ref="AQ15">IFERROR(INDEX($E$2:$E$118, SMALL(IF($A$2:$A$118=AQ$2, ROW($E$2:$E$118)-ROW($E$2)+1), ROWS($S$3:AQ15))), "")</f>
        <v>129</v>
      </c>
      <c r="AR15" s="332" cm="1">
        <f t="array" ref="AR15">IFERROR(INDEX($E$2:$E$118, SMALL(IF($A$2:$A$118=AR$2, ROW($E$2:$E$118)-ROW($E$2)+1), ROWS($S$3:AR15))), "")</f>
        <v>129</v>
      </c>
    </row>
    <row r="16" spans="1:44">
      <c r="A16" s="329" t="s">
        <v>1046</v>
      </c>
      <c r="B16" s="329" t="s">
        <v>610</v>
      </c>
      <c r="C16" s="330">
        <f>VLOOKUP(B16, 'S14 ABC Output'!$A$3:$C$18, 3, 0)</f>
        <v>85612</v>
      </c>
      <c r="D16" s="330">
        <f>_xlfn.XLOOKUP(B16, 'S18 Operations'!$B$2:$B$534, 'S18 Operations'!$G$2:$G$534, 0, 0)</f>
        <v>200</v>
      </c>
      <c r="E16" s="330">
        <f t="shared" si="3"/>
        <v>429</v>
      </c>
      <c r="F16" s="330">
        <f>VLOOKUP(A16, 'S17 Work Stations'!$A$2:$C$45, 3, 0)</f>
        <v>35</v>
      </c>
      <c r="G16" s="330" cm="1">
        <f t="array" ref="G16">VLOOKUP(A16&amp;"-"&amp;B16, CHOOSE({1,2}, 'S18 Operations'!$D$2:$D$534&amp;"-"&amp;'S18 Operations'!$B$2:$B$534, 'S18 Operations'!$F$2:$F$534), 2, 0)</f>
        <v>420</v>
      </c>
      <c r="H16" s="331">
        <f t="shared" si="4"/>
        <v>7</v>
      </c>
      <c r="I16" s="331">
        <f t="shared" si="5"/>
        <v>614299</v>
      </c>
      <c r="J16" s="331">
        <f t="shared" si="6"/>
        <v>10238.316666666668</v>
      </c>
      <c r="L16">
        <f t="shared" si="0"/>
        <v>3</v>
      </c>
      <c r="M16">
        <f t="shared" si="1"/>
        <v>129</v>
      </c>
      <c r="N16">
        <f t="shared" si="2"/>
        <v>626</v>
      </c>
      <c r="O16">
        <f t="shared" si="7"/>
        <v>5</v>
      </c>
      <c r="Q16" s="257" t="str" cm="1">
        <f t="array" ref="Q16">INDEX($A$2:$A$118, MATCH(0, COUNTIF($Q$1:Q15, $A$2:$A$118), 0))</f>
        <v>WS-28</v>
      </c>
      <c r="S16" s="332" t="str" cm="1">
        <f t="array" ref="S16">IFERROR(INDEX($E$2:$E$118, SMALL(IF($A$2:$A$118=S$2, ROW($E$2:$E$118)-ROW($E$2)+1), ROWS($S$3:S16))), "")</f>
        <v/>
      </c>
      <c r="T16" s="332" t="str" cm="1">
        <f t="array" ref="T16">IFERROR(INDEX($E$2:$E$118, SMALL(IF($A$2:$A$118=T$2, ROW($E$2:$E$118)-ROW($E$2)+1), ROWS($S$3:T16))), "")</f>
        <v/>
      </c>
      <c r="U16" s="332" t="str" cm="1">
        <f t="array" ref="U16">IFERROR(INDEX($E$2:$E$118, SMALL(IF($A$2:$A$118=U$2, ROW($E$2:$E$118)-ROW($E$2)+1), ROWS($S$3:U16))), "")</f>
        <v/>
      </c>
      <c r="V16" s="332" t="str" cm="1">
        <f t="array" ref="V16">IFERROR(INDEX($E$2:$E$118, SMALL(IF($A$2:$A$118=V$2, ROW($E$2:$E$118)-ROW($E$2)+1), ROWS($S$3:V16))), "")</f>
        <v/>
      </c>
      <c r="W16" s="332" t="str" cm="1">
        <f t="array" ref="W16">IFERROR(INDEX($E$2:$E$118, SMALL(IF($A$2:$A$118=W$2, ROW($E$2:$E$118)-ROW($E$2)+1), ROWS($S$3:W16))), "")</f>
        <v/>
      </c>
      <c r="X16" s="332" t="str" cm="1">
        <f t="array" ref="X16">IFERROR(INDEX($E$2:$E$118, SMALL(IF($A$2:$A$118=X$2, ROW($E$2:$E$118)-ROW($E$2)+1), ROWS($S$3:X16))), "")</f>
        <v/>
      </c>
      <c r="Y16" s="332" t="str" cm="1">
        <f t="array" ref="Y16">IFERROR(INDEX($E$2:$E$118, SMALL(IF($A$2:$A$118=Y$2, ROW($E$2:$E$118)-ROW($E$2)+1), ROWS($S$3:Y16))), "")</f>
        <v/>
      </c>
      <c r="Z16" s="332" t="str" cm="1">
        <f t="array" ref="Z16">IFERROR(INDEX($E$2:$E$118, SMALL(IF($A$2:$A$118=Z$2, ROW($E$2:$E$118)-ROW($E$2)+1), ROWS($S$3:Z16))), "")</f>
        <v/>
      </c>
      <c r="AA16" s="332" t="str" cm="1">
        <f t="array" ref="AA16">IFERROR(INDEX($E$2:$E$118, SMALL(IF($A$2:$A$118=AA$2, ROW($E$2:$E$118)-ROW($E$2)+1), ROWS($S$3:AA16))), "")</f>
        <v/>
      </c>
      <c r="AB16" s="332" t="str" cm="1">
        <f t="array" ref="AB16">IFERROR(INDEX($E$2:$E$118, SMALL(IF($A$2:$A$118=AB$2, ROW($E$2:$E$118)-ROW($E$2)+1), ROWS($S$3:AB16))), "")</f>
        <v/>
      </c>
      <c r="AC16" s="332" t="str" cm="1">
        <f t="array" ref="AC16">IFERROR(INDEX($E$2:$E$118, SMALL(IF($A$2:$A$118=AC$2, ROW($E$2:$E$118)-ROW($E$2)+1), ROWS($S$3:AC16))), "")</f>
        <v/>
      </c>
      <c r="AD16" s="332" t="str" cm="1">
        <f t="array" ref="AD16">IFERROR(INDEX($E$2:$E$118, SMALL(IF($A$2:$A$118=AD$2, ROW($E$2:$E$118)-ROW($E$2)+1), ROWS($S$3:AD16))), "")</f>
        <v/>
      </c>
      <c r="AE16" s="332" t="str" cm="1">
        <f t="array" ref="AE16">IFERROR(INDEX($E$2:$E$118, SMALL(IF($A$2:$A$118=AE$2, ROW($E$2:$E$118)-ROW($E$2)+1), ROWS($S$3:AE16))), "")</f>
        <v/>
      </c>
      <c r="AF16" s="332" t="str" cm="1">
        <f t="array" ref="AF16">IFERROR(INDEX($E$2:$E$118, SMALL(IF($A$2:$A$118=AF$2, ROW($E$2:$E$118)-ROW($E$2)+1), ROWS($S$3:AF16))), "")</f>
        <v/>
      </c>
      <c r="AG16" s="332" t="str" cm="1">
        <f t="array" ref="AG16">IFERROR(INDEX($E$2:$E$118, SMALL(IF($A$2:$A$118=AG$2, ROW($E$2:$E$118)-ROW($E$2)+1), ROWS($S$3:AG16))), "")</f>
        <v/>
      </c>
      <c r="AH16" s="332" t="str" cm="1">
        <f t="array" ref="AH16">IFERROR(INDEX($E$2:$E$118, SMALL(IF($A$2:$A$118=AH$2, ROW($E$2:$E$118)-ROW($E$2)+1), ROWS($S$3:AH16))), "")</f>
        <v/>
      </c>
      <c r="AI16" s="332" t="str" cm="1">
        <f t="array" ref="AI16">IFERROR(INDEX($E$2:$E$118, SMALL(IF($A$2:$A$118=AI$2, ROW($E$2:$E$118)-ROW($E$2)+1), ROWS($S$3:AI16))), "")</f>
        <v/>
      </c>
      <c r="AJ16" s="332" t="str" cm="1">
        <f t="array" ref="AJ16">IFERROR(INDEX($E$2:$E$118, SMALL(IF($A$2:$A$118=AJ$2, ROW($E$2:$E$118)-ROW($E$2)+1), ROWS($S$3:AJ16))), "")</f>
        <v/>
      </c>
      <c r="AK16" s="332" t="str" cm="1">
        <f t="array" ref="AK16">IFERROR(INDEX($E$2:$E$118, SMALL(IF($A$2:$A$118=AK$2, ROW($E$2:$E$118)-ROW($E$2)+1), ROWS($S$3:AK16))), "")</f>
        <v/>
      </c>
      <c r="AL16" s="332" t="str" cm="1">
        <f t="array" ref="AL16">IFERROR(INDEX($E$2:$E$118, SMALL(IF($A$2:$A$118=AL$2, ROW($E$2:$E$118)-ROW($E$2)+1), ROWS($S$3:AL16))), "")</f>
        <v/>
      </c>
      <c r="AM16" s="332" t="str" cm="1">
        <f t="array" ref="AM16">IFERROR(INDEX($E$2:$E$118, SMALL(IF($A$2:$A$118=AM$2, ROW($E$2:$E$118)-ROW($E$2)+1), ROWS($S$3:AM16))), "")</f>
        <v/>
      </c>
      <c r="AN16" s="332" t="str" cm="1">
        <f t="array" ref="AN16">IFERROR(INDEX($E$2:$E$118, SMALL(IF($A$2:$A$118=AN$2, ROW($E$2:$E$118)-ROW($E$2)+1), ROWS($S$3:AN16))), "")</f>
        <v/>
      </c>
      <c r="AO16" s="332" t="str" cm="1">
        <f t="array" ref="AO16">IFERROR(INDEX($E$2:$E$118, SMALL(IF($A$2:$A$118=AO$2, ROW($E$2:$E$118)-ROW($E$2)+1), ROWS($S$3:AO16))), "")</f>
        <v/>
      </c>
      <c r="AP16" s="332" t="str" cm="1">
        <f t="array" ref="AP16">IFERROR(INDEX($E$2:$E$118, SMALL(IF($A$2:$A$118=AP$2, ROW($E$2:$E$118)-ROW($E$2)+1), ROWS($S$3:AP16))), "")</f>
        <v/>
      </c>
      <c r="AQ16" s="332" cm="1">
        <f t="array" ref="AQ16">IFERROR(INDEX($E$2:$E$118, SMALL(IF($A$2:$A$118=AQ$2, ROW($E$2:$E$118)-ROW($E$2)+1), ROWS($S$3:AQ16))), "")</f>
        <v>129</v>
      </c>
      <c r="AR16" s="332" cm="1">
        <f t="array" ref="AR16">IFERROR(INDEX($E$2:$E$118, SMALL(IF($A$2:$A$118=AR$2, ROW($E$2:$E$118)-ROW($E$2)+1), ROWS($S$3:AR16))), "")</f>
        <v>129</v>
      </c>
    </row>
    <row r="17" spans="1:44">
      <c r="A17" s="329" t="s">
        <v>1046</v>
      </c>
      <c r="B17" s="329" t="s">
        <v>530</v>
      </c>
      <c r="C17" s="330">
        <f>VLOOKUP(B17, 'S14 ABC Output'!$A$3:$C$18, 3, 0)</f>
        <v>50689</v>
      </c>
      <c r="D17" s="330">
        <f>_xlfn.XLOOKUP(B17, 'S18 Operations'!$B$2:$B$534, 'S18 Operations'!$G$2:$G$534, 0, 0)</f>
        <v>200</v>
      </c>
      <c r="E17" s="330">
        <f t="shared" si="3"/>
        <v>254</v>
      </c>
      <c r="F17" s="330">
        <f>VLOOKUP(A17, 'S17 Work Stations'!$A$2:$C$45, 3, 0)</f>
        <v>35</v>
      </c>
      <c r="G17" s="330" cm="1">
        <f t="array" ref="G17">VLOOKUP(A17&amp;"-"&amp;B17, CHOOSE({1,2}, 'S18 Operations'!$D$2:$D$534&amp;"-"&amp;'S18 Operations'!$B$2:$B$534, 'S18 Operations'!$F$2:$F$534), 2, 0)</f>
        <v>600</v>
      </c>
      <c r="H17" s="331">
        <f t="shared" si="4"/>
        <v>10</v>
      </c>
      <c r="I17" s="331">
        <f t="shared" si="5"/>
        <v>515780</v>
      </c>
      <c r="J17" s="331">
        <f t="shared" si="6"/>
        <v>8596.3333333333339</v>
      </c>
      <c r="L17">
        <f t="shared" si="0"/>
        <v>4</v>
      </c>
      <c r="M17">
        <f t="shared" si="1"/>
        <v>129</v>
      </c>
      <c r="N17">
        <f t="shared" si="2"/>
        <v>626</v>
      </c>
      <c r="O17">
        <f t="shared" si="7"/>
        <v>5</v>
      </c>
      <c r="Q17" s="257" t="str" cm="1">
        <f t="array" ref="Q17">INDEX($A$2:$A$118, MATCH(0, COUNTIF($Q$1:Q16, $A$2:$A$118), 0))</f>
        <v>WS-29</v>
      </c>
      <c r="S17" s="332" t="str" cm="1">
        <f t="array" ref="S17">IFERROR(INDEX($E$2:$E$118, SMALL(IF($A$2:$A$118=S$2, ROW($E$2:$E$118)-ROW($E$2)+1), ROWS($S$3:S17))), "")</f>
        <v/>
      </c>
      <c r="T17" s="332" t="str" cm="1">
        <f t="array" ref="T17">IFERROR(INDEX($E$2:$E$118, SMALL(IF($A$2:$A$118=T$2, ROW($E$2:$E$118)-ROW($E$2)+1), ROWS($S$3:T17))), "")</f>
        <v/>
      </c>
      <c r="U17" s="332" t="str" cm="1">
        <f t="array" ref="U17">IFERROR(INDEX($E$2:$E$118, SMALL(IF($A$2:$A$118=U$2, ROW($E$2:$E$118)-ROW($E$2)+1), ROWS($S$3:U17))), "")</f>
        <v/>
      </c>
      <c r="V17" s="332" t="str" cm="1">
        <f t="array" ref="V17">IFERROR(INDEX($E$2:$E$118, SMALL(IF($A$2:$A$118=V$2, ROW($E$2:$E$118)-ROW($E$2)+1), ROWS($S$3:V17))), "")</f>
        <v/>
      </c>
      <c r="W17" s="332" t="str" cm="1">
        <f t="array" ref="W17">IFERROR(INDEX($E$2:$E$118, SMALL(IF($A$2:$A$118=W$2, ROW($E$2:$E$118)-ROW($E$2)+1), ROWS($S$3:W17))), "")</f>
        <v/>
      </c>
      <c r="X17" s="332" t="str" cm="1">
        <f t="array" ref="X17">IFERROR(INDEX($E$2:$E$118, SMALL(IF($A$2:$A$118=X$2, ROW($E$2:$E$118)-ROW($E$2)+1), ROWS($S$3:X17))), "")</f>
        <v/>
      </c>
      <c r="Y17" s="332" t="str" cm="1">
        <f t="array" ref="Y17">IFERROR(INDEX($E$2:$E$118, SMALL(IF($A$2:$A$118=Y$2, ROW($E$2:$E$118)-ROW($E$2)+1), ROWS($S$3:Y17))), "")</f>
        <v/>
      </c>
      <c r="Z17" s="332" t="str" cm="1">
        <f t="array" ref="Z17">IFERROR(INDEX($E$2:$E$118, SMALL(IF($A$2:$A$118=Z$2, ROW($E$2:$E$118)-ROW($E$2)+1), ROWS($S$3:Z17))), "")</f>
        <v/>
      </c>
      <c r="AA17" s="332" t="str" cm="1">
        <f t="array" ref="AA17">IFERROR(INDEX($E$2:$E$118, SMALL(IF($A$2:$A$118=AA$2, ROW($E$2:$E$118)-ROW($E$2)+1), ROWS($S$3:AA17))), "")</f>
        <v/>
      </c>
      <c r="AB17" s="332" t="str" cm="1">
        <f t="array" ref="AB17">IFERROR(INDEX($E$2:$E$118, SMALL(IF($A$2:$A$118=AB$2, ROW($E$2:$E$118)-ROW($E$2)+1), ROWS($S$3:AB17))), "")</f>
        <v/>
      </c>
      <c r="AC17" s="332" t="str" cm="1">
        <f t="array" ref="AC17">IFERROR(INDEX($E$2:$E$118, SMALL(IF($A$2:$A$118=AC$2, ROW($E$2:$E$118)-ROW($E$2)+1), ROWS($S$3:AC17))), "")</f>
        <v/>
      </c>
      <c r="AD17" s="332" t="str" cm="1">
        <f t="array" ref="AD17">IFERROR(INDEX($E$2:$E$118, SMALL(IF($A$2:$A$118=AD$2, ROW($E$2:$E$118)-ROW($E$2)+1), ROWS($S$3:AD17))), "")</f>
        <v/>
      </c>
      <c r="AE17" s="332" t="str" cm="1">
        <f t="array" ref="AE17">IFERROR(INDEX($E$2:$E$118, SMALL(IF($A$2:$A$118=AE$2, ROW($E$2:$E$118)-ROW($E$2)+1), ROWS($S$3:AE17))), "")</f>
        <v/>
      </c>
      <c r="AF17" s="332" t="str" cm="1">
        <f t="array" ref="AF17">IFERROR(INDEX($E$2:$E$118, SMALL(IF($A$2:$A$118=AF$2, ROW($E$2:$E$118)-ROW($E$2)+1), ROWS($S$3:AF17))), "")</f>
        <v/>
      </c>
      <c r="AG17" s="332" t="str" cm="1">
        <f t="array" ref="AG17">IFERROR(INDEX($E$2:$E$118, SMALL(IF($A$2:$A$118=AG$2, ROW($E$2:$E$118)-ROW($E$2)+1), ROWS($S$3:AG17))), "")</f>
        <v/>
      </c>
      <c r="AH17" s="332" t="str" cm="1">
        <f t="array" ref="AH17">IFERROR(INDEX($E$2:$E$118, SMALL(IF($A$2:$A$118=AH$2, ROW($E$2:$E$118)-ROW($E$2)+1), ROWS($S$3:AH17))), "")</f>
        <v/>
      </c>
      <c r="AI17" s="332" t="str" cm="1">
        <f t="array" ref="AI17">IFERROR(INDEX($E$2:$E$118, SMALL(IF($A$2:$A$118=AI$2, ROW($E$2:$E$118)-ROW($E$2)+1), ROWS($S$3:AI17))), "")</f>
        <v/>
      </c>
      <c r="AJ17" s="332" t="str" cm="1">
        <f t="array" ref="AJ17">IFERROR(INDEX($E$2:$E$118, SMALL(IF($A$2:$A$118=AJ$2, ROW($E$2:$E$118)-ROW($E$2)+1), ROWS($S$3:AJ17))), "")</f>
        <v/>
      </c>
      <c r="AK17" s="332" t="str" cm="1">
        <f t="array" ref="AK17">IFERROR(INDEX($E$2:$E$118, SMALL(IF($A$2:$A$118=AK$2, ROW($E$2:$E$118)-ROW($E$2)+1), ROWS($S$3:AK17))), "")</f>
        <v/>
      </c>
      <c r="AL17" s="332" t="str" cm="1">
        <f t="array" ref="AL17">IFERROR(INDEX($E$2:$E$118, SMALL(IF($A$2:$A$118=AL$2, ROW($E$2:$E$118)-ROW($E$2)+1), ROWS($S$3:AL17))), "")</f>
        <v/>
      </c>
      <c r="AM17" s="332" t="str" cm="1">
        <f t="array" ref="AM17">IFERROR(INDEX($E$2:$E$118, SMALL(IF($A$2:$A$118=AM$2, ROW($E$2:$E$118)-ROW($E$2)+1), ROWS($S$3:AM17))), "")</f>
        <v/>
      </c>
      <c r="AN17" s="332" t="str" cm="1">
        <f t="array" ref="AN17">IFERROR(INDEX($E$2:$E$118, SMALL(IF($A$2:$A$118=AN$2, ROW($E$2:$E$118)-ROW($E$2)+1), ROWS($S$3:AN17))), "")</f>
        <v/>
      </c>
      <c r="AO17" s="332" t="str" cm="1">
        <f t="array" ref="AO17">IFERROR(INDEX($E$2:$E$118, SMALL(IF($A$2:$A$118=AO$2, ROW($E$2:$E$118)-ROW($E$2)+1), ROWS($S$3:AO17))), "")</f>
        <v/>
      </c>
      <c r="AP17" s="332" t="str" cm="1">
        <f t="array" ref="AP17">IFERROR(INDEX($E$2:$E$118, SMALL(IF($A$2:$A$118=AP$2, ROW($E$2:$E$118)-ROW($E$2)+1), ROWS($S$3:AP17))), "")</f>
        <v/>
      </c>
      <c r="AQ17" s="332" cm="1">
        <f t="array" ref="AQ17">IFERROR(INDEX($E$2:$E$118, SMALL(IF($A$2:$A$118=AQ$2, ROW($E$2:$E$118)-ROW($E$2)+1), ROWS($S$3:AQ17))), "")</f>
        <v>129</v>
      </c>
      <c r="AR17" s="332" cm="1">
        <f t="array" ref="AR17">IFERROR(INDEX($E$2:$E$118, SMALL(IF($A$2:$A$118=AR$2, ROW($E$2:$E$118)-ROW($E$2)+1), ROWS($S$3:AR17))), "")</f>
        <v>129</v>
      </c>
    </row>
    <row r="18" spans="1:44">
      <c r="A18" s="329" t="s">
        <v>1046</v>
      </c>
      <c r="B18" s="329" t="s">
        <v>652</v>
      </c>
      <c r="C18" s="330">
        <f>VLOOKUP(B18, 'S14 ABC Output'!$A$3:$C$18, 3, 0)</f>
        <v>25689</v>
      </c>
      <c r="D18" s="330">
        <f>_xlfn.XLOOKUP(B18, 'S18 Operations'!$B$2:$B$534, 'S18 Operations'!$G$2:$G$534, 0, 0)</f>
        <v>200</v>
      </c>
      <c r="E18" s="330">
        <f t="shared" si="3"/>
        <v>129</v>
      </c>
      <c r="F18" s="330">
        <f>VLOOKUP(A18, 'S17 Work Stations'!$A$2:$C$45, 3, 0)</f>
        <v>35</v>
      </c>
      <c r="G18" s="330" cm="1">
        <f t="array" ref="G18">VLOOKUP(A18&amp;"-"&amp;B18, CHOOSE({1,2}, 'S18 Operations'!$D$2:$D$534&amp;"-"&amp;'S18 Operations'!$B$2:$B$534, 'S18 Operations'!$F$2:$F$534), 2, 0)</f>
        <v>540</v>
      </c>
      <c r="H18" s="331">
        <f t="shared" si="4"/>
        <v>9</v>
      </c>
      <c r="I18" s="331">
        <f t="shared" si="5"/>
        <v>235716</v>
      </c>
      <c r="J18" s="331">
        <f t="shared" si="6"/>
        <v>3928.6</v>
      </c>
      <c r="L18">
        <f t="shared" si="0"/>
        <v>5</v>
      </c>
      <c r="M18">
        <f t="shared" si="1"/>
        <v>129</v>
      </c>
      <c r="N18">
        <f t="shared" si="2"/>
        <v>626</v>
      </c>
      <c r="O18">
        <f t="shared" si="7"/>
        <v>5</v>
      </c>
      <c r="Q18" s="257" t="str" cm="1">
        <f t="array" ref="Q18">INDEX($A$2:$A$118, MATCH(0, COUNTIF($Q$1:Q17, $A$2:$A$118), 0))</f>
        <v>WS-31</v>
      </c>
      <c r="S18" s="332" t="str" cm="1">
        <f t="array" ref="S18">IFERROR(INDEX($E$2:$E$118, SMALL(IF($A$2:$A$118=S$2, ROW($E$2:$E$118)-ROW($E$2)+1), ROWS($S$3:S18))), "")</f>
        <v/>
      </c>
      <c r="T18" s="332" t="str" cm="1">
        <f t="array" ref="T18">IFERROR(INDEX($E$2:$E$118, SMALL(IF($A$2:$A$118=T$2, ROW($E$2:$E$118)-ROW($E$2)+1), ROWS($S$3:T18))), "")</f>
        <v/>
      </c>
      <c r="U18" s="332" t="str" cm="1">
        <f t="array" ref="U18">IFERROR(INDEX($E$2:$E$118, SMALL(IF($A$2:$A$118=U$2, ROW($E$2:$E$118)-ROW($E$2)+1), ROWS($S$3:U18))), "")</f>
        <v/>
      </c>
      <c r="V18" s="332" t="str" cm="1">
        <f t="array" ref="V18">IFERROR(INDEX($E$2:$E$118, SMALL(IF($A$2:$A$118=V$2, ROW($E$2:$E$118)-ROW($E$2)+1), ROWS($S$3:V18))), "")</f>
        <v/>
      </c>
      <c r="W18" s="332" t="str" cm="1">
        <f t="array" ref="W18">IFERROR(INDEX($E$2:$E$118, SMALL(IF($A$2:$A$118=W$2, ROW($E$2:$E$118)-ROW($E$2)+1), ROWS($S$3:W18))), "")</f>
        <v/>
      </c>
      <c r="X18" s="332" t="str" cm="1">
        <f t="array" ref="X18">IFERROR(INDEX($E$2:$E$118, SMALL(IF($A$2:$A$118=X$2, ROW($E$2:$E$118)-ROW($E$2)+1), ROWS($S$3:X18))), "")</f>
        <v/>
      </c>
      <c r="Y18" s="332" t="str" cm="1">
        <f t="array" ref="Y18">IFERROR(INDEX($E$2:$E$118, SMALL(IF($A$2:$A$118=Y$2, ROW($E$2:$E$118)-ROW($E$2)+1), ROWS($S$3:Y18))), "")</f>
        <v/>
      </c>
      <c r="Z18" s="332" t="str" cm="1">
        <f t="array" ref="Z18">IFERROR(INDEX($E$2:$E$118, SMALL(IF($A$2:$A$118=Z$2, ROW($E$2:$E$118)-ROW($E$2)+1), ROWS($S$3:Z18))), "")</f>
        <v/>
      </c>
      <c r="AA18" s="332" t="str" cm="1">
        <f t="array" ref="AA18">IFERROR(INDEX($E$2:$E$118, SMALL(IF($A$2:$A$118=AA$2, ROW($E$2:$E$118)-ROW($E$2)+1), ROWS($S$3:AA18))), "")</f>
        <v/>
      </c>
      <c r="AB18" s="332" t="str" cm="1">
        <f t="array" ref="AB18">IFERROR(INDEX($E$2:$E$118, SMALL(IF($A$2:$A$118=AB$2, ROW($E$2:$E$118)-ROW($E$2)+1), ROWS($S$3:AB18))), "")</f>
        <v/>
      </c>
      <c r="AC18" s="332" t="str" cm="1">
        <f t="array" ref="AC18">IFERROR(INDEX($E$2:$E$118, SMALL(IF($A$2:$A$118=AC$2, ROW($E$2:$E$118)-ROW($E$2)+1), ROWS($S$3:AC18))), "")</f>
        <v/>
      </c>
      <c r="AD18" s="332" t="str" cm="1">
        <f t="array" ref="AD18">IFERROR(INDEX($E$2:$E$118, SMALL(IF($A$2:$A$118=AD$2, ROW($E$2:$E$118)-ROW($E$2)+1), ROWS($S$3:AD18))), "")</f>
        <v/>
      </c>
      <c r="AE18" s="332" t="str" cm="1">
        <f t="array" ref="AE18">IFERROR(INDEX($E$2:$E$118, SMALL(IF($A$2:$A$118=AE$2, ROW($E$2:$E$118)-ROW($E$2)+1), ROWS($S$3:AE18))), "")</f>
        <v/>
      </c>
      <c r="AF18" s="332" t="str" cm="1">
        <f t="array" ref="AF18">IFERROR(INDEX($E$2:$E$118, SMALL(IF($A$2:$A$118=AF$2, ROW($E$2:$E$118)-ROW($E$2)+1), ROWS($S$3:AF18))), "")</f>
        <v/>
      </c>
      <c r="AG18" s="332" t="str" cm="1">
        <f t="array" ref="AG18">IFERROR(INDEX($E$2:$E$118, SMALL(IF($A$2:$A$118=AG$2, ROW($E$2:$E$118)-ROW($E$2)+1), ROWS($S$3:AG18))), "")</f>
        <v/>
      </c>
      <c r="AH18" s="332" t="str" cm="1">
        <f t="array" ref="AH18">IFERROR(INDEX($E$2:$E$118, SMALL(IF($A$2:$A$118=AH$2, ROW($E$2:$E$118)-ROW($E$2)+1), ROWS($S$3:AH18))), "")</f>
        <v/>
      </c>
      <c r="AI18" s="332" t="str" cm="1">
        <f t="array" ref="AI18">IFERROR(INDEX($E$2:$E$118, SMALL(IF($A$2:$A$118=AI$2, ROW($E$2:$E$118)-ROW($E$2)+1), ROWS($S$3:AI18))), "")</f>
        <v/>
      </c>
      <c r="AJ18" s="332" t="str" cm="1">
        <f t="array" ref="AJ18">IFERROR(INDEX($E$2:$E$118, SMALL(IF($A$2:$A$118=AJ$2, ROW($E$2:$E$118)-ROW($E$2)+1), ROWS($S$3:AJ18))), "")</f>
        <v/>
      </c>
      <c r="AK18" s="332" t="str" cm="1">
        <f t="array" ref="AK18">IFERROR(INDEX($E$2:$E$118, SMALL(IF($A$2:$A$118=AK$2, ROW($E$2:$E$118)-ROW($E$2)+1), ROWS($S$3:AK18))), "")</f>
        <v/>
      </c>
      <c r="AL18" s="332" t="str" cm="1">
        <f t="array" ref="AL18">IFERROR(INDEX($E$2:$E$118, SMALL(IF($A$2:$A$118=AL$2, ROW($E$2:$E$118)-ROW($E$2)+1), ROWS($S$3:AL18))), "")</f>
        <v/>
      </c>
      <c r="AM18" s="332" t="str" cm="1">
        <f t="array" ref="AM18">IFERROR(INDEX($E$2:$E$118, SMALL(IF($A$2:$A$118=AM$2, ROW($E$2:$E$118)-ROW($E$2)+1), ROWS($S$3:AM18))), "")</f>
        <v/>
      </c>
      <c r="AN18" s="332" t="str" cm="1">
        <f t="array" ref="AN18">IFERROR(INDEX($E$2:$E$118, SMALL(IF($A$2:$A$118=AN$2, ROW($E$2:$E$118)-ROW($E$2)+1), ROWS($S$3:AN18))), "")</f>
        <v/>
      </c>
      <c r="AO18" s="332" t="str" cm="1">
        <f t="array" ref="AO18">IFERROR(INDEX($E$2:$E$118, SMALL(IF($A$2:$A$118=AO$2, ROW($E$2:$E$118)-ROW($E$2)+1), ROWS($S$3:AO18))), "")</f>
        <v/>
      </c>
      <c r="AP18" s="332" t="str" cm="1">
        <f t="array" ref="AP18">IFERROR(INDEX($E$2:$E$118, SMALL(IF($A$2:$A$118=AP$2, ROW($E$2:$E$118)-ROW($E$2)+1), ROWS($S$3:AP18))), "")</f>
        <v/>
      </c>
      <c r="AQ18" s="332" cm="1">
        <f t="array" ref="AQ18">IFERROR(INDEX($E$2:$E$118, SMALL(IF($A$2:$A$118=AQ$2, ROW($E$2:$E$118)-ROW($E$2)+1), ROWS($S$3:AQ18))), "")</f>
        <v>510</v>
      </c>
      <c r="AR18" s="332" cm="1">
        <f t="array" ref="AR18">IFERROR(INDEX($E$2:$E$118, SMALL(IF($A$2:$A$118=AR$2, ROW($E$2:$E$118)-ROW($E$2)+1), ROWS($S$3:AR18))), "")</f>
        <v>510</v>
      </c>
    </row>
    <row r="19" spans="1:44">
      <c r="A19" s="329" t="s">
        <v>1046</v>
      </c>
      <c r="B19" s="329" t="s">
        <v>654</v>
      </c>
      <c r="C19" s="330">
        <f>VLOOKUP(B19, 'S14 ABC Output'!$A$3:$C$18, 3, 0)</f>
        <v>25468</v>
      </c>
      <c r="D19" s="330">
        <f>_xlfn.XLOOKUP(B19, 'S18 Operations'!$B$2:$B$534, 'S18 Operations'!$G$2:$G$534, 0, 0)</f>
        <v>50</v>
      </c>
      <c r="E19" s="330">
        <f t="shared" si="3"/>
        <v>510</v>
      </c>
      <c r="F19" s="330">
        <f>VLOOKUP(A19, 'S17 Work Stations'!$A$2:$C$45, 3, 0)</f>
        <v>35</v>
      </c>
      <c r="G19" s="330" cm="1">
        <f t="array" ref="G19">VLOOKUP(A19&amp;"-"&amp;B19, CHOOSE({1,2}, 'S18 Operations'!$D$2:$D$534&amp;"-"&amp;'S18 Operations'!$B$2:$B$534, 'S18 Operations'!$F$2:$F$534), 2, 0)</f>
        <v>840</v>
      </c>
      <c r="H19" s="331">
        <f t="shared" si="4"/>
        <v>14</v>
      </c>
      <c r="I19" s="331">
        <f t="shared" si="5"/>
        <v>374402</v>
      </c>
      <c r="J19" s="331">
        <f t="shared" si="6"/>
        <v>6240.0333333333338</v>
      </c>
      <c r="L19">
        <f t="shared" si="0"/>
        <v>2</v>
      </c>
      <c r="M19">
        <f t="shared" si="1"/>
        <v>129</v>
      </c>
      <c r="N19">
        <f t="shared" si="2"/>
        <v>626</v>
      </c>
      <c r="O19">
        <f t="shared" si="7"/>
        <v>5</v>
      </c>
      <c r="Q19" s="257" t="str" cm="1">
        <f t="array" ref="Q19">INDEX($A$2:$A$118, MATCH(0, COUNTIF($Q$1:Q18, $A$2:$A$118), 0))</f>
        <v>WS-32</v>
      </c>
      <c r="S19" s="333" t="str">
        <f>S2</f>
        <v>WS-02</v>
      </c>
      <c r="T19" s="333" t="str">
        <f t="shared" ref="T19:AR19" si="8">T2</f>
        <v>WS-03</v>
      </c>
      <c r="U19" s="333" t="str">
        <f t="shared" si="8"/>
        <v>WS-04</v>
      </c>
      <c r="V19" s="333" t="str">
        <f t="shared" si="8"/>
        <v>WS-05</v>
      </c>
      <c r="W19" s="333" t="str">
        <f t="shared" si="8"/>
        <v>WS-07</v>
      </c>
      <c r="X19" s="333" t="str">
        <f t="shared" si="8"/>
        <v>WS-08</v>
      </c>
      <c r="Y19" s="333" t="str">
        <f t="shared" si="8"/>
        <v>WS-18</v>
      </c>
      <c r="Z19" s="333" t="str">
        <f t="shared" si="8"/>
        <v>WS-20</v>
      </c>
      <c r="AA19" s="333" t="str">
        <f t="shared" si="8"/>
        <v>WS-21</v>
      </c>
      <c r="AB19" s="333" t="str">
        <f t="shared" si="8"/>
        <v>WS-23</v>
      </c>
      <c r="AC19" s="333" t="str">
        <f t="shared" si="8"/>
        <v>WS-24</v>
      </c>
      <c r="AD19" s="333" t="str">
        <f t="shared" si="8"/>
        <v>WS-25</v>
      </c>
      <c r="AE19" s="333" t="str">
        <f t="shared" si="8"/>
        <v>WS-26</v>
      </c>
      <c r="AF19" s="333" t="str">
        <f t="shared" si="8"/>
        <v>WS-27</v>
      </c>
      <c r="AG19" s="333" t="str">
        <f t="shared" si="8"/>
        <v>WS-28</v>
      </c>
      <c r="AH19" s="333" t="str">
        <f t="shared" si="8"/>
        <v>WS-29</v>
      </c>
      <c r="AI19" s="333" t="str">
        <f t="shared" si="8"/>
        <v>WS-31</v>
      </c>
      <c r="AJ19" s="333" t="str">
        <f t="shared" si="8"/>
        <v>WS-32</v>
      </c>
      <c r="AK19" s="333" t="str">
        <f t="shared" si="8"/>
        <v>WS-33</v>
      </c>
      <c r="AL19" s="333" t="str">
        <f t="shared" si="8"/>
        <v>WS-34</v>
      </c>
      <c r="AM19" s="333" t="str">
        <f t="shared" si="8"/>
        <v>WS-36</v>
      </c>
      <c r="AN19" s="333" t="str">
        <f t="shared" si="8"/>
        <v>WS-38</v>
      </c>
      <c r="AO19" s="333" t="str">
        <f t="shared" si="8"/>
        <v>WS-40</v>
      </c>
      <c r="AP19" s="333" t="str">
        <f t="shared" si="8"/>
        <v>WS-42</v>
      </c>
      <c r="AQ19" s="333" t="str">
        <f t="shared" si="8"/>
        <v>WS-43</v>
      </c>
      <c r="AR19" s="333" t="str">
        <f t="shared" si="8"/>
        <v>WS-44</v>
      </c>
    </row>
    <row r="20" spans="1:44">
      <c r="A20" s="329" t="s">
        <v>1048</v>
      </c>
      <c r="B20" s="329" t="s">
        <v>610</v>
      </c>
      <c r="C20" s="330">
        <f>VLOOKUP(B20, 'S14 ABC Output'!$A$3:$C$18, 3, 0)</f>
        <v>85612</v>
      </c>
      <c r="D20" s="330">
        <f>_xlfn.XLOOKUP(B20, 'S18 Operations'!$B$2:$B$534, 'S18 Operations'!$G$2:$G$534, 0, 0)</f>
        <v>200</v>
      </c>
      <c r="E20" s="330">
        <f t="shared" si="3"/>
        <v>429</v>
      </c>
      <c r="F20" s="330">
        <f>VLOOKUP(A20, 'S17 Work Stations'!$A$2:$C$45, 3, 0)</f>
        <v>30</v>
      </c>
      <c r="G20" s="330" cm="1">
        <f t="array" ref="G20">VLOOKUP(A20&amp;"-"&amp;B20, CHOOSE({1,2}, 'S18 Operations'!$D$2:$D$534&amp;"-"&amp;'S18 Operations'!$B$2:$B$534, 'S18 Operations'!$F$2:$F$534), 2, 0)</f>
        <v>480</v>
      </c>
      <c r="H20" s="331">
        <f t="shared" si="4"/>
        <v>8</v>
      </c>
      <c r="I20" s="331">
        <f t="shared" si="5"/>
        <v>692516</v>
      </c>
      <c r="J20" s="331">
        <f t="shared" si="6"/>
        <v>11541.933333333332</v>
      </c>
      <c r="L20">
        <f t="shared" si="0"/>
        <v>1</v>
      </c>
      <c r="M20">
        <f t="shared" si="1"/>
        <v>254</v>
      </c>
      <c r="N20">
        <f t="shared" si="2"/>
        <v>429</v>
      </c>
      <c r="O20">
        <f t="shared" si="7"/>
        <v>2</v>
      </c>
      <c r="Q20" s="257" t="str" cm="1">
        <f t="array" ref="Q20">INDEX($A$2:$A$118, MATCH(0, COUNTIF($Q$1:Q19, $A$2:$A$118), 0))</f>
        <v>WS-33</v>
      </c>
      <c r="S20" s="332">
        <f>IFERROR(LARGE(S$3:S$18,ROWS(S$20:S20)), "")</f>
        <v>1252</v>
      </c>
      <c r="T20" s="332">
        <f>IFERROR(LARGE(T$3:T$18,ROWS(T$20:T20)), "")</f>
        <v>433</v>
      </c>
      <c r="U20" s="332">
        <f>IFERROR(LARGE(U$3:U$18,ROWS(U$20:U20)), "")</f>
        <v>433</v>
      </c>
      <c r="V20" s="332">
        <f>IFERROR(LARGE(V$3:V$18,ROWS(V$20:V20)), "")</f>
        <v>1078</v>
      </c>
      <c r="W20" s="332">
        <f>IFERROR(LARGE(W$3:W$18,ROWS(W$20:W20)), "")</f>
        <v>626</v>
      </c>
      <c r="X20" s="332">
        <f>IFERROR(LARGE(X$3:X$18,ROWS(X$20:X20)), "")</f>
        <v>429</v>
      </c>
      <c r="Y20" s="332">
        <f>IFERROR(LARGE(Y$3:Y$18,ROWS(Y$20:Y20)), "")</f>
        <v>1252</v>
      </c>
      <c r="Z20" s="332">
        <f>IFERROR(LARGE(Z$3:Z$18,ROWS(Z$20:Z20)), "")</f>
        <v>429</v>
      </c>
      <c r="AA20" s="332">
        <f>IFERROR(LARGE(AA$3:AA$18,ROWS(AA$20:AA20)), "")</f>
        <v>626</v>
      </c>
      <c r="AB20" s="332">
        <f>IFERROR(LARGE(AB$3:AB$18,ROWS(AB$20:AB20)), "")</f>
        <v>433</v>
      </c>
      <c r="AC20" s="332">
        <f>IFERROR(LARGE(AC$3:AC$18,ROWS(AC$20:AC20)), "")</f>
        <v>1252</v>
      </c>
      <c r="AD20" s="332">
        <f>IFERROR(LARGE(AD$3:AD$18,ROWS(AD$20:AD20)), "")</f>
        <v>1078</v>
      </c>
      <c r="AE20" s="332">
        <f>IFERROR(LARGE(AE$3:AE$18,ROWS(AE$20:AE20)), "")</f>
        <v>429</v>
      </c>
      <c r="AF20" s="332">
        <f>IFERROR(LARGE(AF$3:AF$18,ROWS(AF$20:AF20)), "")</f>
        <v>626</v>
      </c>
      <c r="AG20" s="332">
        <f>IFERROR(LARGE(AG$3:AG$18,ROWS(AG$20:AG20)), "")</f>
        <v>626</v>
      </c>
      <c r="AH20" s="332">
        <f>IFERROR(LARGE(AH$3:AH$18,ROWS(AH$20:AH20)), "")</f>
        <v>1252</v>
      </c>
      <c r="AI20" s="332">
        <f>IFERROR(LARGE(AI$3:AI$18,ROWS(AI$20:AI20)), "")</f>
        <v>433</v>
      </c>
      <c r="AJ20" s="332">
        <f>IFERROR(LARGE(AJ$3:AJ$18,ROWS(AJ$20:AJ20)), "")</f>
        <v>626</v>
      </c>
      <c r="AK20" s="332">
        <f>IFERROR(LARGE(AK$3:AK$18,ROWS(AK$20:AK20)), "")</f>
        <v>1252</v>
      </c>
      <c r="AL20" s="332">
        <f>IFERROR(LARGE(AL$3:AL$18,ROWS(AL$20:AL20)), "")</f>
        <v>1078</v>
      </c>
      <c r="AM20" s="332">
        <f>IFERROR(LARGE(AM$3:AM$18,ROWS(AM$20:AM20)), "")</f>
        <v>1078</v>
      </c>
      <c r="AN20" s="332">
        <f>IFERROR(LARGE(AN$3:AN$18,ROWS(AN$20:AN20)), "")</f>
        <v>626</v>
      </c>
      <c r="AO20" s="332">
        <f>IFERROR(LARGE(AO$3:AO$18,ROWS(AO$20:AO20)), "")</f>
        <v>1252</v>
      </c>
      <c r="AP20" s="332">
        <f>IFERROR(LARGE(AP$3:AP$18,ROWS(AP$20:AP20)), "")</f>
        <v>433</v>
      </c>
      <c r="AQ20" s="332">
        <f>IFERROR(LARGE(AQ$3:AQ$18,ROWS(AQ$20:AQ20)), "")</f>
        <v>1252</v>
      </c>
      <c r="AR20" s="332">
        <f>IFERROR(LARGE(AR$3:AR$18,ROWS(AR$20:AR20)), "")</f>
        <v>1252</v>
      </c>
    </row>
    <row r="21" spans="1:44">
      <c r="A21" s="329" t="s">
        <v>1048</v>
      </c>
      <c r="B21" s="329" t="s">
        <v>530</v>
      </c>
      <c r="C21" s="330">
        <f>VLOOKUP(B21, 'S14 ABC Output'!$A$3:$C$18, 3, 0)</f>
        <v>50689</v>
      </c>
      <c r="D21" s="330">
        <f>_xlfn.XLOOKUP(B21, 'S18 Operations'!$B$2:$B$534, 'S18 Operations'!$G$2:$G$534, 0, 0)</f>
        <v>200</v>
      </c>
      <c r="E21" s="330">
        <f t="shared" si="3"/>
        <v>254</v>
      </c>
      <c r="F21" s="330">
        <f>VLOOKUP(A21, 'S17 Work Stations'!$A$2:$C$45, 3, 0)</f>
        <v>30</v>
      </c>
      <c r="G21" s="330" cm="1">
        <f t="array" ref="G21">VLOOKUP(A21&amp;"-"&amp;B21, CHOOSE({1,2}, 'S18 Operations'!$D$2:$D$534&amp;"-"&amp;'S18 Operations'!$B$2:$B$534, 'S18 Operations'!$F$2:$F$534), 2, 0)</f>
        <v>120</v>
      </c>
      <c r="H21" s="331">
        <f t="shared" si="4"/>
        <v>2</v>
      </c>
      <c r="I21" s="331">
        <f t="shared" si="5"/>
        <v>108998</v>
      </c>
      <c r="J21" s="331">
        <f t="shared" si="6"/>
        <v>1816.6333333333334</v>
      </c>
      <c r="L21">
        <f t="shared" si="0"/>
        <v>2</v>
      </c>
      <c r="M21">
        <f t="shared" si="1"/>
        <v>254</v>
      </c>
      <c r="N21">
        <f t="shared" si="2"/>
        <v>429</v>
      </c>
      <c r="O21">
        <f t="shared" si="7"/>
        <v>2</v>
      </c>
      <c r="Q21" s="257" t="str" cm="1">
        <f t="array" ref="Q21">INDEX($A$2:$A$118, MATCH(0, COUNTIF($Q$1:Q20, $A$2:$A$118), 0))</f>
        <v>WS-34</v>
      </c>
      <c r="S21" s="332">
        <f>IFERROR(LARGE(S$3:S$18,ROWS(S$20:S21)), "")</f>
        <v>129</v>
      </c>
      <c r="T21" s="332">
        <f>IFERROR(LARGE(T$3:T$18,ROWS(T$20:T21)), "")</f>
        <v>274</v>
      </c>
      <c r="U21" s="332">
        <f>IFERROR(LARGE(U$3:U$18,ROWS(U$20:U21)), "")</f>
        <v>274</v>
      </c>
      <c r="V21" s="332">
        <f>IFERROR(LARGE(V$3:V$18,ROWS(V$20:V21)), "")</f>
        <v>327</v>
      </c>
      <c r="W21" s="332">
        <f>IFERROR(LARGE(W$3:W$18,ROWS(W$20:W21)), "")</f>
        <v>510</v>
      </c>
      <c r="X21" s="332">
        <f>IFERROR(LARGE(X$3:X$18,ROWS(X$20:X21)), "")</f>
        <v>254</v>
      </c>
      <c r="Y21" s="332">
        <f>IFERROR(LARGE(Y$3:Y$18,ROWS(Y$20:Y21)), "")</f>
        <v>129</v>
      </c>
      <c r="Z21" s="332">
        <f>IFERROR(LARGE(Z$3:Z$18,ROWS(Z$20:Z21)), "")</f>
        <v>254</v>
      </c>
      <c r="AA21" s="332">
        <f>IFERROR(LARGE(AA$3:AA$18,ROWS(AA$20:AA21)), "")</f>
        <v>510</v>
      </c>
      <c r="AB21" s="332">
        <f>IFERROR(LARGE(AB$3:AB$18,ROWS(AB$20:AB21)), "")</f>
        <v>274</v>
      </c>
      <c r="AC21" s="332">
        <f>IFERROR(LARGE(AC$3:AC$18,ROWS(AC$20:AC21)), "")</f>
        <v>129</v>
      </c>
      <c r="AD21" s="332">
        <f>IFERROR(LARGE(AD$3:AD$18,ROWS(AD$20:AD21)), "")</f>
        <v>327</v>
      </c>
      <c r="AE21" s="332">
        <f>IFERROR(LARGE(AE$3:AE$18,ROWS(AE$20:AE21)), "")</f>
        <v>254</v>
      </c>
      <c r="AF21" s="332">
        <f>IFERROR(LARGE(AF$3:AF$18,ROWS(AF$20:AF21)), "")</f>
        <v>510</v>
      </c>
      <c r="AG21" s="332">
        <f>IFERROR(LARGE(AG$3:AG$18,ROWS(AG$20:AG21)), "")</f>
        <v>510</v>
      </c>
      <c r="AH21" s="332">
        <f>IFERROR(LARGE(AH$3:AH$18,ROWS(AH$20:AH21)), "")</f>
        <v>129</v>
      </c>
      <c r="AI21" s="332">
        <f>IFERROR(LARGE(AI$3:AI$18,ROWS(AI$20:AI21)), "")</f>
        <v>274</v>
      </c>
      <c r="AJ21" s="332">
        <f>IFERROR(LARGE(AJ$3:AJ$18,ROWS(AJ$20:AJ21)), "")</f>
        <v>510</v>
      </c>
      <c r="AK21" s="332">
        <f>IFERROR(LARGE(AK$3:AK$18,ROWS(AK$20:AK21)), "")</f>
        <v>129</v>
      </c>
      <c r="AL21" s="332">
        <f>IFERROR(LARGE(AL$3:AL$18,ROWS(AL$20:AL21)), "")</f>
        <v>327</v>
      </c>
      <c r="AM21" s="332">
        <f>IFERROR(LARGE(AM$3:AM$18,ROWS(AM$20:AM21)), "")</f>
        <v>327</v>
      </c>
      <c r="AN21" s="332">
        <f>IFERROR(LARGE(AN$3:AN$18,ROWS(AN$20:AN21)), "")</f>
        <v>510</v>
      </c>
      <c r="AO21" s="332">
        <f>IFERROR(LARGE(AO$3:AO$18,ROWS(AO$20:AO21)), "")</f>
        <v>433</v>
      </c>
      <c r="AP21" s="332" t="str">
        <f>IFERROR(LARGE(AP$3:AP$18,ROWS(AP$20:AP21)), "")</f>
        <v/>
      </c>
      <c r="AQ21" s="332">
        <f>IFERROR(LARGE(AQ$3:AQ$18,ROWS(AQ$20:AQ21)), "")</f>
        <v>1078</v>
      </c>
      <c r="AR21" s="332">
        <f>IFERROR(LARGE(AR$3:AR$18,ROWS(AR$20:AR21)), "")</f>
        <v>1078</v>
      </c>
    </row>
    <row r="22" spans="1:44">
      <c r="A22" s="329" t="s">
        <v>1067</v>
      </c>
      <c r="B22" s="329" t="s">
        <v>526</v>
      </c>
      <c r="C22" s="330">
        <f>VLOOKUP(B22, 'S14 ABC Output'!$A$3:$C$18, 3, 0)</f>
        <v>250356</v>
      </c>
      <c r="D22" s="330">
        <f>_xlfn.XLOOKUP(B22, 'S18 Operations'!$B$2:$B$534, 'S18 Operations'!$G$2:$G$534, 0, 0)</f>
        <v>200</v>
      </c>
      <c r="E22" s="330">
        <f t="shared" si="3"/>
        <v>1252</v>
      </c>
      <c r="F22" s="330">
        <f>VLOOKUP(A22, 'S17 Work Stations'!$A$2:$C$45, 3, 0)</f>
        <v>30</v>
      </c>
      <c r="G22" s="330" cm="1">
        <f t="array" ref="G22">VLOOKUP(A22&amp;"-"&amp;B22, CHOOSE({1,2}, 'S18 Operations'!$D$2:$D$534&amp;"-"&amp;'S18 Operations'!$B$2:$B$534, 'S18 Operations'!$F$2:$F$534), 2, 0)</f>
        <v>420</v>
      </c>
      <c r="H22" s="331">
        <f t="shared" si="4"/>
        <v>7</v>
      </c>
      <c r="I22" s="331">
        <f t="shared" si="5"/>
        <v>1756362</v>
      </c>
      <c r="J22" s="331">
        <f t="shared" si="6"/>
        <v>29272.7</v>
      </c>
      <c r="L22">
        <f t="shared" si="0"/>
        <v>1</v>
      </c>
      <c r="M22">
        <f t="shared" si="1"/>
        <v>129</v>
      </c>
      <c r="N22">
        <f t="shared" si="2"/>
        <v>1252</v>
      </c>
      <c r="O22">
        <f t="shared" si="7"/>
        <v>3</v>
      </c>
      <c r="Q22" s="257" t="str" cm="1">
        <f t="array" ref="Q22">INDEX($A$2:$A$118, MATCH(0, COUNTIF($Q$1:Q21, $A$2:$A$118), 0))</f>
        <v>WS-36</v>
      </c>
      <c r="S22" s="332">
        <f>IFERROR(LARGE(S$3:S$18,ROWS(S$20:S22)), "")</f>
        <v>129</v>
      </c>
      <c r="T22" s="332" t="str">
        <f>IFERROR(LARGE(T$3:T$18,ROWS(T$20:T22)), "")</f>
        <v/>
      </c>
      <c r="U22" s="332" t="str">
        <f>IFERROR(LARGE(U$3:U$18,ROWS(U$20:U22)), "")</f>
        <v/>
      </c>
      <c r="V22" s="332">
        <f>IFERROR(LARGE(V$3:V$18,ROWS(V$20:V22)), "")</f>
        <v>230</v>
      </c>
      <c r="W22" s="332">
        <f>IFERROR(LARGE(W$3:W$18,ROWS(W$20:W22)), "")</f>
        <v>429</v>
      </c>
      <c r="X22" s="332" t="str">
        <f>IFERROR(LARGE(X$3:X$18,ROWS(X$20:X22)), "")</f>
        <v/>
      </c>
      <c r="Y22" s="332">
        <f>IFERROR(LARGE(Y$3:Y$18,ROWS(Y$20:Y22)), "")</f>
        <v>129</v>
      </c>
      <c r="Z22" s="332" t="str">
        <f>IFERROR(LARGE(Z$3:Z$18,ROWS(Z$20:Z22)), "")</f>
        <v/>
      </c>
      <c r="AA22" s="332">
        <f>IFERROR(LARGE(AA$3:AA$18,ROWS(AA$20:AA22)), "")</f>
        <v>129</v>
      </c>
      <c r="AB22" s="332" t="str">
        <f>IFERROR(LARGE(AB$3:AB$18,ROWS(AB$20:AB22)), "")</f>
        <v/>
      </c>
      <c r="AC22" s="332">
        <f>IFERROR(LARGE(AC$3:AC$18,ROWS(AC$20:AC22)), "")</f>
        <v>129</v>
      </c>
      <c r="AD22" s="332">
        <f>IFERROR(LARGE(AD$3:AD$18,ROWS(AD$20:AD22)), "")</f>
        <v>230</v>
      </c>
      <c r="AE22" s="332" t="str">
        <f>IFERROR(LARGE(AE$3:AE$18,ROWS(AE$20:AE22)), "")</f>
        <v/>
      </c>
      <c r="AF22" s="332">
        <f>IFERROR(LARGE(AF$3:AF$18,ROWS(AF$20:AF22)), "")</f>
        <v>129</v>
      </c>
      <c r="AG22" s="332">
        <f>IFERROR(LARGE(AG$3:AG$18,ROWS(AG$20:AG22)), "")</f>
        <v>129</v>
      </c>
      <c r="AH22" s="332">
        <f>IFERROR(LARGE(AH$3:AH$18,ROWS(AH$20:AH22)), "")</f>
        <v>129</v>
      </c>
      <c r="AI22" s="332" t="str">
        <f>IFERROR(LARGE(AI$3:AI$18,ROWS(AI$20:AI22)), "")</f>
        <v/>
      </c>
      <c r="AJ22" s="332">
        <f>IFERROR(LARGE(AJ$3:AJ$18,ROWS(AJ$20:AJ22)), "")</f>
        <v>433</v>
      </c>
      <c r="AK22" s="332">
        <f>IFERROR(LARGE(AK$3:AK$18,ROWS(AK$20:AK22)), "")</f>
        <v>129</v>
      </c>
      <c r="AL22" s="332">
        <f>IFERROR(LARGE(AL$3:AL$18,ROWS(AL$20:AL22)), "")</f>
        <v>230</v>
      </c>
      <c r="AM22" s="332">
        <f>IFERROR(LARGE(AM$3:AM$18,ROWS(AM$20:AM22)), "")</f>
        <v>230</v>
      </c>
      <c r="AN22" s="332">
        <f>IFERROR(LARGE(AN$3:AN$18,ROWS(AN$20:AN22)), "")</f>
        <v>129</v>
      </c>
      <c r="AO22" s="332">
        <f>IFERROR(LARGE(AO$3:AO$18,ROWS(AO$20:AO22)), "")</f>
        <v>429</v>
      </c>
      <c r="AP22" s="332" t="str">
        <f>IFERROR(LARGE(AP$3:AP$18,ROWS(AP$20:AP22)), "")</f>
        <v/>
      </c>
      <c r="AQ22" s="332">
        <f>IFERROR(LARGE(AQ$3:AQ$18,ROWS(AQ$20:AQ22)), "")</f>
        <v>626</v>
      </c>
      <c r="AR22" s="332">
        <f>IFERROR(LARGE(AR$3:AR$18,ROWS(AR$20:AR22)), "")</f>
        <v>626</v>
      </c>
    </row>
    <row r="23" spans="1:44">
      <c r="A23" s="329" t="s">
        <v>1067</v>
      </c>
      <c r="B23" s="329" t="s">
        <v>518</v>
      </c>
      <c r="C23" s="330">
        <f>VLOOKUP(B23, 'S14 ABC Output'!$A$3:$C$18, 3, 0)</f>
        <v>25689</v>
      </c>
      <c r="D23" s="330">
        <f>_xlfn.XLOOKUP(B23, 'S18 Operations'!$B$2:$B$534, 'S18 Operations'!$G$2:$G$534, 0, 0)</f>
        <v>200</v>
      </c>
      <c r="E23" s="330">
        <f t="shared" si="3"/>
        <v>129</v>
      </c>
      <c r="F23" s="330">
        <f>VLOOKUP(A23, 'S17 Work Stations'!$A$2:$C$45, 3, 0)</f>
        <v>30</v>
      </c>
      <c r="G23" s="330" cm="1">
        <f t="array" ref="G23">VLOOKUP(A23&amp;"-"&amp;B23, CHOOSE({1,2}, 'S18 Operations'!$D$2:$D$534&amp;"-"&amp;'S18 Operations'!$B$2:$B$534, 'S18 Operations'!$F$2:$F$534), 2, 0)</f>
        <v>480</v>
      </c>
      <c r="H23" s="331">
        <f t="shared" si="4"/>
        <v>8</v>
      </c>
      <c r="I23" s="331">
        <f t="shared" si="5"/>
        <v>209382</v>
      </c>
      <c r="J23" s="331">
        <f t="shared" si="6"/>
        <v>3489.7</v>
      </c>
      <c r="L23">
        <f t="shared" si="0"/>
        <v>2</v>
      </c>
      <c r="M23">
        <f t="shared" si="1"/>
        <v>129</v>
      </c>
      <c r="N23">
        <f t="shared" si="2"/>
        <v>1252</v>
      </c>
      <c r="O23">
        <f t="shared" si="7"/>
        <v>3</v>
      </c>
      <c r="Q23" s="257" t="str" cm="1">
        <f t="array" ref="Q23">INDEX($A$2:$A$118, MATCH(0, COUNTIF($Q$1:Q22, $A$2:$A$118), 0))</f>
        <v>WS-38</v>
      </c>
      <c r="S23" s="332" t="str">
        <f>IFERROR(LARGE(S$3:S$18,ROWS(S$20:S23)), "")</f>
        <v/>
      </c>
      <c r="T23" s="332" t="str">
        <f>IFERROR(LARGE(T$3:T$18,ROWS(T$20:T23)), "")</f>
        <v/>
      </c>
      <c r="U23" s="332" t="str">
        <f>IFERROR(LARGE(U$3:U$18,ROWS(U$20:U23)), "")</f>
        <v/>
      </c>
      <c r="V23" s="332">
        <f>IFERROR(LARGE(V$3:V$18,ROWS(V$20:V23)), "")</f>
        <v>183</v>
      </c>
      <c r="W23" s="332">
        <f>IFERROR(LARGE(W$3:W$18,ROWS(W$20:W23)), "")</f>
        <v>254</v>
      </c>
      <c r="X23" s="332" t="str">
        <f>IFERROR(LARGE(X$3:X$18,ROWS(X$20:X23)), "")</f>
        <v/>
      </c>
      <c r="Y23" s="332" t="str">
        <f>IFERROR(LARGE(Y$3:Y$18,ROWS(Y$20:Y23)), "")</f>
        <v/>
      </c>
      <c r="Z23" s="332" t="str">
        <f>IFERROR(LARGE(Z$3:Z$18,ROWS(Z$20:Z23)), "")</f>
        <v/>
      </c>
      <c r="AA23" s="332" t="str">
        <f>IFERROR(LARGE(AA$3:AA$18,ROWS(AA$20:AA23)), "")</f>
        <v/>
      </c>
      <c r="AB23" s="332" t="str">
        <f>IFERROR(LARGE(AB$3:AB$18,ROWS(AB$20:AB23)), "")</f>
        <v/>
      </c>
      <c r="AC23" s="332" t="str">
        <f>IFERROR(LARGE(AC$3:AC$18,ROWS(AC$20:AC23)), "")</f>
        <v/>
      </c>
      <c r="AD23" s="332">
        <f>IFERROR(LARGE(AD$3:AD$18,ROWS(AD$20:AD23)), "")</f>
        <v>183</v>
      </c>
      <c r="AE23" s="332" t="str">
        <f>IFERROR(LARGE(AE$3:AE$18,ROWS(AE$20:AE23)), "")</f>
        <v/>
      </c>
      <c r="AF23" s="332" t="str">
        <f>IFERROR(LARGE(AF$3:AF$18,ROWS(AF$20:AF23)), "")</f>
        <v/>
      </c>
      <c r="AG23" s="332" t="str">
        <f>IFERROR(LARGE(AG$3:AG$18,ROWS(AG$20:AG23)), "")</f>
        <v/>
      </c>
      <c r="AH23" s="332" t="str">
        <f>IFERROR(LARGE(AH$3:AH$18,ROWS(AH$20:AH23)), "")</f>
        <v/>
      </c>
      <c r="AI23" s="332" t="str">
        <f>IFERROR(LARGE(AI$3:AI$18,ROWS(AI$20:AI23)), "")</f>
        <v/>
      </c>
      <c r="AJ23" s="332">
        <f>IFERROR(LARGE(AJ$3:AJ$18,ROWS(AJ$20:AJ23)), "")</f>
        <v>429</v>
      </c>
      <c r="AK23" s="332" t="str">
        <f>IFERROR(LARGE(AK$3:AK$18,ROWS(AK$20:AK23)), "")</f>
        <v/>
      </c>
      <c r="AL23" s="332">
        <f>IFERROR(LARGE(AL$3:AL$18,ROWS(AL$20:AL23)), "")</f>
        <v>183</v>
      </c>
      <c r="AM23" s="332">
        <f>IFERROR(LARGE(AM$3:AM$18,ROWS(AM$20:AM23)), "")</f>
        <v>183</v>
      </c>
      <c r="AN23" s="332" t="str">
        <f>IFERROR(LARGE(AN$3:AN$18,ROWS(AN$20:AN23)), "")</f>
        <v/>
      </c>
      <c r="AO23" s="332">
        <f>IFERROR(LARGE(AO$3:AO$18,ROWS(AO$20:AO23)), "")</f>
        <v>274</v>
      </c>
      <c r="AP23" s="332" t="str">
        <f>IFERROR(LARGE(AP$3:AP$18,ROWS(AP$20:AP23)), "")</f>
        <v/>
      </c>
      <c r="AQ23" s="332">
        <f>IFERROR(LARGE(AQ$3:AQ$18,ROWS(AQ$20:AQ23)), "")</f>
        <v>510</v>
      </c>
      <c r="AR23" s="332">
        <f>IFERROR(LARGE(AR$3:AR$18,ROWS(AR$20:AR23)), "")</f>
        <v>510</v>
      </c>
    </row>
    <row r="24" spans="1:44">
      <c r="A24" s="329" t="s">
        <v>1067</v>
      </c>
      <c r="B24" s="329" t="s">
        <v>520</v>
      </c>
      <c r="C24" s="330">
        <f>VLOOKUP(B24, 'S14 ABC Output'!$A$3:$C$18, 3, 0)</f>
        <v>25639</v>
      </c>
      <c r="D24" s="330">
        <f>_xlfn.XLOOKUP(B24, 'S18 Operations'!$B$2:$B$534, 'S18 Operations'!$G$2:$G$534, 0, 0)</f>
        <v>200</v>
      </c>
      <c r="E24" s="330">
        <f t="shared" si="3"/>
        <v>129</v>
      </c>
      <c r="F24" s="330">
        <f>VLOOKUP(A24, 'S17 Work Stations'!$A$2:$C$45, 3, 0)</f>
        <v>30</v>
      </c>
      <c r="G24" s="330" cm="1">
        <f t="array" ref="G24">VLOOKUP(A24&amp;"-"&amp;B24, CHOOSE({1,2}, 'S18 Operations'!$D$2:$D$534&amp;"-"&amp;'S18 Operations'!$B$2:$B$534, 'S18 Operations'!$F$2:$F$534), 2, 0)</f>
        <v>360</v>
      </c>
      <c r="H24" s="331">
        <f t="shared" si="4"/>
        <v>6</v>
      </c>
      <c r="I24" s="331">
        <f t="shared" si="5"/>
        <v>157704</v>
      </c>
      <c r="J24" s="331">
        <f t="shared" si="6"/>
        <v>2628.4</v>
      </c>
      <c r="L24">
        <f t="shared" si="0"/>
        <v>2</v>
      </c>
      <c r="M24">
        <f t="shared" si="1"/>
        <v>129</v>
      </c>
      <c r="N24">
        <f t="shared" si="2"/>
        <v>1252</v>
      </c>
      <c r="O24">
        <f t="shared" si="7"/>
        <v>3</v>
      </c>
      <c r="Q24" s="257" t="str" cm="1">
        <f t="array" ref="Q24">INDEX($A$2:$A$118, MATCH(0, COUNTIF($Q$1:Q23, $A$2:$A$118), 0))</f>
        <v>WS-40</v>
      </c>
      <c r="S24" s="332" t="str">
        <f>IFERROR(LARGE(S$3:S$18,ROWS(S$20:S24)), "")</f>
        <v/>
      </c>
      <c r="T24" s="332" t="str">
        <f>IFERROR(LARGE(T$3:T$18,ROWS(T$20:T24)), "")</f>
        <v/>
      </c>
      <c r="U24" s="332" t="str">
        <f>IFERROR(LARGE(U$3:U$18,ROWS(U$20:U24)), "")</f>
        <v/>
      </c>
      <c r="V24" s="332">
        <f>IFERROR(LARGE(V$3:V$18,ROWS(V$20:V24)), "")</f>
        <v>183</v>
      </c>
      <c r="W24" s="332">
        <f>IFERROR(LARGE(W$3:W$18,ROWS(W$20:W24)), "")</f>
        <v>129</v>
      </c>
      <c r="X24" s="332" t="str">
        <f>IFERROR(LARGE(X$3:X$18,ROWS(X$20:X24)), "")</f>
        <v/>
      </c>
      <c r="Y24" s="332" t="str">
        <f>IFERROR(LARGE(Y$3:Y$18,ROWS(Y$20:Y24)), "")</f>
        <v/>
      </c>
      <c r="Z24" s="332" t="str">
        <f>IFERROR(LARGE(Z$3:Z$18,ROWS(Z$20:Z24)), "")</f>
        <v/>
      </c>
      <c r="AA24" s="332" t="str">
        <f>IFERROR(LARGE(AA$3:AA$18,ROWS(AA$20:AA24)), "")</f>
        <v/>
      </c>
      <c r="AB24" s="332" t="str">
        <f>IFERROR(LARGE(AB$3:AB$18,ROWS(AB$20:AB24)), "")</f>
        <v/>
      </c>
      <c r="AC24" s="332" t="str">
        <f>IFERROR(LARGE(AC$3:AC$18,ROWS(AC$20:AC24)), "")</f>
        <v/>
      </c>
      <c r="AD24" s="332">
        <f>IFERROR(LARGE(AD$3:AD$18,ROWS(AD$20:AD24)), "")</f>
        <v>183</v>
      </c>
      <c r="AE24" s="332" t="str">
        <f>IFERROR(LARGE(AE$3:AE$18,ROWS(AE$20:AE24)), "")</f>
        <v/>
      </c>
      <c r="AF24" s="332" t="str">
        <f>IFERROR(LARGE(AF$3:AF$18,ROWS(AF$20:AF24)), "")</f>
        <v/>
      </c>
      <c r="AG24" s="332" t="str">
        <f>IFERROR(LARGE(AG$3:AG$18,ROWS(AG$20:AG24)), "")</f>
        <v/>
      </c>
      <c r="AH24" s="332" t="str">
        <f>IFERROR(LARGE(AH$3:AH$18,ROWS(AH$20:AH24)), "")</f>
        <v/>
      </c>
      <c r="AI24" s="332" t="str">
        <f>IFERROR(LARGE(AI$3:AI$18,ROWS(AI$20:AI24)), "")</f>
        <v/>
      </c>
      <c r="AJ24" s="332">
        <f>IFERROR(LARGE(AJ$3:AJ$18,ROWS(AJ$20:AJ24)), "")</f>
        <v>274</v>
      </c>
      <c r="AK24" s="332" t="str">
        <f>IFERROR(LARGE(AK$3:AK$18,ROWS(AK$20:AK24)), "")</f>
        <v/>
      </c>
      <c r="AL24" s="332">
        <f>IFERROR(LARGE(AL$3:AL$18,ROWS(AL$20:AL24)), "")</f>
        <v>183</v>
      </c>
      <c r="AM24" s="332">
        <f>IFERROR(LARGE(AM$3:AM$18,ROWS(AM$20:AM24)), "")</f>
        <v>183</v>
      </c>
      <c r="AN24" s="332" t="str">
        <f>IFERROR(LARGE(AN$3:AN$18,ROWS(AN$20:AN24)), "")</f>
        <v/>
      </c>
      <c r="AO24" s="332">
        <f>IFERROR(LARGE(AO$3:AO$18,ROWS(AO$20:AO24)), "")</f>
        <v>254</v>
      </c>
      <c r="AP24" s="332" t="str">
        <f>IFERROR(LARGE(AP$3:AP$18,ROWS(AP$20:AP24)), "")</f>
        <v/>
      </c>
      <c r="AQ24" s="332">
        <f>IFERROR(LARGE(AQ$3:AQ$18,ROWS(AQ$20:AQ24)), "")</f>
        <v>433</v>
      </c>
      <c r="AR24" s="332">
        <f>IFERROR(LARGE(AR$3:AR$18,ROWS(AR$20:AR24)), "")</f>
        <v>433</v>
      </c>
    </row>
    <row r="25" spans="1:44">
      <c r="A25" s="329" t="s">
        <v>1071</v>
      </c>
      <c r="B25" s="329" t="s">
        <v>610</v>
      </c>
      <c r="C25" s="330">
        <f>VLOOKUP(B25, 'S14 ABC Output'!$A$3:$C$18, 3, 0)</f>
        <v>85612</v>
      </c>
      <c r="D25" s="330">
        <f>_xlfn.XLOOKUP(B25, 'S18 Operations'!$B$2:$B$534, 'S18 Operations'!$G$2:$G$534, 0, 0)</f>
        <v>200</v>
      </c>
      <c r="E25" s="330">
        <f t="shared" si="3"/>
        <v>429</v>
      </c>
      <c r="F25" s="330">
        <f>VLOOKUP(A25, 'S17 Work Stations'!$A$2:$C$45, 3, 0)</f>
        <v>20</v>
      </c>
      <c r="G25" s="330" cm="1">
        <f t="array" ref="G25">VLOOKUP(A25&amp;"-"&amp;B25, CHOOSE({1,2}, 'S18 Operations'!$D$2:$D$534&amp;"-"&amp;'S18 Operations'!$B$2:$B$534, 'S18 Operations'!$F$2:$F$534), 2, 0)</f>
        <v>180</v>
      </c>
      <c r="H25" s="331">
        <f t="shared" si="4"/>
        <v>3</v>
      </c>
      <c r="I25" s="331">
        <f t="shared" si="5"/>
        <v>261916</v>
      </c>
      <c r="J25" s="331">
        <f t="shared" si="6"/>
        <v>4365.2666666666664</v>
      </c>
      <c r="L25">
        <f t="shared" si="0"/>
        <v>1</v>
      </c>
      <c r="M25">
        <f t="shared" si="1"/>
        <v>254</v>
      </c>
      <c r="N25">
        <f t="shared" si="2"/>
        <v>429</v>
      </c>
      <c r="O25">
        <f t="shared" si="7"/>
        <v>2</v>
      </c>
      <c r="Q25" s="257" t="str" cm="1">
        <f t="array" ref="Q25">INDEX($A$2:$A$118, MATCH(0, COUNTIF($Q$1:Q24, $A$2:$A$118), 0))</f>
        <v>WS-42</v>
      </c>
      <c r="S25" s="332" t="str">
        <f>IFERROR(LARGE(S$3:S$18,ROWS(S$20:S25)), "")</f>
        <v/>
      </c>
      <c r="T25" s="332" t="str">
        <f>IFERROR(LARGE(T$3:T$18,ROWS(T$20:T25)), "")</f>
        <v/>
      </c>
      <c r="U25" s="332" t="str">
        <f>IFERROR(LARGE(U$3:U$18,ROWS(U$20:U25)), "")</f>
        <v/>
      </c>
      <c r="V25" s="332">
        <f>IFERROR(LARGE(V$3:V$18,ROWS(V$20:V25)), "")</f>
        <v>129</v>
      </c>
      <c r="W25" s="332" t="str">
        <f>IFERROR(LARGE(W$3:W$18,ROWS(W$20:W25)), "")</f>
        <v/>
      </c>
      <c r="X25" s="332" t="str">
        <f>IFERROR(LARGE(X$3:X$18,ROWS(X$20:X25)), "")</f>
        <v/>
      </c>
      <c r="Y25" s="332" t="str">
        <f>IFERROR(LARGE(Y$3:Y$18,ROWS(Y$20:Y25)), "")</f>
        <v/>
      </c>
      <c r="Z25" s="332" t="str">
        <f>IFERROR(LARGE(Z$3:Z$18,ROWS(Z$20:Z25)), "")</f>
        <v/>
      </c>
      <c r="AA25" s="332" t="str">
        <f>IFERROR(LARGE(AA$3:AA$18,ROWS(AA$20:AA25)), "")</f>
        <v/>
      </c>
      <c r="AB25" s="332" t="str">
        <f>IFERROR(LARGE(AB$3:AB$18,ROWS(AB$20:AB25)), "")</f>
        <v/>
      </c>
      <c r="AC25" s="332" t="str">
        <f>IFERROR(LARGE(AC$3:AC$18,ROWS(AC$20:AC25)), "")</f>
        <v/>
      </c>
      <c r="AD25" s="332">
        <f>IFERROR(LARGE(AD$3:AD$18,ROWS(AD$20:AD25)), "")</f>
        <v>129</v>
      </c>
      <c r="AE25" s="332" t="str">
        <f>IFERROR(LARGE(AE$3:AE$18,ROWS(AE$20:AE25)), "")</f>
        <v/>
      </c>
      <c r="AF25" s="332" t="str">
        <f>IFERROR(LARGE(AF$3:AF$18,ROWS(AF$20:AF25)), "")</f>
        <v/>
      </c>
      <c r="AG25" s="332" t="str">
        <f>IFERROR(LARGE(AG$3:AG$18,ROWS(AG$20:AG25)), "")</f>
        <v/>
      </c>
      <c r="AH25" s="332" t="str">
        <f>IFERROR(LARGE(AH$3:AH$18,ROWS(AH$20:AH25)), "")</f>
        <v/>
      </c>
      <c r="AI25" s="332" t="str">
        <f>IFERROR(LARGE(AI$3:AI$18,ROWS(AI$20:AI25)), "")</f>
        <v/>
      </c>
      <c r="AJ25" s="332">
        <f>IFERROR(LARGE(AJ$3:AJ$18,ROWS(AJ$20:AJ25)), "")</f>
        <v>254</v>
      </c>
      <c r="AK25" s="332" t="str">
        <f>IFERROR(LARGE(AK$3:AK$18,ROWS(AK$20:AK25)), "")</f>
        <v/>
      </c>
      <c r="AL25" s="332">
        <f>IFERROR(LARGE(AL$3:AL$18,ROWS(AL$20:AL25)), "")</f>
        <v>129</v>
      </c>
      <c r="AM25" s="332">
        <f>IFERROR(LARGE(AM$3:AM$18,ROWS(AM$20:AM25)), "")</f>
        <v>129</v>
      </c>
      <c r="AN25" s="332" t="str">
        <f>IFERROR(LARGE(AN$3:AN$18,ROWS(AN$20:AN25)), "")</f>
        <v/>
      </c>
      <c r="AO25" s="332">
        <f>IFERROR(LARGE(AO$3:AO$18,ROWS(AO$20:AO25)), "")</f>
        <v>129</v>
      </c>
      <c r="AP25" s="332" t="str">
        <f>IFERROR(LARGE(AP$3:AP$18,ROWS(AP$20:AP25)), "")</f>
        <v/>
      </c>
      <c r="AQ25" s="332">
        <f>IFERROR(LARGE(AQ$3:AQ$18,ROWS(AQ$20:AQ25)), "")</f>
        <v>429</v>
      </c>
      <c r="AR25" s="332">
        <f>IFERROR(LARGE(AR$3:AR$18,ROWS(AR$20:AR25)), "")</f>
        <v>429</v>
      </c>
    </row>
    <row r="26" spans="1:44">
      <c r="A26" s="329" t="s">
        <v>1071</v>
      </c>
      <c r="B26" s="329" t="s">
        <v>530</v>
      </c>
      <c r="C26" s="330">
        <f>VLOOKUP(B26, 'S14 ABC Output'!$A$3:$C$18, 3, 0)</f>
        <v>50689</v>
      </c>
      <c r="D26" s="330">
        <f>_xlfn.XLOOKUP(B26, 'S18 Operations'!$B$2:$B$534, 'S18 Operations'!$G$2:$G$534, 0, 0)</f>
        <v>200</v>
      </c>
      <c r="E26" s="330">
        <f t="shared" si="3"/>
        <v>254</v>
      </c>
      <c r="F26" s="330">
        <f>VLOOKUP(A26, 'S17 Work Stations'!$A$2:$C$45, 3, 0)</f>
        <v>20</v>
      </c>
      <c r="G26" s="330" cm="1">
        <f t="array" ref="G26">VLOOKUP(A26&amp;"-"&amp;B26, CHOOSE({1,2}, 'S18 Operations'!$D$2:$D$534&amp;"-"&amp;'S18 Operations'!$B$2:$B$534, 'S18 Operations'!$F$2:$F$534), 2, 0)</f>
        <v>1140</v>
      </c>
      <c r="H26" s="331">
        <f t="shared" si="4"/>
        <v>19</v>
      </c>
      <c r="I26" s="331">
        <f t="shared" si="5"/>
        <v>968171</v>
      </c>
      <c r="J26" s="331">
        <f t="shared" si="6"/>
        <v>16136.183333333332</v>
      </c>
      <c r="L26">
        <f t="shared" si="0"/>
        <v>2</v>
      </c>
      <c r="M26">
        <f t="shared" si="1"/>
        <v>254</v>
      </c>
      <c r="N26">
        <f t="shared" si="2"/>
        <v>429</v>
      </c>
      <c r="O26">
        <f t="shared" si="7"/>
        <v>2</v>
      </c>
      <c r="Q26" s="257" t="str" cm="1">
        <f t="array" ref="Q26">INDEX($A$2:$A$118, MATCH(0, COUNTIF($Q$1:Q25, $A$2:$A$118), 0))</f>
        <v>WS-43</v>
      </c>
      <c r="S26" s="332" t="str">
        <f>IFERROR(LARGE(S$3:S$18,ROWS(S$20:S26)), "")</f>
        <v/>
      </c>
      <c r="T26" s="332" t="str">
        <f>IFERROR(LARGE(T$3:T$18,ROWS(T$20:T26)), "")</f>
        <v/>
      </c>
      <c r="U26" s="332" t="str">
        <f>IFERROR(LARGE(U$3:U$18,ROWS(U$20:U26)), "")</f>
        <v/>
      </c>
      <c r="V26" s="332" t="str">
        <f>IFERROR(LARGE(V$3:V$18,ROWS(V$20:V26)), "")</f>
        <v/>
      </c>
      <c r="W26" s="332" t="str">
        <f>IFERROR(LARGE(W$3:W$18,ROWS(W$20:W26)), "")</f>
        <v/>
      </c>
      <c r="X26" s="332" t="str">
        <f>IFERROR(LARGE(X$3:X$18,ROWS(X$20:X26)), "")</f>
        <v/>
      </c>
      <c r="Y26" s="332" t="str">
        <f>IFERROR(LARGE(Y$3:Y$18,ROWS(Y$20:Y26)), "")</f>
        <v/>
      </c>
      <c r="Z26" s="332" t="str">
        <f>IFERROR(LARGE(Z$3:Z$18,ROWS(Z$20:Z26)), "")</f>
        <v/>
      </c>
      <c r="AA26" s="332" t="str">
        <f>IFERROR(LARGE(AA$3:AA$18,ROWS(AA$20:AA26)), "")</f>
        <v/>
      </c>
      <c r="AB26" s="332" t="str">
        <f>IFERROR(LARGE(AB$3:AB$18,ROWS(AB$20:AB26)), "")</f>
        <v/>
      </c>
      <c r="AC26" s="332" t="str">
        <f>IFERROR(LARGE(AC$3:AC$18,ROWS(AC$20:AC26)), "")</f>
        <v/>
      </c>
      <c r="AD26" s="332" t="str">
        <f>IFERROR(LARGE(AD$3:AD$18,ROWS(AD$20:AD26)), "")</f>
        <v/>
      </c>
      <c r="AE26" s="332" t="str">
        <f>IFERROR(LARGE(AE$3:AE$18,ROWS(AE$20:AE26)), "")</f>
        <v/>
      </c>
      <c r="AF26" s="332" t="str">
        <f>IFERROR(LARGE(AF$3:AF$18,ROWS(AF$20:AF26)), "")</f>
        <v/>
      </c>
      <c r="AG26" s="332" t="str">
        <f>IFERROR(LARGE(AG$3:AG$18,ROWS(AG$20:AG26)), "")</f>
        <v/>
      </c>
      <c r="AH26" s="332" t="str">
        <f>IFERROR(LARGE(AH$3:AH$18,ROWS(AH$20:AH26)), "")</f>
        <v/>
      </c>
      <c r="AI26" s="332" t="str">
        <f>IFERROR(LARGE(AI$3:AI$18,ROWS(AI$20:AI26)), "")</f>
        <v/>
      </c>
      <c r="AJ26" s="332">
        <f>IFERROR(LARGE(AJ$3:AJ$18,ROWS(AJ$20:AJ26)), "")</f>
        <v>129</v>
      </c>
      <c r="AK26" s="332" t="str">
        <f>IFERROR(LARGE(AK$3:AK$18,ROWS(AK$20:AK26)), "")</f>
        <v/>
      </c>
      <c r="AL26" s="332" t="str">
        <f>IFERROR(LARGE(AL$3:AL$18,ROWS(AL$20:AL26)), "")</f>
        <v/>
      </c>
      <c r="AM26" s="332" t="str">
        <f>IFERROR(LARGE(AM$3:AM$18,ROWS(AM$20:AM26)), "")</f>
        <v/>
      </c>
      <c r="AN26" s="332" t="str">
        <f>IFERROR(LARGE(AN$3:AN$18,ROWS(AN$20:AN26)), "")</f>
        <v/>
      </c>
      <c r="AO26" s="332">
        <f>IFERROR(LARGE(AO$3:AO$18,ROWS(AO$20:AO26)), "")</f>
        <v>129</v>
      </c>
      <c r="AP26" s="332" t="str">
        <f>IFERROR(LARGE(AP$3:AP$18,ROWS(AP$20:AP26)), "")</f>
        <v/>
      </c>
      <c r="AQ26" s="332">
        <f>IFERROR(LARGE(AQ$3:AQ$18,ROWS(AQ$20:AQ26)), "")</f>
        <v>327</v>
      </c>
      <c r="AR26" s="332">
        <f>IFERROR(LARGE(AR$3:AR$18,ROWS(AR$20:AR26)), "")</f>
        <v>327</v>
      </c>
    </row>
    <row r="27" spans="1:44">
      <c r="A27" s="329" t="s">
        <v>1072</v>
      </c>
      <c r="B27" s="329" t="s">
        <v>580</v>
      </c>
      <c r="C27" s="330">
        <f>VLOOKUP(B27, 'S14 ABC Output'!$A$3:$C$18, 3, 0)</f>
        <v>125036</v>
      </c>
      <c r="D27" s="330">
        <f>_xlfn.XLOOKUP(B27, 'S18 Operations'!$B$2:$B$534, 'S18 Operations'!$G$2:$G$534, 0, 0)</f>
        <v>200</v>
      </c>
      <c r="E27" s="330">
        <f t="shared" si="3"/>
        <v>626</v>
      </c>
      <c r="F27" s="330">
        <f>VLOOKUP(A27, 'S17 Work Stations'!$A$2:$C$45, 3, 0)</f>
        <v>30</v>
      </c>
      <c r="G27" s="330" cm="1">
        <f t="array" ref="G27">VLOOKUP(A27&amp;"-"&amp;B27, CHOOSE({1,2}, 'S18 Operations'!$D$2:$D$534&amp;"-"&amp;'S18 Operations'!$B$2:$B$534, 'S18 Operations'!$F$2:$F$534), 2, 0)</f>
        <v>300</v>
      </c>
      <c r="H27" s="331">
        <f t="shared" si="4"/>
        <v>5</v>
      </c>
      <c r="I27" s="331">
        <f t="shared" si="5"/>
        <v>640480</v>
      </c>
      <c r="J27" s="331">
        <f t="shared" si="6"/>
        <v>10674.666666666666</v>
      </c>
      <c r="L27">
        <f t="shared" si="0"/>
        <v>1</v>
      </c>
      <c r="M27">
        <f t="shared" si="1"/>
        <v>129</v>
      </c>
      <c r="N27">
        <f t="shared" si="2"/>
        <v>626</v>
      </c>
      <c r="O27">
        <f t="shared" si="7"/>
        <v>3</v>
      </c>
      <c r="Q27" s="257" t="str" cm="1">
        <f t="array" ref="Q27">INDEX($A$2:$A$118, MATCH(0, COUNTIF($Q$1:Q26, $A$2:$A$118), 0))</f>
        <v>WS-44</v>
      </c>
      <c r="S27" s="332" t="str">
        <f>IFERROR(LARGE(S$3:S$18,ROWS(S$20:S27)), "")</f>
        <v/>
      </c>
      <c r="T27" s="332" t="str">
        <f>IFERROR(LARGE(T$3:T$18,ROWS(T$20:T27)), "")</f>
        <v/>
      </c>
      <c r="U27" s="332" t="str">
        <f>IFERROR(LARGE(U$3:U$18,ROWS(U$20:U27)), "")</f>
        <v/>
      </c>
      <c r="V27" s="332" t="str">
        <f>IFERROR(LARGE(V$3:V$18,ROWS(V$20:V27)), "")</f>
        <v/>
      </c>
      <c r="W27" s="332" t="str">
        <f>IFERROR(LARGE(W$3:W$18,ROWS(W$20:W27)), "")</f>
        <v/>
      </c>
      <c r="X27" s="332" t="str">
        <f>IFERROR(LARGE(X$3:X$18,ROWS(X$20:X27)), "")</f>
        <v/>
      </c>
      <c r="Y27" s="332" t="str">
        <f>IFERROR(LARGE(Y$3:Y$18,ROWS(Y$20:Y27)), "")</f>
        <v/>
      </c>
      <c r="Z27" s="332" t="str">
        <f>IFERROR(LARGE(Z$3:Z$18,ROWS(Z$20:Z27)), "")</f>
        <v/>
      </c>
      <c r="AA27" s="332" t="str">
        <f>IFERROR(LARGE(AA$3:AA$18,ROWS(AA$20:AA27)), "")</f>
        <v/>
      </c>
      <c r="AB27" s="332" t="str">
        <f>IFERROR(LARGE(AB$3:AB$18,ROWS(AB$20:AB27)), "")</f>
        <v/>
      </c>
      <c r="AC27" s="332" t="str">
        <f>IFERROR(LARGE(AC$3:AC$18,ROWS(AC$20:AC27)), "")</f>
        <v/>
      </c>
      <c r="AD27" s="332" t="str">
        <f>IFERROR(LARGE(AD$3:AD$18,ROWS(AD$20:AD27)), "")</f>
        <v/>
      </c>
      <c r="AE27" s="332" t="str">
        <f>IFERROR(LARGE(AE$3:AE$18,ROWS(AE$20:AE27)), "")</f>
        <v/>
      </c>
      <c r="AF27" s="332" t="str">
        <f>IFERROR(LARGE(AF$3:AF$18,ROWS(AF$20:AF27)), "")</f>
        <v/>
      </c>
      <c r="AG27" s="332" t="str">
        <f>IFERROR(LARGE(AG$3:AG$18,ROWS(AG$20:AG27)), "")</f>
        <v/>
      </c>
      <c r="AH27" s="332" t="str">
        <f>IFERROR(LARGE(AH$3:AH$18,ROWS(AH$20:AH27)), "")</f>
        <v/>
      </c>
      <c r="AI27" s="332" t="str">
        <f>IFERROR(LARGE(AI$3:AI$18,ROWS(AI$20:AI27)), "")</f>
        <v/>
      </c>
      <c r="AJ27" s="332" t="str">
        <f>IFERROR(LARGE(AJ$3:AJ$18,ROWS(AJ$20:AJ27)), "")</f>
        <v/>
      </c>
      <c r="AK27" s="332" t="str">
        <f>IFERROR(LARGE(AK$3:AK$18,ROWS(AK$20:AK27)), "")</f>
        <v/>
      </c>
      <c r="AL27" s="332" t="str">
        <f>IFERROR(LARGE(AL$3:AL$18,ROWS(AL$20:AL27)), "")</f>
        <v/>
      </c>
      <c r="AM27" s="332" t="str">
        <f>IFERROR(LARGE(AM$3:AM$18,ROWS(AM$20:AM27)), "")</f>
        <v/>
      </c>
      <c r="AN27" s="332" t="str">
        <f>IFERROR(LARGE(AN$3:AN$18,ROWS(AN$20:AN27)), "")</f>
        <v/>
      </c>
      <c r="AO27" s="332" t="str">
        <f>IFERROR(LARGE(AO$3:AO$18,ROWS(AO$20:AO27)), "")</f>
        <v/>
      </c>
      <c r="AP27" s="332" t="str">
        <f>IFERROR(LARGE(AP$3:AP$18,ROWS(AP$20:AP27)), "")</f>
        <v/>
      </c>
      <c r="AQ27" s="332">
        <f>IFERROR(LARGE(AQ$3:AQ$18,ROWS(AQ$20:AQ27)), "")</f>
        <v>274</v>
      </c>
      <c r="AR27" s="332">
        <f>IFERROR(LARGE(AR$3:AR$18,ROWS(AR$20:AR27)), "")</f>
        <v>274</v>
      </c>
    </row>
    <row r="28" spans="1:44">
      <c r="A28" s="329" t="s">
        <v>1072</v>
      </c>
      <c r="B28" s="329" t="s">
        <v>652</v>
      </c>
      <c r="C28" s="330">
        <f>VLOOKUP(B28, 'S14 ABC Output'!$A$3:$C$18, 3, 0)</f>
        <v>25689</v>
      </c>
      <c r="D28" s="330">
        <f>_xlfn.XLOOKUP(B28, 'S18 Operations'!$B$2:$B$534, 'S18 Operations'!$G$2:$G$534, 0, 0)</f>
        <v>200</v>
      </c>
      <c r="E28" s="330">
        <f t="shared" si="3"/>
        <v>129</v>
      </c>
      <c r="F28" s="330">
        <f>VLOOKUP(A28, 'S17 Work Stations'!$A$2:$C$45, 3, 0)</f>
        <v>30</v>
      </c>
      <c r="G28" s="330" cm="1">
        <f t="array" ref="G28">VLOOKUP(A28&amp;"-"&amp;B28, CHOOSE({1,2}, 'S18 Operations'!$D$2:$D$534&amp;"-"&amp;'S18 Operations'!$B$2:$B$534, 'S18 Operations'!$F$2:$F$534), 2, 0)</f>
        <v>180</v>
      </c>
      <c r="H28" s="331">
        <f t="shared" si="4"/>
        <v>3</v>
      </c>
      <c r="I28" s="331">
        <f t="shared" si="5"/>
        <v>80937</v>
      </c>
      <c r="J28" s="331">
        <f t="shared" si="6"/>
        <v>1348.95</v>
      </c>
      <c r="L28">
        <f t="shared" si="0"/>
        <v>3</v>
      </c>
      <c r="M28">
        <f t="shared" si="1"/>
        <v>129</v>
      </c>
      <c r="N28">
        <f t="shared" si="2"/>
        <v>626</v>
      </c>
      <c r="O28">
        <f t="shared" si="7"/>
        <v>3</v>
      </c>
      <c r="Q28" s="257"/>
      <c r="S28" s="332" t="str">
        <f>IFERROR(LARGE(S$3:S$18,ROWS(S$20:S28)), "")</f>
        <v/>
      </c>
      <c r="T28" s="332" t="str">
        <f>IFERROR(LARGE(T$3:T$18,ROWS(T$20:T28)), "")</f>
        <v/>
      </c>
      <c r="U28" s="332" t="str">
        <f>IFERROR(LARGE(U$3:U$18,ROWS(U$20:U28)), "")</f>
        <v/>
      </c>
      <c r="V28" s="332" t="str">
        <f>IFERROR(LARGE(V$3:V$18,ROWS(V$20:V28)), "")</f>
        <v/>
      </c>
      <c r="W28" s="332" t="str">
        <f>IFERROR(LARGE(W$3:W$18,ROWS(W$20:W28)), "")</f>
        <v/>
      </c>
      <c r="X28" s="332" t="str">
        <f>IFERROR(LARGE(X$3:X$18,ROWS(X$20:X28)), "")</f>
        <v/>
      </c>
      <c r="Y28" s="332" t="str">
        <f>IFERROR(LARGE(Y$3:Y$18,ROWS(Y$20:Y28)), "")</f>
        <v/>
      </c>
      <c r="Z28" s="332" t="str">
        <f>IFERROR(LARGE(Z$3:Z$18,ROWS(Z$20:Z28)), "")</f>
        <v/>
      </c>
      <c r="AA28" s="332" t="str">
        <f>IFERROR(LARGE(AA$3:AA$18,ROWS(AA$20:AA28)), "")</f>
        <v/>
      </c>
      <c r="AB28" s="332" t="str">
        <f>IFERROR(LARGE(AB$3:AB$18,ROWS(AB$20:AB28)), "")</f>
        <v/>
      </c>
      <c r="AC28" s="332" t="str">
        <f>IFERROR(LARGE(AC$3:AC$18,ROWS(AC$20:AC28)), "")</f>
        <v/>
      </c>
      <c r="AD28" s="332" t="str">
        <f>IFERROR(LARGE(AD$3:AD$18,ROWS(AD$20:AD28)), "")</f>
        <v/>
      </c>
      <c r="AE28" s="332" t="str">
        <f>IFERROR(LARGE(AE$3:AE$18,ROWS(AE$20:AE28)), "")</f>
        <v/>
      </c>
      <c r="AF28" s="332" t="str">
        <f>IFERROR(LARGE(AF$3:AF$18,ROWS(AF$20:AF28)), "")</f>
        <v/>
      </c>
      <c r="AG28" s="332" t="str">
        <f>IFERROR(LARGE(AG$3:AG$18,ROWS(AG$20:AG28)), "")</f>
        <v/>
      </c>
      <c r="AH28" s="332" t="str">
        <f>IFERROR(LARGE(AH$3:AH$18,ROWS(AH$20:AH28)), "")</f>
        <v/>
      </c>
      <c r="AI28" s="332" t="str">
        <f>IFERROR(LARGE(AI$3:AI$18,ROWS(AI$20:AI28)), "")</f>
        <v/>
      </c>
      <c r="AJ28" s="332" t="str">
        <f>IFERROR(LARGE(AJ$3:AJ$18,ROWS(AJ$20:AJ28)), "")</f>
        <v/>
      </c>
      <c r="AK28" s="332" t="str">
        <f>IFERROR(LARGE(AK$3:AK$18,ROWS(AK$20:AK28)), "")</f>
        <v/>
      </c>
      <c r="AL28" s="332" t="str">
        <f>IFERROR(LARGE(AL$3:AL$18,ROWS(AL$20:AL28)), "")</f>
        <v/>
      </c>
      <c r="AM28" s="332" t="str">
        <f>IFERROR(LARGE(AM$3:AM$18,ROWS(AM$20:AM28)), "")</f>
        <v/>
      </c>
      <c r="AN28" s="332" t="str">
        <f>IFERROR(LARGE(AN$3:AN$18,ROWS(AN$20:AN28)), "")</f>
        <v/>
      </c>
      <c r="AO28" s="332" t="str">
        <f>IFERROR(LARGE(AO$3:AO$18,ROWS(AO$20:AO28)), "")</f>
        <v/>
      </c>
      <c r="AP28" s="332" t="str">
        <f>IFERROR(LARGE(AP$3:AP$18,ROWS(AP$20:AP28)), "")</f>
        <v/>
      </c>
      <c r="AQ28" s="332">
        <f>IFERROR(LARGE(AQ$3:AQ$18,ROWS(AQ$20:AQ28)), "")</f>
        <v>254</v>
      </c>
      <c r="AR28" s="332">
        <f>IFERROR(LARGE(AR$3:AR$18,ROWS(AR$20:AR28)), "")</f>
        <v>254</v>
      </c>
    </row>
    <row r="29" spans="1:44">
      <c r="A29" s="329" t="s">
        <v>1072</v>
      </c>
      <c r="B29" s="329" t="s">
        <v>654</v>
      </c>
      <c r="C29" s="330">
        <f>VLOOKUP(B29, 'S14 ABC Output'!$A$3:$C$18, 3, 0)</f>
        <v>25468</v>
      </c>
      <c r="D29" s="330">
        <f>_xlfn.XLOOKUP(B29, 'S18 Operations'!$B$2:$B$534, 'S18 Operations'!$G$2:$G$534, 0, 0)</f>
        <v>50</v>
      </c>
      <c r="E29" s="330">
        <f t="shared" si="3"/>
        <v>510</v>
      </c>
      <c r="F29" s="330">
        <f>VLOOKUP(A29, 'S17 Work Stations'!$A$2:$C$45, 3, 0)</f>
        <v>30</v>
      </c>
      <c r="G29" s="330" cm="1">
        <f t="array" ref="G29">VLOOKUP(A29&amp;"-"&amp;B29, CHOOSE({1,2}, 'S18 Operations'!$D$2:$D$534&amp;"-"&amp;'S18 Operations'!$B$2:$B$534, 'S18 Operations'!$F$2:$F$534), 2, 0)</f>
        <v>180</v>
      </c>
      <c r="H29" s="331">
        <f t="shared" si="4"/>
        <v>3</v>
      </c>
      <c r="I29" s="331">
        <f t="shared" si="5"/>
        <v>91704</v>
      </c>
      <c r="J29" s="331">
        <f t="shared" si="6"/>
        <v>1528.4</v>
      </c>
      <c r="L29">
        <f t="shared" si="0"/>
        <v>2</v>
      </c>
      <c r="M29">
        <f t="shared" si="1"/>
        <v>129</v>
      </c>
      <c r="N29">
        <f t="shared" si="2"/>
        <v>626</v>
      </c>
      <c r="O29">
        <f t="shared" si="7"/>
        <v>3</v>
      </c>
      <c r="Q29" s="257"/>
      <c r="S29" s="332" t="str">
        <f>IFERROR(LARGE(S$3:S$18,ROWS(S$20:S29)), "")</f>
        <v/>
      </c>
      <c r="T29" s="332" t="str">
        <f>IFERROR(LARGE(T$3:T$18,ROWS(T$20:T29)), "")</f>
        <v/>
      </c>
      <c r="U29" s="332" t="str">
        <f>IFERROR(LARGE(U$3:U$18,ROWS(U$20:U29)), "")</f>
        <v/>
      </c>
      <c r="V29" s="332" t="str">
        <f>IFERROR(LARGE(V$3:V$18,ROWS(V$20:V29)), "")</f>
        <v/>
      </c>
      <c r="W29" s="332" t="str">
        <f>IFERROR(LARGE(W$3:W$18,ROWS(W$20:W29)), "")</f>
        <v/>
      </c>
      <c r="X29" s="332" t="str">
        <f>IFERROR(LARGE(X$3:X$18,ROWS(X$20:X29)), "")</f>
        <v/>
      </c>
      <c r="Y29" s="332" t="str">
        <f>IFERROR(LARGE(Y$3:Y$18,ROWS(Y$20:Y29)), "")</f>
        <v/>
      </c>
      <c r="Z29" s="332" t="str">
        <f>IFERROR(LARGE(Z$3:Z$18,ROWS(Z$20:Z29)), "")</f>
        <v/>
      </c>
      <c r="AA29" s="332" t="str">
        <f>IFERROR(LARGE(AA$3:AA$18,ROWS(AA$20:AA29)), "")</f>
        <v/>
      </c>
      <c r="AB29" s="332" t="str">
        <f>IFERROR(LARGE(AB$3:AB$18,ROWS(AB$20:AB29)), "")</f>
        <v/>
      </c>
      <c r="AC29" s="332" t="str">
        <f>IFERROR(LARGE(AC$3:AC$18,ROWS(AC$20:AC29)), "")</f>
        <v/>
      </c>
      <c r="AD29" s="332" t="str">
        <f>IFERROR(LARGE(AD$3:AD$18,ROWS(AD$20:AD29)), "")</f>
        <v/>
      </c>
      <c r="AE29" s="332" t="str">
        <f>IFERROR(LARGE(AE$3:AE$18,ROWS(AE$20:AE29)), "")</f>
        <v/>
      </c>
      <c r="AF29" s="332" t="str">
        <f>IFERROR(LARGE(AF$3:AF$18,ROWS(AF$20:AF29)), "")</f>
        <v/>
      </c>
      <c r="AG29" s="332" t="str">
        <f>IFERROR(LARGE(AG$3:AG$18,ROWS(AG$20:AG29)), "")</f>
        <v/>
      </c>
      <c r="AH29" s="332" t="str">
        <f>IFERROR(LARGE(AH$3:AH$18,ROWS(AH$20:AH29)), "")</f>
        <v/>
      </c>
      <c r="AI29" s="332" t="str">
        <f>IFERROR(LARGE(AI$3:AI$18,ROWS(AI$20:AI29)), "")</f>
        <v/>
      </c>
      <c r="AJ29" s="332" t="str">
        <f>IFERROR(LARGE(AJ$3:AJ$18,ROWS(AJ$20:AJ29)), "")</f>
        <v/>
      </c>
      <c r="AK29" s="332" t="str">
        <f>IFERROR(LARGE(AK$3:AK$18,ROWS(AK$20:AK29)), "")</f>
        <v/>
      </c>
      <c r="AL29" s="332" t="str">
        <f>IFERROR(LARGE(AL$3:AL$18,ROWS(AL$20:AL29)), "")</f>
        <v/>
      </c>
      <c r="AM29" s="332" t="str">
        <f>IFERROR(LARGE(AM$3:AM$18,ROWS(AM$20:AM29)), "")</f>
        <v/>
      </c>
      <c r="AN29" s="332" t="str">
        <f>IFERROR(LARGE(AN$3:AN$18,ROWS(AN$20:AN29)), "")</f>
        <v/>
      </c>
      <c r="AO29" s="332" t="str">
        <f>IFERROR(LARGE(AO$3:AO$18,ROWS(AO$20:AO29)), "")</f>
        <v/>
      </c>
      <c r="AP29" s="332" t="str">
        <f>IFERROR(LARGE(AP$3:AP$18,ROWS(AP$20:AP29)), "")</f>
        <v/>
      </c>
      <c r="AQ29" s="332">
        <f>IFERROR(LARGE(AQ$3:AQ$18,ROWS(AQ$20:AQ29)), "")</f>
        <v>230</v>
      </c>
      <c r="AR29" s="332">
        <f>IFERROR(LARGE(AR$3:AR$18,ROWS(AR$20:AR29)), "")</f>
        <v>230</v>
      </c>
    </row>
    <row r="30" spans="1:44">
      <c r="A30" s="329" t="s">
        <v>1076</v>
      </c>
      <c r="B30" s="329" t="s">
        <v>634</v>
      </c>
      <c r="C30" s="330">
        <f>VLOOKUP(B30, 'S14 ABC Output'!$A$3:$C$18, 3, 0)</f>
        <v>86542</v>
      </c>
      <c r="D30" s="330">
        <f>_xlfn.XLOOKUP(B30, 'S18 Operations'!$B$2:$B$534, 'S18 Operations'!$G$2:$G$534, 0, 0)</f>
        <v>200</v>
      </c>
      <c r="E30" s="330">
        <f t="shared" si="3"/>
        <v>433</v>
      </c>
      <c r="F30" s="330">
        <f>VLOOKUP(A30, 'S17 Work Stations'!$A$2:$C$45, 3, 0)</f>
        <v>35</v>
      </c>
      <c r="G30" s="330" cm="1">
        <f t="array" ref="G30">VLOOKUP(A30&amp;"-"&amp;B30, CHOOSE({1,2}, 'S18 Operations'!$D$2:$D$534&amp;"-"&amp;'S18 Operations'!$B$2:$B$534, 'S18 Operations'!$F$2:$F$534), 2, 0)</f>
        <v>180</v>
      </c>
      <c r="H30" s="331">
        <f t="shared" si="4"/>
        <v>3</v>
      </c>
      <c r="I30" s="331">
        <f t="shared" si="5"/>
        <v>269216</v>
      </c>
      <c r="J30" s="331">
        <f t="shared" si="6"/>
        <v>4486.9333333333334</v>
      </c>
      <c r="L30">
        <f t="shared" si="0"/>
        <v>1</v>
      </c>
      <c r="M30">
        <f t="shared" si="1"/>
        <v>274</v>
      </c>
      <c r="N30">
        <f t="shared" si="2"/>
        <v>433</v>
      </c>
      <c r="O30">
        <f t="shared" si="7"/>
        <v>2</v>
      </c>
      <c r="Q30" s="257"/>
      <c r="S30" s="332" t="str">
        <f>IFERROR(LARGE(S$3:S$18,ROWS(S$20:S30)), "")</f>
        <v/>
      </c>
      <c r="T30" s="332" t="str">
        <f>IFERROR(LARGE(T$3:T$18,ROWS(T$20:T30)), "")</f>
        <v/>
      </c>
      <c r="U30" s="332" t="str">
        <f>IFERROR(LARGE(U$3:U$18,ROWS(U$20:U30)), "")</f>
        <v/>
      </c>
      <c r="V30" s="332" t="str">
        <f>IFERROR(LARGE(V$3:V$18,ROWS(V$20:V30)), "")</f>
        <v/>
      </c>
      <c r="W30" s="332" t="str">
        <f>IFERROR(LARGE(W$3:W$18,ROWS(W$20:W30)), "")</f>
        <v/>
      </c>
      <c r="X30" s="332" t="str">
        <f>IFERROR(LARGE(X$3:X$18,ROWS(X$20:X30)), "")</f>
        <v/>
      </c>
      <c r="Y30" s="332" t="str">
        <f>IFERROR(LARGE(Y$3:Y$18,ROWS(Y$20:Y30)), "")</f>
        <v/>
      </c>
      <c r="Z30" s="332" t="str">
        <f>IFERROR(LARGE(Z$3:Z$18,ROWS(Z$20:Z30)), "")</f>
        <v/>
      </c>
      <c r="AA30" s="332" t="str">
        <f>IFERROR(LARGE(AA$3:AA$18,ROWS(AA$20:AA30)), "")</f>
        <v/>
      </c>
      <c r="AB30" s="332" t="str">
        <f>IFERROR(LARGE(AB$3:AB$18,ROWS(AB$20:AB30)), "")</f>
        <v/>
      </c>
      <c r="AC30" s="332" t="str">
        <f>IFERROR(LARGE(AC$3:AC$18,ROWS(AC$20:AC30)), "")</f>
        <v/>
      </c>
      <c r="AD30" s="332" t="str">
        <f>IFERROR(LARGE(AD$3:AD$18,ROWS(AD$20:AD30)), "")</f>
        <v/>
      </c>
      <c r="AE30" s="332" t="str">
        <f>IFERROR(LARGE(AE$3:AE$18,ROWS(AE$20:AE30)), "")</f>
        <v/>
      </c>
      <c r="AF30" s="332" t="str">
        <f>IFERROR(LARGE(AF$3:AF$18,ROWS(AF$20:AF30)), "")</f>
        <v/>
      </c>
      <c r="AG30" s="332" t="str">
        <f>IFERROR(LARGE(AG$3:AG$18,ROWS(AG$20:AG30)), "")</f>
        <v/>
      </c>
      <c r="AH30" s="332" t="str">
        <f>IFERROR(LARGE(AH$3:AH$18,ROWS(AH$20:AH30)), "")</f>
        <v/>
      </c>
      <c r="AI30" s="332" t="str">
        <f>IFERROR(LARGE(AI$3:AI$18,ROWS(AI$20:AI30)), "")</f>
        <v/>
      </c>
      <c r="AJ30" s="332" t="str">
        <f>IFERROR(LARGE(AJ$3:AJ$18,ROWS(AJ$20:AJ30)), "")</f>
        <v/>
      </c>
      <c r="AK30" s="332" t="str">
        <f>IFERROR(LARGE(AK$3:AK$18,ROWS(AK$20:AK30)), "")</f>
        <v/>
      </c>
      <c r="AL30" s="332" t="str">
        <f>IFERROR(LARGE(AL$3:AL$18,ROWS(AL$20:AL30)), "")</f>
        <v/>
      </c>
      <c r="AM30" s="332" t="str">
        <f>IFERROR(LARGE(AM$3:AM$18,ROWS(AM$20:AM30)), "")</f>
        <v/>
      </c>
      <c r="AN30" s="332" t="str">
        <f>IFERROR(LARGE(AN$3:AN$18,ROWS(AN$20:AN30)), "")</f>
        <v/>
      </c>
      <c r="AO30" s="332" t="str">
        <f>IFERROR(LARGE(AO$3:AO$18,ROWS(AO$20:AO30)), "")</f>
        <v/>
      </c>
      <c r="AP30" s="332" t="str">
        <f>IFERROR(LARGE(AP$3:AP$18,ROWS(AP$20:AP30)), "")</f>
        <v/>
      </c>
      <c r="AQ30" s="332">
        <f>IFERROR(LARGE(AQ$3:AQ$18,ROWS(AQ$20:AQ30)), "")</f>
        <v>183</v>
      </c>
      <c r="AR30" s="332">
        <f>IFERROR(LARGE(AR$3:AR$18,ROWS(AR$20:AR30)), "")</f>
        <v>183</v>
      </c>
    </row>
    <row r="31" spans="1:44">
      <c r="A31" s="329" t="s">
        <v>1076</v>
      </c>
      <c r="B31" s="329" t="s">
        <v>612</v>
      </c>
      <c r="C31" s="330">
        <f>VLOOKUP(B31, 'S14 ABC Output'!$A$3:$C$18, 3, 0)</f>
        <v>54682</v>
      </c>
      <c r="D31" s="330">
        <f>_xlfn.XLOOKUP(B31, 'S18 Operations'!$B$2:$B$534, 'S18 Operations'!$G$2:$G$534, 0, 0)</f>
        <v>200</v>
      </c>
      <c r="E31" s="330">
        <f t="shared" si="3"/>
        <v>274</v>
      </c>
      <c r="F31" s="330">
        <f>VLOOKUP(A31, 'S17 Work Stations'!$A$2:$C$45, 3, 0)</f>
        <v>35</v>
      </c>
      <c r="G31" s="330" cm="1">
        <f t="array" ref="G31">VLOOKUP(A31&amp;"-"&amp;B31, CHOOSE({1,2}, 'S18 Operations'!$D$2:$D$534&amp;"-"&amp;'S18 Operations'!$B$2:$B$534, 'S18 Operations'!$F$2:$F$534), 2, 0)</f>
        <v>420</v>
      </c>
      <c r="H31" s="331">
        <f t="shared" si="4"/>
        <v>7</v>
      </c>
      <c r="I31" s="331">
        <f t="shared" si="5"/>
        <v>392364</v>
      </c>
      <c r="J31" s="331">
        <f t="shared" si="6"/>
        <v>6539.4</v>
      </c>
      <c r="L31">
        <f t="shared" si="0"/>
        <v>2</v>
      </c>
      <c r="M31">
        <f t="shared" si="1"/>
        <v>274</v>
      </c>
      <c r="N31">
        <f t="shared" si="2"/>
        <v>433</v>
      </c>
      <c r="O31">
        <f t="shared" si="7"/>
        <v>2</v>
      </c>
      <c r="Q31" s="257"/>
      <c r="S31" s="332" t="str">
        <f>IFERROR(LARGE(S$3:S$18,ROWS(S$20:S31)), "")</f>
        <v/>
      </c>
      <c r="T31" s="332" t="str">
        <f>IFERROR(LARGE(T$3:T$18,ROWS(T$20:T31)), "")</f>
        <v/>
      </c>
      <c r="U31" s="332" t="str">
        <f>IFERROR(LARGE(U$3:U$18,ROWS(U$20:U31)), "")</f>
        <v/>
      </c>
      <c r="V31" s="332" t="str">
        <f>IFERROR(LARGE(V$3:V$18,ROWS(V$20:V31)), "")</f>
        <v/>
      </c>
      <c r="W31" s="332" t="str">
        <f>IFERROR(LARGE(W$3:W$18,ROWS(W$20:W31)), "")</f>
        <v/>
      </c>
      <c r="X31" s="332" t="str">
        <f>IFERROR(LARGE(X$3:X$18,ROWS(X$20:X31)), "")</f>
        <v/>
      </c>
      <c r="Y31" s="332" t="str">
        <f>IFERROR(LARGE(Y$3:Y$18,ROWS(Y$20:Y31)), "")</f>
        <v/>
      </c>
      <c r="Z31" s="332" t="str">
        <f>IFERROR(LARGE(Z$3:Z$18,ROWS(Z$20:Z31)), "")</f>
        <v/>
      </c>
      <c r="AA31" s="332" t="str">
        <f>IFERROR(LARGE(AA$3:AA$18,ROWS(AA$20:AA31)), "")</f>
        <v/>
      </c>
      <c r="AB31" s="332" t="str">
        <f>IFERROR(LARGE(AB$3:AB$18,ROWS(AB$20:AB31)), "")</f>
        <v/>
      </c>
      <c r="AC31" s="332" t="str">
        <f>IFERROR(LARGE(AC$3:AC$18,ROWS(AC$20:AC31)), "")</f>
        <v/>
      </c>
      <c r="AD31" s="332" t="str">
        <f>IFERROR(LARGE(AD$3:AD$18,ROWS(AD$20:AD31)), "")</f>
        <v/>
      </c>
      <c r="AE31" s="332" t="str">
        <f>IFERROR(LARGE(AE$3:AE$18,ROWS(AE$20:AE31)), "")</f>
        <v/>
      </c>
      <c r="AF31" s="332" t="str">
        <f>IFERROR(LARGE(AF$3:AF$18,ROWS(AF$20:AF31)), "")</f>
        <v/>
      </c>
      <c r="AG31" s="332" t="str">
        <f>IFERROR(LARGE(AG$3:AG$18,ROWS(AG$20:AG31)), "")</f>
        <v/>
      </c>
      <c r="AH31" s="332" t="str">
        <f>IFERROR(LARGE(AH$3:AH$18,ROWS(AH$20:AH31)), "")</f>
        <v/>
      </c>
      <c r="AI31" s="332" t="str">
        <f>IFERROR(LARGE(AI$3:AI$18,ROWS(AI$20:AI31)), "")</f>
        <v/>
      </c>
      <c r="AJ31" s="332" t="str">
        <f>IFERROR(LARGE(AJ$3:AJ$18,ROWS(AJ$20:AJ31)), "")</f>
        <v/>
      </c>
      <c r="AK31" s="332" t="str">
        <f>IFERROR(LARGE(AK$3:AK$18,ROWS(AK$20:AK31)), "")</f>
        <v/>
      </c>
      <c r="AL31" s="332" t="str">
        <f>IFERROR(LARGE(AL$3:AL$18,ROWS(AL$20:AL31)), "")</f>
        <v/>
      </c>
      <c r="AM31" s="332" t="str">
        <f>IFERROR(LARGE(AM$3:AM$18,ROWS(AM$20:AM31)), "")</f>
        <v/>
      </c>
      <c r="AN31" s="332" t="str">
        <f>IFERROR(LARGE(AN$3:AN$18,ROWS(AN$20:AN31)), "")</f>
        <v/>
      </c>
      <c r="AO31" s="332" t="str">
        <f>IFERROR(LARGE(AO$3:AO$18,ROWS(AO$20:AO31)), "")</f>
        <v/>
      </c>
      <c r="AP31" s="332" t="str">
        <f>IFERROR(LARGE(AP$3:AP$18,ROWS(AP$20:AP31)), "")</f>
        <v/>
      </c>
      <c r="AQ31" s="332">
        <f>IFERROR(LARGE(AQ$3:AQ$18,ROWS(AQ$20:AQ31)), "")</f>
        <v>183</v>
      </c>
      <c r="AR31" s="332">
        <f>IFERROR(LARGE(AR$3:AR$18,ROWS(AR$20:AR31)), "")</f>
        <v>183</v>
      </c>
    </row>
    <row r="32" spans="1:44">
      <c r="A32" s="329" t="s">
        <v>1078</v>
      </c>
      <c r="B32" s="329" t="s">
        <v>526</v>
      </c>
      <c r="C32" s="330">
        <f>VLOOKUP(B32, 'S14 ABC Output'!$A$3:$C$18, 3, 0)</f>
        <v>250356</v>
      </c>
      <c r="D32" s="330">
        <f>_xlfn.XLOOKUP(B32, 'S18 Operations'!$B$2:$B$534, 'S18 Operations'!$G$2:$G$534, 0, 0)</f>
        <v>200</v>
      </c>
      <c r="E32" s="330">
        <f t="shared" si="3"/>
        <v>1252</v>
      </c>
      <c r="F32" s="330">
        <f>VLOOKUP(A32, 'S17 Work Stations'!$A$2:$C$45, 3, 0)</f>
        <v>25</v>
      </c>
      <c r="G32" s="330" cm="1">
        <f t="array" ref="G32">VLOOKUP(A32&amp;"-"&amp;B32, CHOOSE({1,2}, 'S18 Operations'!$D$2:$D$534&amp;"-"&amp;'S18 Operations'!$B$2:$B$534, 'S18 Operations'!$F$2:$F$534), 2, 0)</f>
        <v>360</v>
      </c>
      <c r="H32" s="331">
        <f t="shared" si="4"/>
        <v>6</v>
      </c>
      <c r="I32" s="331">
        <f t="shared" si="5"/>
        <v>1505361</v>
      </c>
      <c r="J32" s="331">
        <f t="shared" si="6"/>
        <v>25089.35</v>
      </c>
      <c r="L32">
        <f t="shared" si="0"/>
        <v>1</v>
      </c>
      <c r="M32">
        <f t="shared" si="1"/>
        <v>129</v>
      </c>
      <c r="N32">
        <f t="shared" si="2"/>
        <v>1252</v>
      </c>
      <c r="O32">
        <f t="shared" si="7"/>
        <v>3</v>
      </c>
      <c r="Q32" s="257"/>
      <c r="S32" s="332" t="str">
        <f>IFERROR(LARGE(S$3:S$18,ROWS(S$20:S32)), "")</f>
        <v/>
      </c>
      <c r="T32" s="332" t="str">
        <f>IFERROR(LARGE(T$3:T$18,ROWS(T$20:T32)), "")</f>
        <v/>
      </c>
      <c r="U32" s="332" t="str">
        <f>IFERROR(LARGE(U$3:U$18,ROWS(U$20:U32)), "")</f>
        <v/>
      </c>
      <c r="V32" s="332" t="str">
        <f>IFERROR(LARGE(V$3:V$18,ROWS(V$20:V32)), "")</f>
        <v/>
      </c>
      <c r="W32" s="332" t="str">
        <f>IFERROR(LARGE(W$3:W$18,ROWS(W$20:W32)), "")</f>
        <v/>
      </c>
      <c r="X32" s="332" t="str">
        <f>IFERROR(LARGE(X$3:X$18,ROWS(X$20:X32)), "")</f>
        <v/>
      </c>
      <c r="Y32" s="332" t="str">
        <f>IFERROR(LARGE(Y$3:Y$18,ROWS(Y$20:Y32)), "")</f>
        <v/>
      </c>
      <c r="Z32" s="332" t="str">
        <f>IFERROR(LARGE(Z$3:Z$18,ROWS(Z$20:Z32)), "")</f>
        <v/>
      </c>
      <c r="AA32" s="332" t="str">
        <f>IFERROR(LARGE(AA$3:AA$18,ROWS(AA$20:AA32)), "")</f>
        <v/>
      </c>
      <c r="AB32" s="332" t="str">
        <f>IFERROR(LARGE(AB$3:AB$18,ROWS(AB$20:AB32)), "")</f>
        <v/>
      </c>
      <c r="AC32" s="332" t="str">
        <f>IFERROR(LARGE(AC$3:AC$18,ROWS(AC$20:AC32)), "")</f>
        <v/>
      </c>
      <c r="AD32" s="332" t="str">
        <f>IFERROR(LARGE(AD$3:AD$18,ROWS(AD$20:AD32)), "")</f>
        <v/>
      </c>
      <c r="AE32" s="332" t="str">
        <f>IFERROR(LARGE(AE$3:AE$18,ROWS(AE$20:AE32)), "")</f>
        <v/>
      </c>
      <c r="AF32" s="332" t="str">
        <f>IFERROR(LARGE(AF$3:AF$18,ROWS(AF$20:AF32)), "")</f>
        <v/>
      </c>
      <c r="AG32" s="332" t="str">
        <f>IFERROR(LARGE(AG$3:AG$18,ROWS(AG$20:AG32)), "")</f>
        <v/>
      </c>
      <c r="AH32" s="332" t="str">
        <f>IFERROR(LARGE(AH$3:AH$18,ROWS(AH$20:AH32)), "")</f>
        <v/>
      </c>
      <c r="AI32" s="332" t="str">
        <f>IFERROR(LARGE(AI$3:AI$18,ROWS(AI$20:AI32)), "")</f>
        <v/>
      </c>
      <c r="AJ32" s="332" t="str">
        <f>IFERROR(LARGE(AJ$3:AJ$18,ROWS(AJ$20:AJ32)), "")</f>
        <v/>
      </c>
      <c r="AK32" s="332" t="str">
        <f>IFERROR(LARGE(AK$3:AK$18,ROWS(AK$20:AK32)), "")</f>
        <v/>
      </c>
      <c r="AL32" s="332" t="str">
        <f>IFERROR(LARGE(AL$3:AL$18,ROWS(AL$20:AL32)), "")</f>
        <v/>
      </c>
      <c r="AM32" s="332" t="str">
        <f>IFERROR(LARGE(AM$3:AM$18,ROWS(AM$20:AM32)), "")</f>
        <v/>
      </c>
      <c r="AN32" s="332" t="str">
        <f>IFERROR(LARGE(AN$3:AN$18,ROWS(AN$20:AN32)), "")</f>
        <v/>
      </c>
      <c r="AO32" s="332" t="str">
        <f>IFERROR(LARGE(AO$3:AO$18,ROWS(AO$20:AO32)), "")</f>
        <v/>
      </c>
      <c r="AP32" s="332" t="str">
        <f>IFERROR(LARGE(AP$3:AP$18,ROWS(AP$20:AP32)), "")</f>
        <v/>
      </c>
      <c r="AQ32" s="332">
        <f>IFERROR(LARGE(AQ$3:AQ$18,ROWS(AQ$20:AQ32)), "")</f>
        <v>129</v>
      </c>
      <c r="AR32" s="332">
        <f>IFERROR(LARGE(AR$3:AR$18,ROWS(AR$20:AR32)), "")</f>
        <v>129</v>
      </c>
    </row>
    <row r="33" spans="1:44">
      <c r="A33" s="329" t="s">
        <v>1078</v>
      </c>
      <c r="B33" s="329" t="s">
        <v>518</v>
      </c>
      <c r="C33" s="330">
        <f>VLOOKUP(B33, 'S14 ABC Output'!$A$3:$C$18, 3, 0)</f>
        <v>25689</v>
      </c>
      <c r="D33" s="330">
        <f>_xlfn.XLOOKUP(B33, 'S18 Operations'!$B$2:$B$534, 'S18 Operations'!$G$2:$G$534, 0, 0)</f>
        <v>200</v>
      </c>
      <c r="E33" s="330">
        <f t="shared" si="3"/>
        <v>129</v>
      </c>
      <c r="F33" s="330">
        <f>VLOOKUP(A33, 'S17 Work Stations'!$A$2:$C$45, 3, 0)</f>
        <v>25</v>
      </c>
      <c r="G33" s="330" cm="1">
        <f t="array" ref="G33">VLOOKUP(A33&amp;"-"&amp;B33, CHOOSE({1,2}, 'S18 Operations'!$D$2:$D$534&amp;"-"&amp;'S18 Operations'!$B$2:$B$534, 'S18 Operations'!$F$2:$F$534), 2, 0)</f>
        <v>180</v>
      </c>
      <c r="H33" s="331">
        <f t="shared" si="4"/>
        <v>3</v>
      </c>
      <c r="I33" s="331">
        <f t="shared" si="5"/>
        <v>80292</v>
      </c>
      <c r="J33" s="331">
        <f t="shared" si="6"/>
        <v>1338.2</v>
      </c>
      <c r="L33">
        <f t="shared" si="0"/>
        <v>2</v>
      </c>
      <c r="M33">
        <f t="shared" si="1"/>
        <v>129</v>
      </c>
      <c r="N33">
        <f t="shared" si="2"/>
        <v>1252</v>
      </c>
      <c r="O33">
        <f t="shared" si="7"/>
        <v>3</v>
      </c>
      <c r="Q33" s="257"/>
      <c r="S33" s="332" t="str">
        <f>IFERROR(LARGE(S$3:S$18,ROWS(S$20:S33)), "")</f>
        <v/>
      </c>
      <c r="T33" s="332" t="str">
        <f>IFERROR(LARGE(T$3:T$18,ROWS(T$20:T33)), "")</f>
        <v/>
      </c>
      <c r="U33" s="332" t="str">
        <f>IFERROR(LARGE(U$3:U$18,ROWS(U$20:U33)), "")</f>
        <v/>
      </c>
      <c r="V33" s="332" t="str">
        <f>IFERROR(LARGE(V$3:V$18,ROWS(V$20:V33)), "")</f>
        <v/>
      </c>
      <c r="W33" s="332" t="str">
        <f>IFERROR(LARGE(W$3:W$18,ROWS(W$20:W33)), "")</f>
        <v/>
      </c>
      <c r="X33" s="332" t="str">
        <f>IFERROR(LARGE(X$3:X$18,ROWS(X$20:X33)), "")</f>
        <v/>
      </c>
      <c r="Y33" s="332" t="str">
        <f>IFERROR(LARGE(Y$3:Y$18,ROWS(Y$20:Y33)), "")</f>
        <v/>
      </c>
      <c r="Z33" s="332" t="str">
        <f>IFERROR(LARGE(Z$3:Z$18,ROWS(Z$20:Z33)), "")</f>
        <v/>
      </c>
      <c r="AA33" s="332" t="str">
        <f>IFERROR(LARGE(AA$3:AA$18,ROWS(AA$20:AA33)), "")</f>
        <v/>
      </c>
      <c r="AB33" s="332" t="str">
        <f>IFERROR(LARGE(AB$3:AB$18,ROWS(AB$20:AB33)), "")</f>
        <v/>
      </c>
      <c r="AC33" s="332" t="str">
        <f>IFERROR(LARGE(AC$3:AC$18,ROWS(AC$20:AC33)), "")</f>
        <v/>
      </c>
      <c r="AD33" s="332" t="str">
        <f>IFERROR(LARGE(AD$3:AD$18,ROWS(AD$20:AD33)), "")</f>
        <v/>
      </c>
      <c r="AE33" s="332" t="str">
        <f>IFERROR(LARGE(AE$3:AE$18,ROWS(AE$20:AE33)), "")</f>
        <v/>
      </c>
      <c r="AF33" s="332" t="str">
        <f>IFERROR(LARGE(AF$3:AF$18,ROWS(AF$20:AF33)), "")</f>
        <v/>
      </c>
      <c r="AG33" s="332" t="str">
        <f>IFERROR(LARGE(AG$3:AG$18,ROWS(AG$20:AG33)), "")</f>
        <v/>
      </c>
      <c r="AH33" s="332" t="str">
        <f>IFERROR(LARGE(AH$3:AH$18,ROWS(AH$20:AH33)), "")</f>
        <v/>
      </c>
      <c r="AI33" s="332" t="str">
        <f>IFERROR(LARGE(AI$3:AI$18,ROWS(AI$20:AI33)), "")</f>
        <v/>
      </c>
      <c r="AJ33" s="332" t="str">
        <f>IFERROR(LARGE(AJ$3:AJ$18,ROWS(AJ$20:AJ33)), "")</f>
        <v/>
      </c>
      <c r="AK33" s="332" t="str">
        <f>IFERROR(LARGE(AK$3:AK$18,ROWS(AK$20:AK33)), "")</f>
        <v/>
      </c>
      <c r="AL33" s="332" t="str">
        <f>IFERROR(LARGE(AL$3:AL$18,ROWS(AL$20:AL33)), "")</f>
        <v/>
      </c>
      <c r="AM33" s="332" t="str">
        <f>IFERROR(LARGE(AM$3:AM$18,ROWS(AM$20:AM33)), "")</f>
        <v/>
      </c>
      <c r="AN33" s="332" t="str">
        <f>IFERROR(LARGE(AN$3:AN$18,ROWS(AN$20:AN33)), "")</f>
        <v/>
      </c>
      <c r="AO33" s="332" t="str">
        <f>IFERROR(LARGE(AO$3:AO$18,ROWS(AO$20:AO33)), "")</f>
        <v/>
      </c>
      <c r="AP33" s="332" t="str">
        <f>IFERROR(LARGE(AP$3:AP$18,ROWS(AP$20:AP33)), "")</f>
        <v/>
      </c>
      <c r="AQ33" s="332">
        <f>IFERROR(LARGE(AQ$3:AQ$18,ROWS(AQ$20:AQ33)), "")</f>
        <v>129</v>
      </c>
      <c r="AR33" s="332">
        <f>IFERROR(LARGE(AR$3:AR$18,ROWS(AR$20:AR33)), "")</f>
        <v>129</v>
      </c>
    </row>
    <row r="34" spans="1:44">
      <c r="A34" s="329" t="s">
        <v>1078</v>
      </c>
      <c r="B34" s="329" t="s">
        <v>520</v>
      </c>
      <c r="C34" s="330">
        <f>VLOOKUP(B34, 'S14 ABC Output'!$A$3:$C$18, 3, 0)</f>
        <v>25639</v>
      </c>
      <c r="D34" s="330">
        <f>_xlfn.XLOOKUP(B34, 'S18 Operations'!$B$2:$B$534, 'S18 Operations'!$G$2:$G$534, 0, 0)</f>
        <v>200</v>
      </c>
      <c r="E34" s="330">
        <f t="shared" si="3"/>
        <v>129</v>
      </c>
      <c r="F34" s="330">
        <f>VLOOKUP(A34, 'S17 Work Stations'!$A$2:$C$45, 3, 0)</f>
        <v>25</v>
      </c>
      <c r="G34" s="330" cm="1">
        <f t="array" ref="G34">VLOOKUP(A34&amp;"-"&amp;B34, CHOOSE({1,2}, 'S18 Operations'!$D$2:$D$534&amp;"-"&amp;'S18 Operations'!$B$2:$B$534, 'S18 Operations'!$F$2:$F$534), 2, 0)</f>
        <v>120</v>
      </c>
      <c r="H34" s="331">
        <f t="shared" si="4"/>
        <v>2</v>
      </c>
      <c r="I34" s="331">
        <f t="shared" si="5"/>
        <v>54503</v>
      </c>
      <c r="J34" s="331">
        <f t="shared" si="6"/>
        <v>908.38333333333333</v>
      </c>
      <c r="L34">
        <f t="shared" si="0"/>
        <v>2</v>
      </c>
      <c r="M34">
        <f t="shared" si="1"/>
        <v>129</v>
      </c>
      <c r="N34">
        <f t="shared" si="2"/>
        <v>1252</v>
      </c>
      <c r="O34">
        <f t="shared" si="7"/>
        <v>3</v>
      </c>
      <c r="Q34" s="257"/>
      <c r="S34" s="332" t="str">
        <f>IFERROR(LARGE(S$3:S$18,ROWS(S$20:S34)), "")</f>
        <v/>
      </c>
      <c r="T34" s="332" t="str">
        <f>IFERROR(LARGE(T$3:T$18,ROWS(T$20:T34)), "")</f>
        <v/>
      </c>
      <c r="U34" s="332" t="str">
        <f>IFERROR(LARGE(U$3:U$18,ROWS(U$20:U34)), "")</f>
        <v/>
      </c>
      <c r="V34" s="332" t="str">
        <f>IFERROR(LARGE(V$3:V$18,ROWS(V$20:V34)), "")</f>
        <v/>
      </c>
      <c r="W34" s="332" t="str">
        <f>IFERROR(LARGE(W$3:W$18,ROWS(W$20:W34)), "")</f>
        <v/>
      </c>
      <c r="X34" s="332" t="str">
        <f>IFERROR(LARGE(X$3:X$18,ROWS(X$20:X34)), "")</f>
        <v/>
      </c>
      <c r="Y34" s="332" t="str">
        <f>IFERROR(LARGE(Y$3:Y$18,ROWS(Y$20:Y34)), "")</f>
        <v/>
      </c>
      <c r="Z34" s="332" t="str">
        <f>IFERROR(LARGE(Z$3:Z$18,ROWS(Z$20:Z34)), "")</f>
        <v/>
      </c>
      <c r="AA34" s="332" t="str">
        <f>IFERROR(LARGE(AA$3:AA$18,ROWS(AA$20:AA34)), "")</f>
        <v/>
      </c>
      <c r="AB34" s="332" t="str">
        <f>IFERROR(LARGE(AB$3:AB$18,ROWS(AB$20:AB34)), "")</f>
        <v/>
      </c>
      <c r="AC34" s="332" t="str">
        <f>IFERROR(LARGE(AC$3:AC$18,ROWS(AC$20:AC34)), "")</f>
        <v/>
      </c>
      <c r="AD34" s="332" t="str">
        <f>IFERROR(LARGE(AD$3:AD$18,ROWS(AD$20:AD34)), "")</f>
        <v/>
      </c>
      <c r="AE34" s="332" t="str">
        <f>IFERROR(LARGE(AE$3:AE$18,ROWS(AE$20:AE34)), "")</f>
        <v/>
      </c>
      <c r="AF34" s="332" t="str">
        <f>IFERROR(LARGE(AF$3:AF$18,ROWS(AF$20:AF34)), "")</f>
        <v/>
      </c>
      <c r="AG34" s="332" t="str">
        <f>IFERROR(LARGE(AG$3:AG$18,ROWS(AG$20:AG34)), "")</f>
        <v/>
      </c>
      <c r="AH34" s="332" t="str">
        <f>IFERROR(LARGE(AH$3:AH$18,ROWS(AH$20:AH34)), "")</f>
        <v/>
      </c>
      <c r="AI34" s="332" t="str">
        <f>IFERROR(LARGE(AI$3:AI$18,ROWS(AI$20:AI34)), "")</f>
        <v/>
      </c>
      <c r="AJ34" s="332" t="str">
        <f>IFERROR(LARGE(AJ$3:AJ$18,ROWS(AJ$20:AJ34)), "")</f>
        <v/>
      </c>
      <c r="AK34" s="332" t="str">
        <f>IFERROR(LARGE(AK$3:AK$18,ROWS(AK$20:AK34)), "")</f>
        <v/>
      </c>
      <c r="AL34" s="332" t="str">
        <f>IFERROR(LARGE(AL$3:AL$18,ROWS(AL$20:AL34)), "")</f>
        <v/>
      </c>
      <c r="AM34" s="332" t="str">
        <f>IFERROR(LARGE(AM$3:AM$18,ROWS(AM$20:AM34)), "")</f>
        <v/>
      </c>
      <c r="AN34" s="332" t="str">
        <f>IFERROR(LARGE(AN$3:AN$18,ROWS(AN$20:AN34)), "")</f>
        <v/>
      </c>
      <c r="AO34" s="332" t="str">
        <f>IFERROR(LARGE(AO$3:AO$18,ROWS(AO$20:AO34)), "")</f>
        <v/>
      </c>
      <c r="AP34" s="332" t="str">
        <f>IFERROR(LARGE(AP$3:AP$18,ROWS(AP$20:AP34)), "")</f>
        <v/>
      </c>
      <c r="AQ34" s="332">
        <f>IFERROR(LARGE(AQ$3:AQ$18,ROWS(AQ$20:AQ34)), "")</f>
        <v>129</v>
      </c>
      <c r="AR34" s="332">
        <f>IFERROR(LARGE(AR$3:AR$18,ROWS(AR$20:AR34)), "")</f>
        <v>129</v>
      </c>
    </row>
    <row r="35" spans="1:44">
      <c r="A35" s="329" t="s">
        <v>1080</v>
      </c>
      <c r="B35" s="329" t="s">
        <v>514</v>
      </c>
      <c r="C35" s="330">
        <f>VLOOKUP(B35, 'S14 ABC Output'!$A$3:$C$18, 3, 0)</f>
        <v>215425</v>
      </c>
      <c r="D35" s="330">
        <f>_xlfn.XLOOKUP(B35, 'S18 Operations'!$B$2:$B$534, 'S18 Operations'!$G$2:$G$534, 0, 0)</f>
        <v>200</v>
      </c>
      <c r="E35" s="330">
        <f t="shared" si="3"/>
        <v>1078</v>
      </c>
      <c r="F35" s="330">
        <f>VLOOKUP(A35, 'S17 Work Stations'!$A$2:$C$45, 3, 0)</f>
        <v>30</v>
      </c>
      <c r="G35" s="330" cm="1">
        <f t="array" ref="G35">VLOOKUP(A35&amp;"-"&amp;B35, CHOOSE({1,2}, 'S18 Operations'!$D$2:$D$534&amp;"-"&amp;'S18 Operations'!$B$2:$B$534, 'S18 Operations'!$F$2:$F$534), 2, 0)</f>
        <v>480</v>
      </c>
      <c r="H35" s="331">
        <f t="shared" si="4"/>
        <v>8</v>
      </c>
      <c r="I35" s="331">
        <f t="shared" si="5"/>
        <v>1733210</v>
      </c>
      <c r="J35" s="331">
        <f t="shared" si="6"/>
        <v>28886.833333333332</v>
      </c>
      <c r="L35">
        <f t="shared" si="0"/>
        <v>1</v>
      </c>
      <c r="M35">
        <f t="shared" si="1"/>
        <v>129</v>
      </c>
      <c r="N35">
        <f t="shared" si="2"/>
        <v>1078</v>
      </c>
      <c r="O35">
        <f t="shared" si="7"/>
        <v>6</v>
      </c>
      <c r="S35" s="332" t="str">
        <f>IFERROR(LARGE(S$3:S$18,ROWS(S$20:S35)), "")</f>
        <v/>
      </c>
      <c r="T35" s="332" t="str">
        <f>IFERROR(LARGE(T$3:T$18,ROWS(T$20:T35)), "")</f>
        <v/>
      </c>
      <c r="U35" s="332" t="str">
        <f>IFERROR(LARGE(U$3:U$18,ROWS(U$20:U35)), "")</f>
        <v/>
      </c>
      <c r="V35" s="332" t="str">
        <f>IFERROR(LARGE(V$3:V$18,ROWS(V$20:V35)), "")</f>
        <v/>
      </c>
      <c r="W35" s="332" t="str">
        <f>IFERROR(LARGE(W$3:W$18,ROWS(W$20:W35)), "")</f>
        <v/>
      </c>
      <c r="X35" s="332" t="str">
        <f>IFERROR(LARGE(X$3:X$18,ROWS(X$20:X35)), "")</f>
        <v/>
      </c>
      <c r="Y35" s="332" t="str">
        <f>IFERROR(LARGE(Y$3:Y$18,ROWS(Y$20:Y35)), "")</f>
        <v/>
      </c>
      <c r="Z35" s="332" t="str">
        <f>IFERROR(LARGE(Z$3:Z$18,ROWS(Z$20:Z35)), "")</f>
        <v/>
      </c>
      <c r="AA35" s="332" t="str">
        <f>IFERROR(LARGE(AA$3:AA$18,ROWS(AA$20:AA35)), "")</f>
        <v/>
      </c>
      <c r="AB35" s="332" t="str">
        <f>IFERROR(LARGE(AB$3:AB$18,ROWS(AB$20:AB35)), "")</f>
        <v/>
      </c>
      <c r="AC35" s="332" t="str">
        <f>IFERROR(LARGE(AC$3:AC$18,ROWS(AC$20:AC35)), "")</f>
        <v/>
      </c>
      <c r="AD35" s="332" t="str">
        <f>IFERROR(LARGE(AD$3:AD$18,ROWS(AD$20:AD35)), "")</f>
        <v/>
      </c>
      <c r="AE35" s="332" t="str">
        <f>IFERROR(LARGE(AE$3:AE$18,ROWS(AE$20:AE35)), "")</f>
        <v/>
      </c>
      <c r="AF35" s="332" t="str">
        <f>IFERROR(LARGE(AF$3:AF$18,ROWS(AF$20:AF35)), "")</f>
        <v/>
      </c>
      <c r="AG35" s="332" t="str">
        <f>IFERROR(LARGE(AG$3:AG$18,ROWS(AG$20:AG35)), "")</f>
        <v/>
      </c>
      <c r="AH35" s="332" t="str">
        <f>IFERROR(LARGE(AH$3:AH$18,ROWS(AH$20:AH35)), "")</f>
        <v/>
      </c>
      <c r="AI35" s="332" t="str">
        <f>IFERROR(LARGE(AI$3:AI$18,ROWS(AI$20:AI35)), "")</f>
        <v/>
      </c>
      <c r="AJ35" s="332" t="str">
        <f>IFERROR(LARGE(AJ$3:AJ$18,ROWS(AJ$20:AJ35)), "")</f>
        <v/>
      </c>
      <c r="AK35" s="332" t="str">
        <f>IFERROR(LARGE(AK$3:AK$18,ROWS(AK$20:AK35)), "")</f>
        <v/>
      </c>
      <c r="AL35" s="332" t="str">
        <f>IFERROR(LARGE(AL$3:AL$18,ROWS(AL$20:AL35)), "")</f>
        <v/>
      </c>
      <c r="AM35" s="332" t="str">
        <f>IFERROR(LARGE(AM$3:AM$18,ROWS(AM$20:AM35)), "")</f>
        <v/>
      </c>
      <c r="AN35" s="332" t="str">
        <f>IFERROR(LARGE(AN$3:AN$18,ROWS(AN$20:AN35)), "")</f>
        <v/>
      </c>
      <c r="AO35" s="332" t="str">
        <f>IFERROR(LARGE(AO$3:AO$18,ROWS(AO$20:AO35)), "")</f>
        <v/>
      </c>
      <c r="AP35" s="332" t="str">
        <f>IFERROR(LARGE(AP$3:AP$18,ROWS(AP$20:AP35)), "")</f>
        <v/>
      </c>
      <c r="AQ35" s="332">
        <f>IFERROR(LARGE(AQ$3:AQ$18,ROWS(AQ$20:AQ35)), "")</f>
        <v>129</v>
      </c>
      <c r="AR35" s="332">
        <f>IFERROR(LARGE(AR$3:AR$18,ROWS(AR$20:AR35)), "")</f>
        <v>129</v>
      </c>
    </row>
    <row r="36" spans="1:44">
      <c r="A36" s="329" t="s">
        <v>1080</v>
      </c>
      <c r="B36" s="329" t="s">
        <v>642</v>
      </c>
      <c r="C36" s="330">
        <f>VLOOKUP(B36, 'S14 ABC Output'!$A$3:$C$18, 3, 0)</f>
        <v>65248</v>
      </c>
      <c r="D36" s="330">
        <f>_xlfn.XLOOKUP(B36, 'S18 Operations'!$B$2:$B$534, 'S18 Operations'!$G$2:$G$534, 0, 0)</f>
        <v>200</v>
      </c>
      <c r="E36" s="330">
        <f t="shared" si="3"/>
        <v>327</v>
      </c>
      <c r="F36" s="330">
        <f>VLOOKUP(A36, 'S17 Work Stations'!$A$2:$C$45, 3, 0)</f>
        <v>30</v>
      </c>
      <c r="G36" s="330" cm="1">
        <f t="array" ref="G36">VLOOKUP(A36&amp;"-"&amp;B36, CHOOSE({1,2}, 'S18 Operations'!$D$2:$D$534&amp;"-"&amp;'S18 Operations'!$B$2:$B$534, 'S18 Operations'!$F$2:$F$534), 2, 0)</f>
        <v>120</v>
      </c>
      <c r="H36" s="331">
        <f t="shared" si="4"/>
        <v>2</v>
      </c>
      <c r="I36" s="331">
        <f t="shared" si="5"/>
        <v>140306</v>
      </c>
      <c r="J36" s="331">
        <f t="shared" si="6"/>
        <v>2338.4333333333334</v>
      </c>
      <c r="L36">
        <f t="shared" si="0"/>
        <v>2</v>
      </c>
      <c r="M36">
        <f t="shared" si="1"/>
        <v>129</v>
      </c>
      <c r="N36">
        <f t="shared" si="2"/>
        <v>1078</v>
      </c>
      <c r="O36">
        <f t="shared" si="7"/>
        <v>6</v>
      </c>
      <c r="S36">
        <v>1</v>
      </c>
      <c r="T36">
        <v>2</v>
      </c>
      <c r="U36">
        <v>3</v>
      </c>
      <c r="V36">
        <v>4</v>
      </c>
      <c r="W36">
        <v>5</v>
      </c>
      <c r="X36">
        <v>6</v>
      </c>
      <c r="Y36">
        <v>7</v>
      </c>
      <c r="Z36">
        <v>8</v>
      </c>
      <c r="AA36">
        <v>9</v>
      </c>
      <c r="AB36">
        <v>10</v>
      </c>
      <c r="AC36">
        <v>11</v>
      </c>
      <c r="AD36">
        <v>12</v>
      </c>
      <c r="AE36">
        <v>13</v>
      </c>
      <c r="AF36">
        <v>14</v>
      </c>
      <c r="AG36">
        <v>15</v>
      </c>
      <c r="AH36">
        <v>16</v>
      </c>
      <c r="AI36">
        <v>17</v>
      </c>
      <c r="AJ36">
        <v>18</v>
      </c>
      <c r="AK36">
        <v>19</v>
      </c>
      <c r="AL36">
        <v>20</v>
      </c>
      <c r="AM36">
        <v>21</v>
      </c>
      <c r="AN36">
        <v>22</v>
      </c>
      <c r="AO36">
        <v>23</v>
      </c>
      <c r="AP36" s="3">
        <v>24</v>
      </c>
      <c r="AQ36" s="3">
        <v>25</v>
      </c>
      <c r="AR36" s="3">
        <v>26</v>
      </c>
    </row>
    <row r="37" spans="1:44">
      <c r="A37" s="329" t="s">
        <v>1080</v>
      </c>
      <c r="B37" s="329" t="s">
        <v>638</v>
      </c>
      <c r="C37" s="330">
        <f>VLOOKUP(B37, 'S14 ABC Output'!$A$3:$C$18, 3, 0)</f>
        <v>45896</v>
      </c>
      <c r="D37" s="330">
        <f>_xlfn.XLOOKUP(B37, 'S18 Operations'!$B$2:$B$534, 'S18 Operations'!$G$2:$G$534, 0, 0)</f>
        <v>200</v>
      </c>
      <c r="E37" s="330">
        <f t="shared" si="3"/>
        <v>230</v>
      </c>
      <c r="F37" s="330">
        <f>VLOOKUP(A37, 'S17 Work Stations'!$A$2:$C$45, 3, 0)</f>
        <v>30</v>
      </c>
      <c r="G37" s="330" cm="1">
        <f t="array" ref="G37">VLOOKUP(A37&amp;"-"&amp;B37, CHOOSE({1,2}, 'S18 Operations'!$D$2:$D$534&amp;"-"&amp;'S18 Operations'!$B$2:$B$534, 'S18 Operations'!$F$2:$F$534), 2, 0)</f>
        <v>120</v>
      </c>
      <c r="H37" s="331">
        <f t="shared" si="4"/>
        <v>2</v>
      </c>
      <c r="I37" s="331">
        <f t="shared" si="5"/>
        <v>98692</v>
      </c>
      <c r="J37" s="331">
        <f t="shared" si="6"/>
        <v>1644.8666666666666</v>
      </c>
      <c r="L37">
        <f t="shared" si="0"/>
        <v>3</v>
      </c>
      <c r="M37">
        <f t="shared" si="1"/>
        <v>129</v>
      </c>
      <c r="N37">
        <f t="shared" si="2"/>
        <v>1078</v>
      </c>
      <c r="O37">
        <f t="shared" si="7"/>
        <v>6</v>
      </c>
      <c r="S37" s="333" t="str">
        <f t="shared" ref="S37:AR37" si="9">S2</f>
        <v>WS-02</v>
      </c>
      <c r="T37" s="333" t="str">
        <f t="shared" si="9"/>
        <v>WS-03</v>
      </c>
      <c r="U37" s="333" t="str">
        <f t="shared" si="9"/>
        <v>WS-04</v>
      </c>
      <c r="V37" s="333" t="str">
        <f t="shared" si="9"/>
        <v>WS-05</v>
      </c>
      <c r="W37" s="333" t="str">
        <f t="shared" si="9"/>
        <v>WS-07</v>
      </c>
      <c r="X37" s="333" t="str">
        <f t="shared" si="9"/>
        <v>WS-08</v>
      </c>
      <c r="Y37" s="333" t="str">
        <f t="shared" si="9"/>
        <v>WS-18</v>
      </c>
      <c r="Z37" s="333" t="str">
        <f t="shared" si="9"/>
        <v>WS-20</v>
      </c>
      <c r="AA37" s="333" t="str">
        <f t="shared" si="9"/>
        <v>WS-21</v>
      </c>
      <c r="AB37" s="333" t="str">
        <f t="shared" si="9"/>
        <v>WS-23</v>
      </c>
      <c r="AC37" s="333" t="str">
        <f t="shared" si="9"/>
        <v>WS-24</v>
      </c>
      <c r="AD37" s="333" t="str">
        <f t="shared" si="9"/>
        <v>WS-25</v>
      </c>
      <c r="AE37" s="333" t="str">
        <f t="shared" si="9"/>
        <v>WS-26</v>
      </c>
      <c r="AF37" s="333" t="str">
        <f t="shared" si="9"/>
        <v>WS-27</v>
      </c>
      <c r="AG37" s="333" t="str">
        <f t="shared" si="9"/>
        <v>WS-28</v>
      </c>
      <c r="AH37" s="333" t="str">
        <f t="shared" si="9"/>
        <v>WS-29</v>
      </c>
      <c r="AI37" s="333" t="str">
        <f t="shared" si="9"/>
        <v>WS-31</v>
      </c>
      <c r="AJ37" s="333" t="str">
        <f t="shared" si="9"/>
        <v>WS-32</v>
      </c>
      <c r="AK37" s="333" t="str">
        <f t="shared" si="9"/>
        <v>WS-33</v>
      </c>
      <c r="AL37" s="333" t="str">
        <f t="shared" si="9"/>
        <v>WS-34</v>
      </c>
      <c r="AM37" s="333" t="str">
        <f t="shared" si="9"/>
        <v>WS-36</v>
      </c>
      <c r="AN37" s="333" t="str">
        <f t="shared" si="9"/>
        <v>WS-38</v>
      </c>
      <c r="AO37" s="333" t="str">
        <f t="shared" si="9"/>
        <v>WS-40</v>
      </c>
      <c r="AP37" s="333" t="str">
        <f t="shared" si="9"/>
        <v>WS-42</v>
      </c>
      <c r="AQ37" s="333" t="str">
        <f t="shared" si="9"/>
        <v>WS-43</v>
      </c>
      <c r="AR37" s="333" t="str">
        <f t="shared" si="9"/>
        <v>WS-44</v>
      </c>
    </row>
    <row r="38" spans="1:44">
      <c r="A38" s="329" t="s">
        <v>1080</v>
      </c>
      <c r="B38" s="329" t="s">
        <v>644</v>
      </c>
      <c r="C38" s="330">
        <f>VLOOKUP(B38, 'S14 ABC Output'!$A$3:$C$18, 3, 0)</f>
        <v>36524</v>
      </c>
      <c r="D38" s="330">
        <f>_xlfn.XLOOKUP(B38, 'S18 Operations'!$B$2:$B$534, 'S18 Operations'!$G$2:$G$534, 0, 0)</f>
        <v>200</v>
      </c>
      <c r="E38" s="330">
        <f t="shared" si="3"/>
        <v>183</v>
      </c>
      <c r="F38" s="330">
        <f>VLOOKUP(A38, 'S17 Work Stations'!$A$2:$C$45, 3, 0)</f>
        <v>30</v>
      </c>
      <c r="G38" s="330" cm="1">
        <f t="array" ref="G38">VLOOKUP(A38&amp;"-"&amp;B38, CHOOSE({1,2}, 'S18 Operations'!$D$2:$D$534&amp;"-"&amp;'S18 Operations'!$B$2:$B$534, 'S18 Operations'!$F$2:$F$534), 2, 0)</f>
        <v>180</v>
      </c>
      <c r="H38" s="331">
        <f t="shared" si="4"/>
        <v>3</v>
      </c>
      <c r="I38" s="331">
        <f t="shared" si="5"/>
        <v>115062</v>
      </c>
      <c r="J38" s="331">
        <f t="shared" si="6"/>
        <v>1917.7</v>
      </c>
      <c r="L38">
        <f t="shared" si="0"/>
        <v>4</v>
      </c>
      <c r="M38">
        <f t="shared" si="1"/>
        <v>129</v>
      </c>
      <c r="N38">
        <f t="shared" si="2"/>
        <v>1078</v>
      </c>
      <c r="O38">
        <f t="shared" si="7"/>
        <v>6</v>
      </c>
      <c r="S38" s="332">
        <f t="shared" ref="S38:AR38" si="10">SUM(S3:S18)-MAX(S3:S18)</f>
        <v>258</v>
      </c>
      <c r="T38" s="332">
        <f t="shared" si="10"/>
        <v>274</v>
      </c>
      <c r="U38" s="332">
        <f t="shared" si="10"/>
        <v>274</v>
      </c>
      <c r="V38" s="332">
        <f t="shared" si="10"/>
        <v>1052</v>
      </c>
      <c r="W38" s="332">
        <f t="shared" si="10"/>
        <v>1322</v>
      </c>
      <c r="X38" s="332">
        <f t="shared" si="10"/>
        <v>254</v>
      </c>
      <c r="Y38" s="332">
        <f t="shared" si="10"/>
        <v>258</v>
      </c>
      <c r="Z38" s="332">
        <f t="shared" si="10"/>
        <v>254</v>
      </c>
      <c r="AA38" s="332">
        <f t="shared" si="10"/>
        <v>639</v>
      </c>
      <c r="AB38" s="332">
        <f t="shared" si="10"/>
        <v>274</v>
      </c>
      <c r="AC38" s="332">
        <f t="shared" si="10"/>
        <v>258</v>
      </c>
      <c r="AD38" s="332">
        <f t="shared" si="10"/>
        <v>1052</v>
      </c>
      <c r="AE38" s="332">
        <f t="shared" si="10"/>
        <v>254</v>
      </c>
      <c r="AF38" s="332">
        <f t="shared" si="10"/>
        <v>639</v>
      </c>
      <c r="AG38" s="332">
        <f t="shared" si="10"/>
        <v>639</v>
      </c>
      <c r="AH38" s="332">
        <f t="shared" si="10"/>
        <v>258</v>
      </c>
      <c r="AI38" s="332">
        <f t="shared" si="10"/>
        <v>274</v>
      </c>
      <c r="AJ38" s="332">
        <f t="shared" si="10"/>
        <v>2029</v>
      </c>
      <c r="AK38" s="332">
        <f t="shared" si="10"/>
        <v>258</v>
      </c>
      <c r="AL38" s="332">
        <f t="shared" si="10"/>
        <v>1052</v>
      </c>
      <c r="AM38" s="332">
        <f t="shared" si="10"/>
        <v>1052</v>
      </c>
      <c r="AN38" s="332">
        <f t="shared" si="10"/>
        <v>639</v>
      </c>
      <c r="AO38" s="332">
        <f t="shared" si="10"/>
        <v>1648</v>
      </c>
      <c r="AP38" s="332">
        <f t="shared" si="10"/>
        <v>0</v>
      </c>
      <c r="AQ38" s="332">
        <f t="shared" si="10"/>
        <v>5043</v>
      </c>
      <c r="AR38" s="332">
        <f t="shared" si="10"/>
        <v>5043</v>
      </c>
    </row>
    <row r="39" spans="1:44">
      <c r="A39" s="329" t="s">
        <v>1080</v>
      </c>
      <c r="B39" s="329" t="s">
        <v>646</v>
      </c>
      <c r="C39" s="330">
        <f>VLOOKUP(B39, 'S14 ABC Output'!$A$3:$C$18, 3, 0)</f>
        <v>36502</v>
      </c>
      <c r="D39" s="330">
        <f>_xlfn.XLOOKUP(B39, 'S18 Operations'!$B$2:$B$534, 'S18 Operations'!$G$2:$G$534, 0, 0)</f>
        <v>200</v>
      </c>
      <c r="E39" s="330">
        <f t="shared" si="3"/>
        <v>183</v>
      </c>
      <c r="F39" s="330">
        <f>VLOOKUP(A39, 'S17 Work Stations'!$A$2:$C$45, 3, 0)</f>
        <v>30</v>
      </c>
      <c r="G39" s="330" cm="1">
        <f t="array" ref="G39">VLOOKUP(A39&amp;"-"&amp;B39, CHOOSE({1,2}, 'S18 Operations'!$D$2:$D$534&amp;"-"&amp;'S18 Operations'!$B$2:$B$534, 'S18 Operations'!$F$2:$F$534), 2, 0)</f>
        <v>180</v>
      </c>
      <c r="H39" s="331">
        <f t="shared" si="4"/>
        <v>3</v>
      </c>
      <c r="I39" s="331">
        <f t="shared" si="5"/>
        <v>114996</v>
      </c>
      <c r="J39" s="331">
        <f t="shared" si="6"/>
        <v>1916.6</v>
      </c>
      <c r="L39">
        <f t="shared" si="0"/>
        <v>4</v>
      </c>
      <c r="M39">
        <f t="shared" si="1"/>
        <v>129</v>
      </c>
      <c r="N39">
        <f t="shared" si="2"/>
        <v>1078</v>
      </c>
      <c r="O39">
        <f t="shared" si="7"/>
        <v>6</v>
      </c>
    </row>
    <row r="40" spans="1:44">
      <c r="A40" s="329" t="s">
        <v>1080</v>
      </c>
      <c r="B40" s="329" t="s">
        <v>648</v>
      </c>
      <c r="C40" s="330">
        <f>VLOOKUP(B40, 'S14 ABC Output'!$A$3:$C$18, 3, 0)</f>
        <v>25649</v>
      </c>
      <c r="D40" s="330">
        <f>_xlfn.XLOOKUP(B40, 'S18 Operations'!$B$2:$B$534, 'S18 Operations'!$G$2:$G$534, 0, 0)</f>
        <v>200</v>
      </c>
      <c r="E40" s="330">
        <f t="shared" si="3"/>
        <v>129</v>
      </c>
      <c r="F40" s="330">
        <f>VLOOKUP(A40, 'S17 Work Stations'!$A$2:$C$45, 3, 0)</f>
        <v>30</v>
      </c>
      <c r="G40" s="330" cm="1">
        <f t="array" ref="G40">VLOOKUP(A40&amp;"-"&amp;B40, CHOOSE({1,2}, 'S18 Operations'!$D$2:$D$534&amp;"-"&amp;'S18 Operations'!$B$2:$B$534, 'S18 Operations'!$F$2:$F$534), 2, 0)</f>
        <v>840</v>
      </c>
      <c r="H40" s="331">
        <f t="shared" si="4"/>
        <v>14</v>
      </c>
      <c r="I40" s="331">
        <f t="shared" si="5"/>
        <v>362956</v>
      </c>
      <c r="J40" s="331">
        <f t="shared" si="6"/>
        <v>6049.2666666666664</v>
      </c>
      <c r="L40">
        <f t="shared" si="0"/>
        <v>6</v>
      </c>
      <c r="M40">
        <f t="shared" si="1"/>
        <v>129</v>
      </c>
      <c r="N40">
        <f t="shared" si="2"/>
        <v>1078</v>
      </c>
      <c r="O40">
        <f t="shared" si="7"/>
        <v>6</v>
      </c>
    </row>
    <row r="41" spans="1:44">
      <c r="A41" s="329" t="s">
        <v>1082</v>
      </c>
      <c r="B41" s="329" t="s">
        <v>610</v>
      </c>
      <c r="C41" s="330">
        <f>VLOOKUP(B41, 'S14 ABC Output'!$A$3:$C$18, 3, 0)</f>
        <v>85612</v>
      </c>
      <c r="D41" s="330">
        <f>_xlfn.XLOOKUP(B41, 'S18 Operations'!$B$2:$B$534, 'S18 Operations'!$G$2:$G$534, 0, 0)</f>
        <v>200</v>
      </c>
      <c r="E41" s="330">
        <f t="shared" si="3"/>
        <v>429</v>
      </c>
      <c r="F41" s="330">
        <f>VLOOKUP(A41, 'S17 Work Stations'!$A$2:$C$45, 3, 0)</f>
        <v>30</v>
      </c>
      <c r="G41" s="330" cm="1">
        <f t="array" ref="G41">VLOOKUP(A41&amp;"-"&amp;B41, CHOOSE({1,2}, 'S18 Operations'!$D$2:$D$534&amp;"-"&amp;'S18 Operations'!$B$2:$B$534, 'S18 Operations'!$F$2:$F$534), 2, 0)</f>
        <v>180</v>
      </c>
      <c r="H41" s="331">
        <f t="shared" si="4"/>
        <v>3</v>
      </c>
      <c r="I41" s="331">
        <f t="shared" si="5"/>
        <v>264456</v>
      </c>
      <c r="J41" s="331">
        <f t="shared" si="6"/>
        <v>4407.6000000000004</v>
      </c>
      <c r="L41">
        <f t="shared" si="0"/>
        <v>1</v>
      </c>
      <c r="M41">
        <f t="shared" si="1"/>
        <v>254</v>
      </c>
      <c r="N41">
        <f t="shared" si="2"/>
        <v>429</v>
      </c>
      <c r="O41">
        <f t="shared" si="7"/>
        <v>2</v>
      </c>
    </row>
    <row r="42" spans="1:44">
      <c r="A42" s="329" t="s">
        <v>1082</v>
      </c>
      <c r="B42" s="329" t="s">
        <v>530</v>
      </c>
      <c r="C42" s="330">
        <f>VLOOKUP(B42, 'S14 ABC Output'!$A$3:$C$18, 3, 0)</f>
        <v>50689</v>
      </c>
      <c r="D42" s="330">
        <f>_xlfn.XLOOKUP(B42, 'S18 Operations'!$B$2:$B$534, 'S18 Operations'!$G$2:$G$534, 0, 0)</f>
        <v>200</v>
      </c>
      <c r="E42" s="330">
        <f t="shared" si="3"/>
        <v>254</v>
      </c>
      <c r="F42" s="330">
        <f>VLOOKUP(A42, 'S17 Work Stations'!$A$2:$C$45, 3, 0)</f>
        <v>30</v>
      </c>
      <c r="G42" s="330" cm="1">
        <f t="array" ref="G42">VLOOKUP(A42&amp;"-"&amp;B42, CHOOSE({1,2}, 'S18 Operations'!$D$2:$D$534&amp;"-"&amp;'S18 Operations'!$B$2:$B$534, 'S18 Operations'!$F$2:$F$534), 2, 0)</f>
        <v>120</v>
      </c>
      <c r="H42" s="331">
        <f t="shared" si="4"/>
        <v>2</v>
      </c>
      <c r="I42" s="331">
        <f t="shared" si="5"/>
        <v>108998</v>
      </c>
      <c r="J42" s="331">
        <f t="shared" si="6"/>
        <v>1816.6333333333334</v>
      </c>
      <c r="L42">
        <f t="shared" si="0"/>
        <v>2</v>
      </c>
      <c r="M42">
        <f t="shared" si="1"/>
        <v>254</v>
      </c>
      <c r="N42">
        <f t="shared" si="2"/>
        <v>429</v>
      </c>
      <c r="O42">
        <f t="shared" si="7"/>
        <v>2</v>
      </c>
    </row>
    <row r="43" spans="1:44">
      <c r="A43" s="329" t="s">
        <v>1083</v>
      </c>
      <c r="B43" s="329" t="s">
        <v>580</v>
      </c>
      <c r="C43" s="330">
        <f>VLOOKUP(B43, 'S14 ABC Output'!$A$3:$C$18, 3, 0)</f>
        <v>125036</v>
      </c>
      <c r="D43" s="330">
        <f>_xlfn.XLOOKUP(B43, 'S18 Operations'!$B$2:$B$534, 'S18 Operations'!$G$2:$G$534, 0, 0)</f>
        <v>200</v>
      </c>
      <c r="E43" s="330">
        <f t="shared" si="3"/>
        <v>626</v>
      </c>
      <c r="F43" s="330">
        <f>VLOOKUP(A43, 'S17 Work Stations'!$A$2:$C$45, 3, 0)</f>
        <v>30</v>
      </c>
      <c r="G43" s="330" cm="1">
        <f t="array" ref="G43">VLOOKUP(A43&amp;"-"&amp;B43, CHOOSE({1,2}, 'S18 Operations'!$D$2:$D$534&amp;"-"&amp;'S18 Operations'!$B$2:$B$534, 'S18 Operations'!$F$2:$F$534), 2, 0)</f>
        <v>300</v>
      </c>
      <c r="H43" s="331">
        <f t="shared" si="4"/>
        <v>5</v>
      </c>
      <c r="I43" s="331">
        <f t="shared" si="5"/>
        <v>640480</v>
      </c>
      <c r="J43" s="331">
        <f t="shared" si="6"/>
        <v>10674.666666666666</v>
      </c>
      <c r="L43">
        <f t="shared" si="0"/>
        <v>1</v>
      </c>
      <c r="M43">
        <f t="shared" si="1"/>
        <v>129</v>
      </c>
      <c r="N43">
        <f t="shared" si="2"/>
        <v>626</v>
      </c>
      <c r="O43">
        <f t="shared" si="7"/>
        <v>3</v>
      </c>
    </row>
    <row r="44" spans="1:44">
      <c r="A44" s="329" t="s">
        <v>1083</v>
      </c>
      <c r="B44" s="329" t="s">
        <v>652</v>
      </c>
      <c r="C44" s="330">
        <f>VLOOKUP(B44, 'S14 ABC Output'!$A$3:$C$18, 3, 0)</f>
        <v>25689</v>
      </c>
      <c r="D44" s="330">
        <f>_xlfn.XLOOKUP(B44, 'S18 Operations'!$B$2:$B$534, 'S18 Operations'!$G$2:$G$534, 0, 0)</f>
        <v>200</v>
      </c>
      <c r="E44" s="330">
        <f t="shared" si="3"/>
        <v>129</v>
      </c>
      <c r="F44" s="330">
        <f>VLOOKUP(A44, 'S17 Work Stations'!$A$2:$C$45, 3, 0)</f>
        <v>30</v>
      </c>
      <c r="G44" s="330" cm="1">
        <f t="array" ref="G44">VLOOKUP(A44&amp;"-"&amp;B44, CHOOSE({1,2}, 'S18 Operations'!$D$2:$D$534&amp;"-"&amp;'S18 Operations'!$B$2:$B$534, 'S18 Operations'!$F$2:$F$534), 2, 0)</f>
        <v>540</v>
      </c>
      <c r="H44" s="331">
        <f t="shared" si="4"/>
        <v>9</v>
      </c>
      <c r="I44" s="331">
        <f t="shared" si="5"/>
        <v>235071</v>
      </c>
      <c r="J44" s="331">
        <f t="shared" si="6"/>
        <v>3917.85</v>
      </c>
      <c r="L44">
        <f t="shared" si="0"/>
        <v>3</v>
      </c>
      <c r="M44">
        <f t="shared" si="1"/>
        <v>129</v>
      </c>
      <c r="N44">
        <f t="shared" si="2"/>
        <v>626</v>
      </c>
      <c r="O44">
        <f t="shared" si="7"/>
        <v>3</v>
      </c>
    </row>
    <row r="45" spans="1:44">
      <c r="A45" s="329" t="s">
        <v>1083</v>
      </c>
      <c r="B45" s="329" t="s">
        <v>654</v>
      </c>
      <c r="C45" s="330">
        <f>VLOOKUP(B45, 'S14 ABC Output'!$A$3:$C$18, 3, 0)</f>
        <v>25468</v>
      </c>
      <c r="D45" s="330">
        <f>_xlfn.XLOOKUP(B45, 'S18 Operations'!$B$2:$B$534, 'S18 Operations'!$G$2:$G$534, 0, 0)</f>
        <v>50</v>
      </c>
      <c r="E45" s="330">
        <f t="shared" si="3"/>
        <v>510</v>
      </c>
      <c r="F45" s="330">
        <f>VLOOKUP(A45, 'S17 Work Stations'!$A$2:$C$45, 3, 0)</f>
        <v>30</v>
      </c>
      <c r="G45" s="330" cm="1">
        <f t="array" ref="G45">VLOOKUP(A45&amp;"-"&amp;B45, CHOOSE({1,2}, 'S18 Operations'!$D$2:$D$534&amp;"-"&amp;'S18 Operations'!$B$2:$B$534, 'S18 Operations'!$F$2:$F$534), 2, 0)</f>
        <v>480</v>
      </c>
      <c r="H45" s="331">
        <f t="shared" si="4"/>
        <v>8</v>
      </c>
      <c r="I45" s="331">
        <f t="shared" si="5"/>
        <v>219044</v>
      </c>
      <c r="J45" s="331">
        <f t="shared" si="6"/>
        <v>3650.7333333333331</v>
      </c>
      <c r="L45">
        <f t="shared" si="0"/>
        <v>2</v>
      </c>
      <c r="M45">
        <f t="shared" si="1"/>
        <v>129</v>
      </c>
      <c r="N45">
        <f t="shared" si="2"/>
        <v>626</v>
      </c>
      <c r="O45">
        <f t="shared" si="7"/>
        <v>3</v>
      </c>
    </row>
    <row r="46" spans="1:44">
      <c r="A46" s="329" t="s">
        <v>1085</v>
      </c>
      <c r="B46" s="329" t="s">
        <v>580</v>
      </c>
      <c r="C46" s="330">
        <f>VLOOKUP(B46, 'S14 ABC Output'!$A$3:$C$18, 3, 0)</f>
        <v>125036</v>
      </c>
      <c r="D46" s="330">
        <f>_xlfn.XLOOKUP(B46, 'S18 Operations'!$B$2:$B$534, 'S18 Operations'!$G$2:$G$534, 0, 0)</f>
        <v>200</v>
      </c>
      <c r="E46" s="330">
        <f t="shared" si="3"/>
        <v>626</v>
      </c>
      <c r="F46" s="330">
        <f>VLOOKUP(A46, 'S17 Work Stations'!$A$2:$C$45, 3, 0)</f>
        <v>30</v>
      </c>
      <c r="G46" s="330" cm="1">
        <f t="array" ref="G46">VLOOKUP(A46&amp;"-"&amp;B46, CHOOSE({1,2}, 'S18 Operations'!$D$2:$D$534&amp;"-"&amp;'S18 Operations'!$B$2:$B$534, 'S18 Operations'!$F$2:$F$534), 2, 0)</f>
        <v>480</v>
      </c>
      <c r="H46" s="331">
        <f t="shared" si="4"/>
        <v>8</v>
      </c>
      <c r="I46" s="331">
        <f t="shared" si="5"/>
        <v>1015588</v>
      </c>
      <c r="J46" s="331">
        <f t="shared" si="6"/>
        <v>16926.466666666667</v>
      </c>
      <c r="L46">
        <f t="shared" si="0"/>
        <v>1</v>
      </c>
      <c r="M46">
        <f t="shared" si="1"/>
        <v>129</v>
      </c>
      <c r="N46">
        <f t="shared" si="2"/>
        <v>626</v>
      </c>
      <c r="O46">
        <f t="shared" si="7"/>
        <v>3</v>
      </c>
    </row>
    <row r="47" spans="1:44">
      <c r="A47" s="329" t="s">
        <v>1085</v>
      </c>
      <c r="B47" s="329" t="s">
        <v>652</v>
      </c>
      <c r="C47" s="330">
        <f>VLOOKUP(B47, 'S14 ABC Output'!$A$3:$C$18, 3, 0)</f>
        <v>25689</v>
      </c>
      <c r="D47" s="330">
        <f>_xlfn.XLOOKUP(B47, 'S18 Operations'!$B$2:$B$534, 'S18 Operations'!$G$2:$G$534, 0, 0)</f>
        <v>200</v>
      </c>
      <c r="E47" s="330">
        <f t="shared" si="3"/>
        <v>129</v>
      </c>
      <c r="F47" s="330">
        <f>VLOOKUP(A47, 'S17 Work Stations'!$A$2:$C$45, 3, 0)</f>
        <v>30</v>
      </c>
      <c r="G47" s="330" cm="1">
        <f t="array" ref="G47">VLOOKUP(A47&amp;"-"&amp;B47, CHOOSE({1,2}, 'S18 Operations'!$D$2:$D$534&amp;"-"&amp;'S18 Operations'!$B$2:$B$534, 'S18 Operations'!$F$2:$F$534), 2, 0)</f>
        <v>300</v>
      </c>
      <c r="H47" s="331">
        <f t="shared" si="4"/>
        <v>5</v>
      </c>
      <c r="I47" s="331">
        <f t="shared" si="5"/>
        <v>132315</v>
      </c>
      <c r="J47" s="331">
        <f t="shared" si="6"/>
        <v>2205.25</v>
      </c>
      <c r="L47">
        <f t="shared" si="0"/>
        <v>3</v>
      </c>
      <c r="M47">
        <f t="shared" si="1"/>
        <v>129</v>
      </c>
      <c r="N47">
        <f t="shared" si="2"/>
        <v>626</v>
      </c>
      <c r="O47">
        <f t="shared" si="7"/>
        <v>3</v>
      </c>
    </row>
    <row r="48" spans="1:44">
      <c r="A48" s="329" t="s">
        <v>1085</v>
      </c>
      <c r="B48" s="329" t="s">
        <v>654</v>
      </c>
      <c r="C48" s="330">
        <f>VLOOKUP(B48, 'S14 ABC Output'!$A$3:$C$18, 3, 0)</f>
        <v>25468</v>
      </c>
      <c r="D48" s="330">
        <f>_xlfn.XLOOKUP(B48, 'S18 Operations'!$B$2:$B$534, 'S18 Operations'!$G$2:$G$534, 0, 0)</f>
        <v>50</v>
      </c>
      <c r="E48" s="330">
        <f t="shared" si="3"/>
        <v>510</v>
      </c>
      <c r="F48" s="330">
        <f>VLOOKUP(A48, 'S17 Work Stations'!$A$2:$C$45, 3, 0)</f>
        <v>30</v>
      </c>
      <c r="G48" s="330" cm="1">
        <f t="array" ref="G48">VLOOKUP(A48&amp;"-"&amp;B48, CHOOSE({1,2}, 'S18 Operations'!$D$2:$D$534&amp;"-"&amp;'S18 Operations'!$B$2:$B$534, 'S18 Operations'!$F$2:$F$534), 2, 0)</f>
        <v>300</v>
      </c>
      <c r="H48" s="331">
        <f t="shared" si="4"/>
        <v>5</v>
      </c>
      <c r="I48" s="331">
        <f t="shared" si="5"/>
        <v>142640</v>
      </c>
      <c r="J48" s="331">
        <f t="shared" si="6"/>
        <v>2377.3333333333335</v>
      </c>
      <c r="L48">
        <f t="shared" si="0"/>
        <v>2</v>
      </c>
      <c r="M48">
        <f t="shared" si="1"/>
        <v>129</v>
      </c>
      <c r="N48">
        <f t="shared" si="2"/>
        <v>626</v>
      </c>
      <c r="O48">
        <f t="shared" si="7"/>
        <v>3</v>
      </c>
    </row>
    <row r="49" spans="1:15">
      <c r="A49" s="329" t="s">
        <v>1087</v>
      </c>
      <c r="B49" s="329" t="s">
        <v>526</v>
      </c>
      <c r="C49" s="330">
        <f>VLOOKUP(B49, 'S14 ABC Output'!$A$3:$C$18, 3, 0)</f>
        <v>250356</v>
      </c>
      <c r="D49" s="330">
        <f>_xlfn.XLOOKUP(B49, 'S18 Operations'!$B$2:$B$534, 'S18 Operations'!$G$2:$G$534, 0, 0)</f>
        <v>200</v>
      </c>
      <c r="E49" s="330">
        <f t="shared" si="3"/>
        <v>1252</v>
      </c>
      <c r="F49" s="330">
        <f>VLOOKUP(A49, 'S17 Work Stations'!$A$2:$C$45, 3, 0)</f>
        <v>20</v>
      </c>
      <c r="G49" s="330" cm="1">
        <f t="array" ref="G49">VLOOKUP(A49&amp;"-"&amp;B49, CHOOSE({1,2}, 'S18 Operations'!$D$2:$D$534&amp;"-"&amp;'S18 Operations'!$B$2:$B$534, 'S18 Operations'!$F$2:$F$534), 2, 0)</f>
        <v>420</v>
      </c>
      <c r="H49" s="331">
        <f t="shared" si="4"/>
        <v>7</v>
      </c>
      <c r="I49" s="331">
        <f t="shared" si="5"/>
        <v>1755072</v>
      </c>
      <c r="J49" s="331">
        <f t="shared" si="6"/>
        <v>29251.200000000001</v>
      </c>
      <c r="L49">
        <f t="shared" si="0"/>
        <v>1</v>
      </c>
      <c r="M49">
        <f t="shared" si="1"/>
        <v>129</v>
      </c>
      <c r="N49">
        <f t="shared" si="2"/>
        <v>1252</v>
      </c>
      <c r="O49">
        <f t="shared" si="7"/>
        <v>3</v>
      </c>
    </row>
    <row r="50" spans="1:15">
      <c r="A50" s="329" t="s">
        <v>1087</v>
      </c>
      <c r="B50" s="329" t="s">
        <v>518</v>
      </c>
      <c r="C50" s="330">
        <f>VLOOKUP(B50, 'S14 ABC Output'!$A$3:$C$18, 3, 0)</f>
        <v>25689</v>
      </c>
      <c r="D50" s="330">
        <f>_xlfn.XLOOKUP(B50, 'S18 Operations'!$B$2:$B$534, 'S18 Operations'!$G$2:$G$534, 0, 0)</f>
        <v>200</v>
      </c>
      <c r="E50" s="330">
        <f t="shared" si="3"/>
        <v>129</v>
      </c>
      <c r="F50" s="330">
        <f>VLOOKUP(A50, 'S17 Work Stations'!$A$2:$C$45, 3, 0)</f>
        <v>20</v>
      </c>
      <c r="G50" s="330" cm="1">
        <f t="array" ref="G50">VLOOKUP(A50&amp;"-"&amp;B50, CHOOSE({1,2}, 'S18 Operations'!$D$2:$D$534&amp;"-"&amp;'S18 Operations'!$B$2:$B$534, 'S18 Operations'!$F$2:$F$534), 2, 0)</f>
        <v>480</v>
      </c>
      <c r="H50" s="331">
        <f t="shared" si="4"/>
        <v>8</v>
      </c>
      <c r="I50" s="331">
        <f t="shared" si="5"/>
        <v>208092</v>
      </c>
      <c r="J50" s="331">
        <f t="shared" si="6"/>
        <v>3468.2</v>
      </c>
      <c r="L50">
        <f t="shared" si="0"/>
        <v>2</v>
      </c>
      <c r="M50">
        <f t="shared" si="1"/>
        <v>129</v>
      </c>
      <c r="N50">
        <f t="shared" si="2"/>
        <v>1252</v>
      </c>
      <c r="O50">
        <f t="shared" si="7"/>
        <v>3</v>
      </c>
    </row>
    <row r="51" spans="1:15">
      <c r="A51" s="329" t="s">
        <v>1087</v>
      </c>
      <c r="B51" s="329" t="s">
        <v>520</v>
      </c>
      <c r="C51" s="330">
        <f>VLOOKUP(B51, 'S14 ABC Output'!$A$3:$C$18, 3, 0)</f>
        <v>25639</v>
      </c>
      <c r="D51" s="330">
        <f>_xlfn.XLOOKUP(B51, 'S18 Operations'!$B$2:$B$534, 'S18 Operations'!$G$2:$G$534, 0, 0)</f>
        <v>200</v>
      </c>
      <c r="E51" s="330">
        <f t="shared" si="3"/>
        <v>129</v>
      </c>
      <c r="F51" s="330">
        <f>VLOOKUP(A51, 'S17 Work Stations'!$A$2:$C$45, 3, 0)</f>
        <v>20</v>
      </c>
      <c r="G51" s="330" cm="1">
        <f t="array" ref="G51">VLOOKUP(A51&amp;"-"&amp;B51, CHOOSE({1,2}, 'S18 Operations'!$D$2:$D$534&amp;"-"&amp;'S18 Operations'!$B$2:$B$534, 'S18 Operations'!$F$2:$F$534), 2, 0)</f>
        <v>120</v>
      </c>
      <c r="H51" s="331">
        <f t="shared" si="4"/>
        <v>2</v>
      </c>
      <c r="I51" s="331">
        <f t="shared" si="5"/>
        <v>53858</v>
      </c>
      <c r="J51" s="331">
        <f t="shared" si="6"/>
        <v>897.63333333333333</v>
      </c>
      <c r="L51">
        <f t="shared" si="0"/>
        <v>2</v>
      </c>
      <c r="M51">
        <f t="shared" si="1"/>
        <v>129</v>
      </c>
      <c r="N51">
        <f t="shared" si="2"/>
        <v>1252</v>
      </c>
      <c r="O51">
        <f t="shared" si="7"/>
        <v>3</v>
      </c>
    </row>
    <row r="52" spans="1:15">
      <c r="A52" s="329" t="s">
        <v>1091</v>
      </c>
      <c r="B52" s="329" t="s">
        <v>634</v>
      </c>
      <c r="C52" s="330">
        <f>VLOOKUP(B52, 'S14 ABC Output'!$A$3:$C$18, 3, 0)</f>
        <v>86542</v>
      </c>
      <c r="D52" s="330">
        <f>_xlfn.XLOOKUP(B52, 'S18 Operations'!$B$2:$B$534, 'S18 Operations'!$G$2:$G$534, 0, 0)</f>
        <v>200</v>
      </c>
      <c r="E52" s="330">
        <f t="shared" si="3"/>
        <v>433</v>
      </c>
      <c r="F52" s="330">
        <f>VLOOKUP(A52, 'S17 Work Stations'!$A$2:$C$45, 3, 0)</f>
        <v>30</v>
      </c>
      <c r="G52" s="330" cm="1">
        <f t="array" ref="G52">VLOOKUP(A52&amp;"-"&amp;B52, CHOOSE({1,2}, 'S18 Operations'!$D$2:$D$534&amp;"-"&amp;'S18 Operations'!$B$2:$B$534, 'S18 Operations'!$F$2:$F$534), 2, 0)</f>
        <v>180</v>
      </c>
      <c r="H52" s="331">
        <f t="shared" si="4"/>
        <v>3</v>
      </c>
      <c r="I52" s="331">
        <f t="shared" si="5"/>
        <v>267846</v>
      </c>
      <c r="J52" s="331">
        <f t="shared" si="6"/>
        <v>4464.1000000000004</v>
      </c>
      <c r="L52">
        <f t="shared" si="0"/>
        <v>1</v>
      </c>
      <c r="M52">
        <f t="shared" si="1"/>
        <v>274</v>
      </c>
      <c r="N52">
        <f t="shared" si="2"/>
        <v>433</v>
      </c>
      <c r="O52">
        <f t="shared" si="7"/>
        <v>2</v>
      </c>
    </row>
    <row r="53" spans="1:15">
      <c r="A53" s="329" t="s">
        <v>1091</v>
      </c>
      <c r="B53" s="329" t="s">
        <v>612</v>
      </c>
      <c r="C53" s="330">
        <f>VLOOKUP(B53, 'S14 ABC Output'!$A$3:$C$18, 3, 0)</f>
        <v>54682</v>
      </c>
      <c r="D53" s="330">
        <f>_xlfn.XLOOKUP(B53, 'S18 Operations'!$B$2:$B$534, 'S18 Operations'!$G$2:$G$534, 0, 0)</f>
        <v>200</v>
      </c>
      <c r="E53" s="330">
        <f t="shared" si="3"/>
        <v>274</v>
      </c>
      <c r="F53" s="330">
        <f>VLOOKUP(A53, 'S17 Work Stations'!$A$2:$C$45, 3, 0)</f>
        <v>30</v>
      </c>
      <c r="G53" s="330" cm="1">
        <f t="array" ref="G53">VLOOKUP(A53&amp;"-"&amp;B53, CHOOSE({1,2}, 'S18 Operations'!$D$2:$D$534&amp;"-"&amp;'S18 Operations'!$B$2:$B$534, 'S18 Operations'!$F$2:$F$534), 2, 0)</f>
        <v>180</v>
      </c>
      <c r="H53" s="331">
        <f t="shared" si="4"/>
        <v>3</v>
      </c>
      <c r="I53" s="331">
        <f t="shared" si="5"/>
        <v>172266</v>
      </c>
      <c r="J53" s="331">
        <f t="shared" si="6"/>
        <v>2871.1</v>
      </c>
      <c r="L53">
        <f t="shared" si="0"/>
        <v>2</v>
      </c>
      <c r="M53">
        <f t="shared" si="1"/>
        <v>274</v>
      </c>
      <c r="N53">
        <f t="shared" si="2"/>
        <v>433</v>
      </c>
      <c r="O53">
        <f t="shared" si="7"/>
        <v>2</v>
      </c>
    </row>
    <row r="54" spans="1:15">
      <c r="A54" s="329" t="s">
        <v>1093</v>
      </c>
      <c r="B54" s="329" t="s">
        <v>580</v>
      </c>
      <c r="C54" s="330">
        <f>VLOOKUP(B54, 'S14 ABC Output'!$A$3:$C$18, 3, 0)</f>
        <v>125036</v>
      </c>
      <c r="D54" s="330">
        <f>_xlfn.XLOOKUP(B54, 'S18 Operations'!$B$2:$B$534, 'S18 Operations'!$G$2:$G$534, 0, 0)</f>
        <v>200</v>
      </c>
      <c r="E54" s="330">
        <f t="shared" si="3"/>
        <v>626</v>
      </c>
      <c r="F54" s="330">
        <f>VLOOKUP(A54, 'S17 Work Stations'!$A$2:$C$45, 3, 0)</f>
        <v>40</v>
      </c>
      <c r="G54" s="330" cm="1">
        <f t="array" ref="G54">VLOOKUP(A54&amp;"-"&amp;B54, CHOOSE({1,2}, 'S18 Operations'!$D$2:$D$534&amp;"-"&amp;'S18 Operations'!$B$2:$B$534, 'S18 Operations'!$F$2:$F$534), 2, 0)</f>
        <v>480</v>
      </c>
      <c r="H54" s="331">
        <f t="shared" si="4"/>
        <v>8</v>
      </c>
      <c r="I54" s="331">
        <f t="shared" si="5"/>
        <v>1020688</v>
      </c>
      <c r="J54" s="331">
        <f t="shared" si="6"/>
        <v>17011.466666666667</v>
      </c>
      <c r="L54">
        <f t="shared" si="0"/>
        <v>1</v>
      </c>
      <c r="M54">
        <f t="shared" si="1"/>
        <v>129</v>
      </c>
      <c r="N54">
        <f t="shared" si="2"/>
        <v>626</v>
      </c>
      <c r="O54">
        <f t="shared" si="7"/>
        <v>7</v>
      </c>
    </row>
    <row r="55" spans="1:15">
      <c r="A55" s="329" t="s">
        <v>1093</v>
      </c>
      <c r="B55" s="329" t="s">
        <v>634</v>
      </c>
      <c r="C55" s="330">
        <f>VLOOKUP(B55, 'S14 ABC Output'!$A$3:$C$18, 3, 0)</f>
        <v>86542</v>
      </c>
      <c r="D55" s="330">
        <f>_xlfn.XLOOKUP(B55, 'S18 Operations'!$B$2:$B$534, 'S18 Operations'!$G$2:$G$534, 0, 0)</f>
        <v>200</v>
      </c>
      <c r="E55" s="330">
        <f t="shared" si="3"/>
        <v>433</v>
      </c>
      <c r="F55" s="330">
        <f>VLOOKUP(A55, 'S17 Work Stations'!$A$2:$C$45, 3, 0)</f>
        <v>40</v>
      </c>
      <c r="G55" s="330" cm="1">
        <f t="array" ref="G55">VLOOKUP(A55&amp;"-"&amp;B55, CHOOSE({1,2}, 'S18 Operations'!$D$2:$D$534&amp;"-"&amp;'S18 Operations'!$B$2:$B$534, 'S18 Operations'!$F$2:$F$534), 2, 0)</f>
        <v>780</v>
      </c>
      <c r="H55" s="331">
        <f t="shared" si="4"/>
        <v>13</v>
      </c>
      <c r="I55" s="331">
        <f t="shared" si="5"/>
        <v>1142366</v>
      </c>
      <c r="J55" s="331">
        <f t="shared" si="6"/>
        <v>19039.433333333334</v>
      </c>
      <c r="L55">
        <f t="shared" si="0"/>
        <v>3</v>
      </c>
      <c r="M55">
        <f t="shared" si="1"/>
        <v>129</v>
      </c>
      <c r="N55">
        <f t="shared" si="2"/>
        <v>626</v>
      </c>
      <c r="O55">
        <f t="shared" si="7"/>
        <v>7</v>
      </c>
    </row>
    <row r="56" spans="1:15">
      <c r="A56" s="329" t="s">
        <v>1093</v>
      </c>
      <c r="B56" s="329" t="s">
        <v>610</v>
      </c>
      <c r="C56" s="330">
        <f>VLOOKUP(B56, 'S14 ABC Output'!$A$3:$C$18, 3, 0)</f>
        <v>85612</v>
      </c>
      <c r="D56" s="330">
        <f>_xlfn.XLOOKUP(B56, 'S18 Operations'!$B$2:$B$534, 'S18 Operations'!$G$2:$G$534, 0, 0)</f>
        <v>200</v>
      </c>
      <c r="E56" s="330">
        <f t="shared" si="3"/>
        <v>429</v>
      </c>
      <c r="F56" s="330">
        <f>VLOOKUP(A56, 'S17 Work Stations'!$A$2:$C$45, 3, 0)</f>
        <v>40</v>
      </c>
      <c r="G56" s="330" cm="1">
        <f t="array" ref="G56">VLOOKUP(A56&amp;"-"&amp;B56, CHOOSE({1,2}, 'S18 Operations'!$D$2:$D$534&amp;"-"&amp;'S18 Operations'!$B$2:$B$534, 'S18 Operations'!$F$2:$F$534), 2, 0)</f>
        <v>180</v>
      </c>
      <c r="H56" s="331">
        <f t="shared" si="4"/>
        <v>3</v>
      </c>
      <c r="I56" s="331">
        <f t="shared" si="5"/>
        <v>273996</v>
      </c>
      <c r="J56" s="331">
        <f t="shared" si="6"/>
        <v>4566.6000000000004</v>
      </c>
      <c r="L56">
        <f t="shared" si="0"/>
        <v>4</v>
      </c>
      <c r="M56">
        <f t="shared" si="1"/>
        <v>129</v>
      </c>
      <c r="N56">
        <f t="shared" si="2"/>
        <v>626</v>
      </c>
      <c r="O56">
        <f t="shared" si="7"/>
        <v>7</v>
      </c>
    </row>
    <row r="57" spans="1:15">
      <c r="A57" s="329" t="s">
        <v>1093</v>
      </c>
      <c r="B57" s="329" t="s">
        <v>612</v>
      </c>
      <c r="C57" s="330">
        <f>VLOOKUP(B57, 'S14 ABC Output'!$A$3:$C$18, 3, 0)</f>
        <v>54682</v>
      </c>
      <c r="D57" s="330">
        <f>_xlfn.XLOOKUP(B57, 'S18 Operations'!$B$2:$B$534, 'S18 Operations'!$G$2:$G$534, 0, 0)</f>
        <v>200</v>
      </c>
      <c r="E57" s="330">
        <f t="shared" si="3"/>
        <v>274</v>
      </c>
      <c r="F57" s="330">
        <f>VLOOKUP(A57, 'S17 Work Stations'!$A$2:$C$45, 3, 0)</f>
        <v>40</v>
      </c>
      <c r="G57" s="330" cm="1">
        <f t="array" ref="G57">VLOOKUP(A57&amp;"-"&amp;B57, CHOOSE({1,2}, 'S18 Operations'!$D$2:$D$534&amp;"-"&amp;'S18 Operations'!$B$2:$B$534, 'S18 Operations'!$F$2:$F$534), 2, 0)</f>
        <v>180</v>
      </c>
      <c r="H57" s="331">
        <f t="shared" si="4"/>
        <v>3</v>
      </c>
      <c r="I57" s="331">
        <f t="shared" si="5"/>
        <v>175006</v>
      </c>
      <c r="J57" s="331">
        <f t="shared" si="6"/>
        <v>2916.7666666666669</v>
      </c>
      <c r="L57">
        <f t="shared" si="0"/>
        <v>5</v>
      </c>
      <c r="M57">
        <f t="shared" si="1"/>
        <v>129</v>
      </c>
      <c r="N57">
        <f t="shared" si="2"/>
        <v>626</v>
      </c>
      <c r="O57">
        <f t="shared" si="7"/>
        <v>7</v>
      </c>
    </row>
    <row r="58" spans="1:15">
      <c r="A58" s="329" t="s">
        <v>1093</v>
      </c>
      <c r="B58" s="329" t="s">
        <v>530</v>
      </c>
      <c r="C58" s="330">
        <f>VLOOKUP(B58, 'S14 ABC Output'!$A$3:$C$18, 3, 0)</f>
        <v>50689</v>
      </c>
      <c r="D58" s="330">
        <f>_xlfn.XLOOKUP(B58, 'S18 Operations'!$B$2:$B$534, 'S18 Operations'!$G$2:$G$534, 0, 0)</f>
        <v>200</v>
      </c>
      <c r="E58" s="330">
        <f t="shared" si="3"/>
        <v>254</v>
      </c>
      <c r="F58" s="330">
        <f>VLOOKUP(A58, 'S17 Work Stations'!$A$2:$C$45, 3, 0)</f>
        <v>40</v>
      </c>
      <c r="G58" s="330" cm="1">
        <f t="array" ref="G58">VLOOKUP(A58&amp;"-"&amp;B58, CHOOSE({1,2}, 'S18 Operations'!$D$2:$D$534&amp;"-"&amp;'S18 Operations'!$B$2:$B$534, 'S18 Operations'!$F$2:$F$534), 2, 0)</f>
        <v>360</v>
      </c>
      <c r="H58" s="331">
        <f t="shared" si="4"/>
        <v>6</v>
      </c>
      <c r="I58" s="331">
        <f t="shared" si="5"/>
        <v>314294</v>
      </c>
      <c r="J58" s="331">
        <f t="shared" si="6"/>
        <v>5238.2333333333336</v>
      </c>
      <c r="L58">
        <f t="shared" si="0"/>
        <v>6</v>
      </c>
      <c r="M58">
        <f t="shared" si="1"/>
        <v>129</v>
      </c>
      <c r="N58">
        <f t="shared" si="2"/>
        <v>626</v>
      </c>
      <c r="O58">
        <f t="shared" si="7"/>
        <v>7</v>
      </c>
    </row>
    <row r="59" spans="1:15">
      <c r="A59" s="329" t="s">
        <v>1093</v>
      </c>
      <c r="B59" s="329" t="s">
        <v>652</v>
      </c>
      <c r="C59" s="330">
        <f>VLOOKUP(B59, 'S14 ABC Output'!$A$3:$C$18, 3, 0)</f>
        <v>25689</v>
      </c>
      <c r="D59" s="330">
        <f>_xlfn.XLOOKUP(B59, 'S18 Operations'!$B$2:$B$534, 'S18 Operations'!$G$2:$G$534, 0, 0)</f>
        <v>200</v>
      </c>
      <c r="E59" s="330">
        <f t="shared" si="3"/>
        <v>129</v>
      </c>
      <c r="F59" s="330">
        <f>VLOOKUP(A59, 'S17 Work Stations'!$A$2:$C$45, 3, 0)</f>
        <v>40</v>
      </c>
      <c r="G59" s="330" cm="1">
        <f t="array" ref="G59">VLOOKUP(A59&amp;"-"&amp;B59, CHOOSE({1,2}, 'S18 Operations'!$D$2:$D$534&amp;"-"&amp;'S18 Operations'!$B$2:$B$534, 'S18 Operations'!$F$2:$F$534), 2, 0)</f>
        <v>180</v>
      </c>
      <c r="H59" s="331">
        <f t="shared" si="4"/>
        <v>3</v>
      </c>
      <c r="I59" s="331">
        <f t="shared" si="5"/>
        <v>82227</v>
      </c>
      <c r="J59" s="331">
        <f t="shared" si="6"/>
        <v>1370.45</v>
      </c>
      <c r="L59">
        <f t="shared" si="0"/>
        <v>7</v>
      </c>
      <c r="M59">
        <f t="shared" si="1"/>
        <v>129</v>
      </c>
      <c r="N59">
        <f t="shared" si="2"/>
        <v>626</v>
      </c>
      <c r="O59">
        <f t="shared" si="7"/>
        <v>7</v>
      </c>
    </row>
    <row r="60" spans="1:15">
      <c r="A60" s="329" t="s">
        <v>1093</v>
      </c>
      <c r="B60" s="329" t="s">
        <v>654</v>
      </c>
      <c r="C60" s="330">
        <f>VLOOKUP(B60, 'S14 ABC Output'!$A$3:$C$18, 3, 0)</f>
        <v>25468</v>
      </c>
      <c r="D60" s="330">
        <f>_xlfn.XLOOKUP(B60, 'S18 Operations'!$B$2:$B$534, 'S18 Operations'!$G$2:$G$534, 0, 0)</f>
        <v>50</v>
      </c>
      <c r="E60" s="330">
        <f t="shared" si="3"/>
        <v>510</v>
      </c>
      <c r="F60" s="330">
        <f>VLOOKUP(A60, 'S17 Work Stations'!$A$2:$C$45, 3, 0)</f>
        <v>40</v>
      </c>
      <c r="G60" s="330" cm="1">
        <f t="array" ref="G60">VLOOKUP(A60&amp;"-"&amp;B60, CHOOSE({1,2}, 'S18 Operations'!$D$2:$D$534&amp;"-"&amp;'S18 Operations'!$B$2:$B$534, 'S18 Operations'!$F$2:$F$534), 2, 0)</f>
        <v>300</v>
      </c>
      <c r="H60" s="331">
        <f t="shared" si="4"/>
        <v>5</v>
      </c>
      <c r="I60" s="331">
        <f t="shared" si="5"/>
        <v>147740</v>
      </c>
      <c r="J60" s="331">
        <f t="shared" si="6"/>
        <v>2462.3333333333335</v>
      </c>
      <c r="L60">
        <f t="shared" si="0"/>
        <v>2</v>
      </c>
      <c r="M60">
        <f t="shared" si="1"/>
        <v>129</v>
      </c>
      <c r="N60">
        <f t="shared" si="2"/>
        <v>626</v>
      </c>
      <c r="O60">
        <f t="shared" si="7"/>
        <v>7</v>
      </c>
    </row>
    <row r="61" spans="1:15">
      <c r="A61" s="329" t="s">
        <v>1094</v>
      </c>
      <c r="B61" s="329" t="s">
        <v>526</v>
      </c>
      <c r="C61" s="330">
        <f>VLOOKUP(B61, 'S14 ABC Output'!$A$3:$C$18, 3, 0)</f>
        <v>250356</v>
      </c>
      <c r="D61" s="330">
        <f>_xlfn.XLOOKUP(B61, 'S18 Operations'!$B$2:$B$534, 'S18 Operations'!$G$2:$G$534, 0, 0)</f>
        <v>200</v>
      </c>
      <c r="E61" s="330">
        <f t="shared" si="3"/>
        <v>1252</v>
      </c>
      <c r="F61" s="330">
        <f>VLOOKUP(A61, 'S17 Work Stations'!$A$2:$C$45, 3, 0)</f>
        <v>30</v>
      </c>
      <c r="G61" s="330" cm="1">
        <f t="array" ref="G61">VLOOKUP(A61&amp;"-"&amp;B61, CHOOSE({1,2}, 'S18 Operations'!$D$2:$D$534&amp;"-"&amp;'S18 Operations'!$B$2:$B$534, 'S18 Operations'!$F$2:$F$534), 2, 0)</f>
        <v>180</v>
      </c>
      <c r="H61" s="331">
        <f t="shared" si="4"/>
        <v>3</v>
      </c>
      <c r="I61" s="331">
        <f t="shared" si="5"/>
        <v>754938</v>
      </c>
      <c r="J61" s="331">
        <f t="shared" si="6"/>
        <v>12582.3</v>
      </c>
      <c r="L61">
        <f t="shared" si="0"/>
        <v>1</v>
      </c>
      <c r="M61">
        <f t="shared" si="1"/>
        <v>129</v>
      </c>
      <c r="N61">
        <f t="shared" si="2"/>
        <v>1252</v>
      </c>
      <c r="O61">
        <f t="shared" si="7"/>
        <v>3</v>
      </c>
    </row>
    <row r="62" spans="1:15">
      <c r="A62" s="329" t="s">
        <v>1094</v>
      </c>
      <c r="B62" s="329" t="s">
        <v>518</v>
      </c>
      <c r="C62" s="330">
        <f>VLOOKUP(B62, 'S14 ABC Output'!$A$3:$C$18, 3, 0)</f>
        <v>25689</v>
      </c>
      <c r="D62" s="330">
        <f>_xlfn.XLOOKUP(B62, 'S18 Operations'!$B$2:$B$534, 'S18 Operations'!$G$2:$G$534, 0, 0)</f>
        <v>200</v>
      </c>
      <c r="E62" s="330">
        <f t="shared" si="3"/>
        <v>129</v>
      </c>
      <c r="F62" s="330">
        <f>VLOOKUP(A62, 'S17 Work Stations'!$A$2:$C$45, 3, 0)</f>
        <v>30</v>
      </c>
      <c r="G62" s="330" cm="1">
        <f t="array" ref="G62">VLOOKUP(A62&amp;"-"&amp;B62, CHOOSE({1,2}, 'S18 Operations'!$D$2:$D$534&amp;"-"&amp;'S18 Operations'!$B$2:$B$534, 'S18 Operations'!$F$2:$F$534), 2, 0)</f>
        <v>600</v>
      </c>
      <c r="H62" s="331">
        <f t="shared" si="4"/>
        <v>10</v>
      </c>
      <c r="I62" s="331">
        <f t="shared" si="5"/>
        <v>260760</v>
      </c>
      <c r="J62" s="331">
        <f t="shared" si="6"/>
        <v>4346</v>
      </c>
      <c r="L62">
        <f t="shared" si="0"/>
        <v>2</v>
      </c>
      <c r="M62">
        <f t="shared" si="1"/>
        <v>129</v>
      </c>
      <c r="N62">
        <f t="shared" si="2"/>
        <v>1252</v>
      </c>
      <c r="O62">
        <f t="shared" si="7"/>
        <v>3</v>
      </c>
    </row>
    <row r="63" spans="1:15">
      <c r="A63" s="329" t="s">
        <v>1094</v>
      </c>
      <c r="B63" s="329" t="s">
        <v>520</v>
      </c>
      <c r="C63" s="330">
        <f>VLOOKUP(B63, 'S14 ABC Output'!$A$3:$C$18, 3, 0)</f>
        <v>25639</v>
      </c>
      <c r="D63" s="330">
        <f>_xlfn.XLOOKUP(B63, 'S18 Operations'!$B$2:$B$534, 'S18 Operations'!$G$2:$G$534, 0, 0)</f>
        <v>200</v>
      </c>
      <c r="E63" s="330">
        <f t="shared" si="3"/>
        <v>129</v>
      </c>
      <c r="F63" s="330">
        <f>VLOOKUP(A63, 'S17 Work Stations'!$A$2:$C$45, 3, 0)</f>
        <v>30</v>
      </c>
      <c r="G63" s="330" cm="1">
        <f t="array" ref="G63">VLOOKUP(A63&amp;"-"&amp;B63, CHOOSE({1,2}, 'S18 Operations'!$D$2:$D$534&amp;"-"&amp;'S18 Operations'!$B$2:$B$534, 'S18 Operations'!$F$2:$F$534), 2, 0)</f>
        <v>180</v>
      </c>
      <c r="H63" s="331">
        <f t="shared" si="4"/>
        <v>3</v>
      </c>
      <c r="I63" s="331">
        <f t="shared" si="5"/>
        <v>80787</v>
      </c>
      <c r="J63" s="331">
        <f t="shared" si="6"/>
        <v>1346.45</v>
      </c>
      <c r="L63">
        <f t="shared" si="0"/>
        <v>2</v>
      </c>
      <c r="M63">
        <f t="shared" si="1"/>
        <v>129</v>
      </c>
      <c r="N63">
        <f t="shared" si="2"/>
        <v>1252</v>
      </c>
      <c r="O63">
        <f t="shared" si="7"/>
        <v>3</v>
      </c>
    </row>
    <row r="64" spans="1:15">
      <c r="A64" s="329" t="s">
        <v>1096</v>
      </c>
      <c r="B64" s="329" t="s">
        <v>514</v>
      </c>
      <c r="C64" s="330">
        <f>VLOOKUP(B64, 'S14 ABC Output'!$A$3:$C$18, 3, 0)</f>
        <v>215425</v>
      </c>
      <c r="D64" s="330">
        <f>_xlfn.XLOOKUP(B64, 'S18 Operations'!$B$2:$B$534, 'S18 Operations'!$G$2:$G$534, 0, 0)</f>
        <v>200</v>
      </c>
      <c r="E64" s="330">
        <f t="shared" si="3"/>
        <v>1078</v>
      </c>
      <c r="F64" s="330">
        <f>VLOOKUP(A64, 'S17 Work Stations'!$A$2:$C$45, 3, 0)</f>
        <v>35</v>
      </c>
      <c r="G64" s="330" cm="1">
        <f t="array" ref="G64">VLOOKUP(A64&amp;"-"&amp;B64, CHOOSE({1,2}, 'S18 Operations'!$D$2:$D$534&amp;"-"&amp;'S18 Operations'!$B$2:$B$534, 'S18 Operations'!$F$2:$F$534), 2, 0)</f>
        <v>600</v>
      </c>
      <c r="H64" s="331">
        <f t="shared" si="4"/>
        <v>10</v>
      </c>
      <c r="I64" s="331">
        <f t="shared" si="5"/>
        <v>2165695</v>
      </c>
      <c r="J64" s="331">
        <f t="shared" si="6"/>
        <v>36094.916666666664</v>
      </c>
      <c r="L64">
        <f t="shared" si="0"/>
        <v>1</v>
      </c>
      <c r="M64">
        <f t="shared" si="1"/>
        <v>129</v>
      </c>
      <c r="N64">
        <f t="shared" si="2"/>
        <v>1078</v>
      </c>
      <c r="O64">
        <f t="shared" si="7"/>
        <v>6</v>
      </c>
    </row>
    <row r="65" spans="1:15">
      <c r="A65" s="329" t="s">
        <v>1096</v>
      </c>
      <c r="B65" s="329" t="s">
        <v>642</v>
      </c>
      <c r="C65" s="330">
        <f>VLOOKUP(B65, 'S14 ABC Output'!$A$3:$C$18, 3, 0)</f>
        <v>65248</v>
      </c>
      <c r="D65" s="330">
        <f>_xlfn.XLOOKUP(B65, 'S18 Operations'!$B$2:$B$534, 'S18 Operations'!$G$2:$G$534, 0, 0)</f>
        <v>200</v>
      </c>
      <c r="E65" s="330">
        <f t="shared" si="3"/>
        <v>327</v>
      </c>
      <c r="F65" s="330">
        <f>VLOOKUP(A65, 'S17 Work Stations'!$A$2:$C$45, 3, 0)</f>
        <v>35</v>
      </c>
      <c r="G65" s="330" cm="1">
        <f t="array" ref="G65">VLOOKUP(A65&amp;"-"&amp;B65, CHOOSE({1,2}, 'S18 Operations'!$D$2:$D$534&amp;"-"&amp;'S18 Operations'!$B$2:$B$534, 'S18 Operations'!$F$2:$F$534), 2, 0)</f>
        <v>480</v>
      </c>
      <c r="H65" s="331">
        <f t="shared" si="4"/>
        <v>8</v>
      </c>
      <c r="I65" s="331">
        <f t="shared" si="5"/>
        <v>533429</v>
      </c>
      <c r="J65" s="331">
        <f t="shared" si="6"/>
        <v>8890.4833333333336</v>
      </c>
      <c r="L65">
        <f t="shared" si="0"/>
        <v>2</v>
      </c>
      <c r="M65">
        <f t="shared" si="1"/>
        <v>129</v>
      </c>
      <c r="N65">
        <f t="shared" si="2"/>
        <v>1078</v>
      </c>
      <c r="O65">
        <f t="shared" si="7"/>
        <v>6</v>
      </c>
    </row>
    <row r="66" spans="1:15">
      <c r="A66" s="329" t="s">
        <v>1096</v>
      </c>
      <c r="B66" s="329" t="s">
        <v>638</v>
      </c>
      <c r="C66" s="330">
        <f>VLOOKUP(B66, 'S14 ABC Output'!$A$3:$C$18, 3, 0)</f>
        <v>45896</v>
      </c>
      <c r="D66" s="330">
        <f>_xlfn.XLOOKUP(B66, 'S18 Operations'!$B$2:$B$534, 'S18 Operations'!$G$2:$G$534, 0, 0)</f>
        <v>200</v>
      </c>
      <c r="E66" s="330">
        <f t="shared" si="3"/>
        <v>230</v>
      </c>
      <c r="F66" s="330">
        <f>VLOOKUP(A66, 'S17 Work Stations'!$A$2:$C$45, 3, 0)</f>
        <v>35</v>
      </c>
      <c r="G66" s="330" cm="1">
        <f t="array" ref="G66">VLOOKUP(A66&amp;"-"&amp;B66, CHOOSE({1,2}, 'S18 Operations'!$D$2:$D$534&amp;"-"&amp;'S18 Operations'!$B$2:$B$534, 'S18 Operations'!$F$2:$F$534), 2, 0)</f>
        <v>3600</v>
      </c>
      <c r="H66" s="331">
        <f t="shared" si="4"/>
        <v>60</v>
      </c>
      <c r="I66" s="331">
        <f t="shared" si="5"/>
        <v>2761810</v>
      </c>
      <c r="J66" s="331">
        <f t="shared" si="6"/>
        <v>46030.166666666664</v>
      </c>
      <c r="L66">
        <f t="shared" ref="L66:L118" si="11">RANK(HLOOKUP(A66,$S$19:$AR$36,MATCH(E66,INDEX($S$19:$AR$35, ,HLOOKUP(A66,$S$19:$AR$36,18,0)),0),0),INDEX($S$19:$AR$35, ,HLOOKUP(A66,$S$19:$AR$36,18,0)),0)</f>
        <v>3</v>
      </c>
      <c r="M66">
        <f t="shared" ref="M66:M118" si="12">MIN(_xlfn.IFS($A66=$S$2,$S$3:$S$18, $A66=$T$2,$T$3:$T$18, $A66=$U$2,$U$3:$U$18, $A66=$V$2,$V$3:$V$18, $A66=$W$2,$W$3:$W$18, $A66=$X$2, $X$3:$X$18, $A66=$Y$2,$Y$3:$Y$18, $A66=$Z$2,$Z$3:$Z$18, $A66=$AA$2,$AA$3:$AA$18, $A66=$AB$2,$AB$3:$AB$18, $A66=$AC$2,$AC$3:$AC$18, $A66=$AD$2,$AD$3:$AD$18, $A66=$AE$2,$AE$3:$AE$18, $A66=$AF$2,$AF$3:$AF$18, $A66=$AG$2,$AG$3:$AG$18, $A66=$AH$2,$AH$3:$AH$18, $A66=$AI$2,$AI$3:$AI$18, $A66=$AJ$2,$AJ$3:$AJ$18, $A66=$AK$2,$AK$3:$AK$18, $A66=$AL$2,$AL$3:$AL$18, $A66=$AM$2,$AM$3:$AM$18, $A66=$AN$2,$AN$3:$AN$18, $A66=$AO$2,$AO$3:$AO$18, $A66=$AP$2,$AP$3:$AP$18, $A66=$AQ$2,$AQ$3:$AQ$18, $A66=$AR$2,$AR$3:$AR$18))</f>
        <v>129</v>
      </c>
      <c r="N66">
        <f t="shared" ref="N66:N118" si="13">MAX(_xlfn.IFS($A66=$S$2,$S$3:$S$18, $A66=$T$2,$T$3:$T$18, $A66=$U$2,$U$3:$U$18, $A66=$V$2,$V$3:$V$18, $A66=$W$2,$W$3:$W$18, $A66=$X$2, $X$3:$X$18, $A66=$Y$2,$Y$3:$Y$18, $A66=$Z$2,$Z$3:$Z$18, $A66=$AA$2,$AA$3:$AA$18, $A66=$AB$2,$AB$3:$AB$18, $A66=$AC$2,$AC$3:$AC$18, $A66=$AD$2,$AD$3:$AD$18, $A66=$AE$2,$AE$3:$AE$18, $A66=$AF$2,$AF$3:$AF$18, $A66=$AG$2,$AG$3:$AG$18, $A66=$AH$2,$AH$3:$AH$18, $A66=$AI$2,$AI$3:$AI$18, $A66=$AJ$2,$AJ$3:$AJ$18, $A66=$AK$2,$AK$3:$AK$18, $A66=$AL$2,$AL$3:$AL$18, $A66=$AM$2,$AM$3:$AM$18, $A66=$AN$2,$AN$3:$AN$18, $A66=$AO$2,$AO$3:$AO$18, $A66=$AP$2,$AP$3:$AP$18, $A66=$AQ$2,$AQ$3:$AQ$18, $A66=$AR$2,$AR$3:$AR$18))</f>
        <v>1078</v>
      </c>
      <c r="O66">
        <f t="shared" si="7"/>
        <v>6</v>
      </c>
    </row>
    <row r="67" spans="1:15">
      <c r="A67" s="329" t="s">
        <v>1096</v>
      </c>
      <c r="B67" s="329" t="s">
        <v>644</v>
      </c>
      <c r="C67" s="330">
        <f>VLOOKUP(B67, 'S14 ABC Output'!$A$3:$C$18, 3, 0)</f>
        <v>36524</v>
      </c>
      <c r="D67" s="330">
        <f>_xlfn.XLOOKUP(B67, 'S18 Operations'!$B$2:$B$534, 'S18 Operations'!$G$2:$G$534, 0, 0)</f>
        <v>200</v>
      </c>
      <c r="E67" s="330">
        <f t="shared" ref="E67:E118" si="14">ROUNDUP(C67/D67, 0)</f>
        <v>183</v>
      </c>
      <c r="F67" s="330">
        <f>VLOOKUP(A67, 'S17 Work Stations'!$A$2:$C$45, 3, 0)</f>
        <v>35</v>
      </c>
      <c r="G67" s="330" cm="1">
        <f t="array" ref="G67">VLOOKUP(A67&amp;"-"&amp;B67, CHOOSE({1,2}, 'S18 Operations'!$D$2:$D$534&amp;"-"&amp;'S18 Operations'!$B$2:$B$534, 'S18 Operations'!$F$2:$F$534), 2, 0)</f>
        <v>900</v>
      </c>
      <c r="H67" s="331">
        <f t="shared" ref="H67:H118" si="15">G67/60</f>
        <v>15</v>
      </c>
      <c r="I67" s="331">
        <f t="shared" ref="I67:I118" si="16">(H67*C67)+(F67*(IF(O67=1, 0, HLOOKUP(A67, $S$19:$AR$35, L67+IF(E67=N67, 2, 1), 0))))</f>
        <v>554265</v>
      </c>
      <c r="J67" s="331">
        <f t="shared" ref="J67:J118" si="17">I67/60</f>
        <v>9237.75</v>
      </c>
      <c r="L67">
        <f t="shared" si="11"/>
        <v>4</v>
      </c>
      <c r="M67">
        <f t="shared" si="12"/>
        <v>129</v>
      </c>
      <c r="N67">
        <f t="shared" si="13"/>
        <v>1078</v>
      </c>
      <c r="O67">
        <f t="shared" ref="O67:O117" si="18">COUNT(_xlfn.IFS($A67=$S$2,$S$3:$S$18, $A67=$T$2,$T$3:$T$18, $A67=$U$2,$U$3:$U$18, $A67=$V$2,$V$3:$V$18, $A67=$W$2,$W$3:$W$18, $A67=$X$2, $X$3:$X$18, $A67=$Y$2,$Y$3:$Y$18, $A67=$Z$2,$Z$3:$Z$18, $A67=$AA$2,$AA$3:$AA$18, $A67=$AB$2,$AB$3:$AB$18, $A67=$AC$2,$AC$3:$AC$18, $A67=$AD$2,$AD$3:$AD$18, $A67=$AE$2,$AE$3:$AE$18, $A67=$AF$2,$AF$3:$AF$18, $A67=$AG$2,$AG$3:$AG$18, $A67=$AH$2,$AH$3:$AH$18, $A67=$AI$2,$AI$3:$AI$18, $A67=$AJ$2,$AJ$3:$AJ$18, $A67=$AK$2,$AK$3:$AK$18, $A67=$AL$2,$AL$3:$AL$18, $A67=$AM$2,$AM$3:$AM$18, $A67=$AN$2,$AN$3:$AN$18, $A67=$AO$2,$AO$3:$AO$18, $A67=$AP$2,$AP$3:$AP$18, $A67=$AQ$2,$AQ$3:$AQ$18, $A67=$AR$2,$AR$3:$AR$18))</f>
        <v>6</v>
      </c>
    </row>
    <row r="68" spans="1:15">
      <c r="A68" s="329" t="s">
        <v>1096</v>
      </c>
      <c r="B68" s="329" t="s">
        <v>646</v>
      </c>
      <c r="C68" s="330">
        <f>VLOOKUP(B68, 'S14 ABC Output'!$A$3:$C$18, 3, 0)</f>
        <v>36502</v>
      </c>
      <c r="D68" s="330">
        <f>_xlfn.XLOOKUP(B68, 'S18 Operations'!$B$2:$B$534, 'S18 Operations'!$G$2:$G$534, 0, 0)</f>
        <v>200</v>
      </c>
      <c r="E68" s="330">
        <f t="shared" si="14"/>
        <v>183</v>
      </c>
      <c r="F68" s="330">
        <f>VLOOKUP(A68, 'S17 Work Stations'!$A$2:$C$45, 3, 0)</f>
        <v>35</v>
      </c>
      <c r="G68" s="330" cm="1">
        <f t="array" ref="G68">VLOOKUP(A68&amp;"-"&amp;B68, CHOOSE({1,2}, 'S18 Operations'!$D$2:$D$534&amp;"-"&amp;'S18 Operations'!$B$2:$B$534, 'S18 Operations'!$F$2:$F$534), 2, 0)</f>
        <v>240</v>
      </c>
      <c r="H68" s="331">
        <f t="shared" si="15"/>
        <v>4</v>
      </c>
      <c r="I68" s="331">
        <f t="shared" si="16"/>
        <v>152413</v>
      </c>
      <c r="J68" s="331">
        <f t="shared" si="17"/>
        <v>2540.2166666666667</v>
      </c>
      <c r="L68">
        <f t="shared" si="11"/>
        <v>4</v>
      </c>
      <c r="M68">
        <f t="shared" si="12"/>
        <v>129</v>
      </c>
      <c r="N68">
        <f t="shared" si="13"/>
        <v>1078</v>
      </c>
      <c r="O68">
        <f t="shared" si="18"/>
        <v>6</v>
      </c>
    </row>
    <row r="69" spans="1:15">
      <c r="A69" s="329" t="s">
        <v>1096</v>
      </c>
      <c r="B69" s="329" t="s">
        <v>648</v>
      </c>
      <c r="C69" s="330">
        <f>VLOOKUP(B69, 'S14 ABC Output'!$A$3:$C$18, 3, 0)</f>
        <v>25649</v>
      </c>
      <c r="D69" s="330">
        <f>_xlfn.XLOOKUP(B69, 'S18 Operations'!$B$2:$B$534, 'S18 Operations'!$G$2:$G$534, 0, 0)</f>
        <v>200</v>
      </c>
      <c r="E69" s="330">
        <f t="shared" si="14"/>
        <v>129</v>
      </c>
      <c r="F69" s="330">
        <f>VLOOKUP(A69, 'S17 Work Stations'!$A$2:$C$45, 3, 0)</f>
        <v>35</v>
      </c>
      <c r="G69" s="330" cm="1">
        <f t="array" ref="G69">VLOOKUP(A69&amp;"-"&amp;B69, CHOOSE({1,2}, 'S18 Operations'!$D$2:$D$534&amp;"-"&amp;'S18 Operations'!$B$2:$B$534, 'S18 Operations'!$F$2:$F$534), 2, 0)</f>
        <v>480</v>
      </c>
      <c r="H69" s="331">
        <f t="shared" si="15"/>
        <v>8</v>
      </c>
      <c r="I69" s="331">
        <f t="shared" si="16"/>
        <v>209707</v>
      </c>
      <c r="J69" s="331">
        <f t="shared" si="17"/>
        <v>3495.1166666666668</v>
      </c>
      <c r="L69">
        <f t="shared" si="11"/>
        <v>6</v>
      </c>
      <c r="M69">
        <f t="shared" si="12"/>
        <v>129</v>
      </c>
      <c r="N69">
        <f t="shared" si="13"/>
        <v>1078</v>
      </c>
      <c r="O69">
        <f t="shared" si="18"/>
        <v>6</v>
      </c>
    </row>
    <row r="70" spans="1:15">
      <c r="A70" s="329" t="s">
        <v>1100</v>
      </c>
      <c r="B70" s="329" t="s">
        <v>514</v>
      </c>
      <c r="C70" s="330">
        <f>VLOOKUP(B70, 'S14 ABC Output'!$A$3:$C$18, 3, 0)</f>
        <v>215425</v>
      </c>
      <c r="D70" s="330">
        <f>_xlfn.XLOOKUP(B70, 'S18 Operations'!$B$2:$B$534, 'S18 Operations'!$G$2:$G$534, 0, 0)</f>
        <v>200</v>
      </c>
      <c r="E70" s="330">
        <f t="shared" si="14"/>
        <v>1078</v>
      </c>
      <c r="F70" s="330">
        <f>VLOOKUP(A70, 'S17 Work Stations'!$A$2:$C$45, 3, 0)</f>
        <v>40</v>
      </c>
      <c r="G70" s="330" cm="1">
        <f t="array" ref="G70">VLOOKUP(A70&amp;"-"&amp;B70, CHOOSE({1,2}, 'S18 Operations'!$D$2:$D$534&amp;"-"&amp;'S18 Operations'!$B$2:$B$534, 'S18 Operations'!$F$2:$F$534), 2, 0)</f>
        <v>120</v>
      </c>
      <c r="H70" s="331">
        <f t="shared" si="15"/>
        <v>2</v>
      </c>
      <c r="I70" s="331">
        <f t="shared" si="16"/>
        <v>443930</v>
      </c>
      <c r="J70" s="331">
        <f t="shared" si="17"/>
        <v>7398.833333333333</v>
      </c>
      <c r="L70">
        <f t="shared" si="11"/>
        <v>1</v>
      </c>
      <c r="M70">
        <f t="shared" si="12"/>
        <v>129</v>
      </c>
      <c r="N70">
        <f t="shared" si="13"/>
        <v>1078</v>
      </c>
      <c r="O70">
        <f t="shared" si="18"/>
        <v>6</v>
      </c>
    </row>
    <row r="71" spans="1:15">
      <c r="A71" s="329" t="s">
        <v>1100</v>
      </c>
      <c r="B71" s="329" t="s">
        <v>642</v>
      </c>
      <c r="C71" s="330">
        <f>VLOOKUP(B71, 'S14 ABC Output'!$A$3:$C$18, 3, 0)</f>
        <v>65248</v>
      </c>
      <c r="D71" s="330">
        <f>_xlfn.XLOOKUP(B71, 'S18 Operations'!$B$2:$B$534, 'S18 Operations'!$G$2:$G$534, 0, 0)</f>
        <v>200</v>
      </c>
      <c r="E71" s="330">
        <f t="shared" si="14"/>
        <v>327</v>
      </c>
      <c r="F71" s="330">
        <f>VLOOKUP(A71, 'S17 Work Stations'!$A$2:$C$45, 3, 0)</f>
        <v>40</v>
      </c>
      <c r="G71" s="330" cm="1">
        <f t="array" ref="G71">VLOOKUP(A71&amp;"-"&amp;B71, CHOOSE({1,2}, 'S18 Operations'!$D$2:$D$534&amp;"-"&amp;'S18 Operations'!$B$2:$B$534, 'S18 Operations'!$F$2:$F$534), 2, 0)</f>
        <v>120</v>
      </c>
      <c r="H71" s="331">
        <f t="shared" si="15"/>
        <v>2</v>
      </c>
      <c r="I71" s="331">
        <f t="shared" si="16"/>
        <v>143576</v>
      </c>
      <c r="J71" s="331">
        <f t="shared" si="17"/>
        <v>2392.9333333333334</v>
      </c>
      <c r="L71">
        <f t="shared" si="11"/>
        <v>2</v>
      </c>
      <c r="M71">
        <f t="shared" si="12"/>
        <v>129</v>
      </c>
      <c r="N71">
        <f t="shared" si="13"/>
        <v>1078</v>
      </c>
      <c r="O71">
        <f t="shared" si="18"/>
        <v>6</v>
      </c>
    </row>
    <row r="72" spans="1:15">
      <c r="A72" s="329" t="s">
        <v>1100</v>
      </c>
      <c r="B72" s="329" t="s">
        <v>638</v>
      </c>
      <c r="C72" s="330">
        <f>VLOOKUP(B72, 'S14 ABC Output'!$A$3:$C$18, 3, 0)</f>
        <v>45896</v>
      </c>
      <c r="D72" s="330">
        <f>_xlfn.XLOOKUP(B72, 'S18 Operations'!$B$2:$B$534, 'S18 Operations'!$G$2:$G$534, 0, 0)</f>
        <v>200</v>
      </c>
      <c r="E72" s="330">
        <f t="shared" si="14"/>
        <v>230</v>
      </c>
      <c r="F72" s="330">
        <f>VLOOKUP(A72, 'S17 Work Stations'!$A$2:$C$45, 3, 0)</f>
        <v>40</v>
      </c>
      <c r="G72" s="330" cm="1">
        <f t="array" ref="G72">VLOOKUP(A72&amp;"-"&amp;B72, CHOOSE({1,2}, 'S18 Operations'!$D$2:$D$534&amp;"-"&amp;'S18 Operations'!$B$2:$B$534, 'S18 Operations'!$F$2:$F$534), 2, 0)</f>
        <v>120</v>
      </c>
      <c r="H72" s="331">
        <f t="shared" si="15"/>
        <v>2</v>
      </c>
      <c r="I72" s="331">
        <f t="shared" si="16"/>
        <v>100992</v>
      </c>
      <c r="J72" s="331">
        <f t="shared" si="17"/>
        <v>1683.2</v>
      </c>
      <c r="L72">
        <f t="shared" si="11"/>
        <v>3</v>
      </c>
      <c r="M72">
        <f t="shared" si="12"/>
        <v>129</v>
      </c>
      <c r="N72">
        <f t="shared" si="13"/>
        <v>1078</v>
      </c>
      <c r="O72">
        <f t="shared" si="18"/>
        <v>6</v>
      </c>
    </row>
    <row r="73" spans="1:15">
      <c r="A73" s="329" t="s">
        <v>1100</v>
      </c>
      <c r="B73" s="329" t="s">
        <v>644</v>
      </c>
      <c r="C73" s="330">
        <f>VLOOKUP(B73, 'S14 ABC Output'!$A$3:$C$18, 3, 0)</f>
        <v>36524</v>
      </c>
      <c r="D73" s="330">
        <f>_xlfn.XLOOKUP(B73, 'S18 Operations'!$B$2:$B$534, 'S18 Operations'!$G$2:$G$534, 0, 0)</f>
        <v>200</v>
      </c>
      <c r="E73" s="330">
        <f t="shared" si="14"/>
        <v>183</v>
      </c>
      <c r="F73" s="330">
        <f>VLOOKUP(A73, 'S17 Work Stations'!$A$2:$C$45, 3, 0)</f>
        <v>40</v>
      </c>
      <c r="G73" s="330" cm="1">
        <f t="array" ref="G73">VLOOKUP(A73&amp;"-"&amp;B73, CHOOSE({1,2}, 'S18 Operations'!$D$2:$D$534&amp;"-"&amp;'S18 Operations'!$B$2:$B$534, 'S18 Operations'!$F$2:$F$534), 2, 0)</f>
        <v>60</v>
      </c>
      <c r="H73" s="331">
        <f t="shared" si="15"/>
        <v>1</v>
      </c>
      <c r="I73" s="331">
        <f t="shared" si="16"/>
        <v>43844</v>
      </c>
      <c r="J73" s="331">
        <f t="shared" si="17"/>
        <v>730.73333333333335</v>
      </c>
      <c r="L73">
        <f t="shared" si="11"/>
        <v>4</v>
      </c>
      <c r="M73">
        <f t="shared" si="12"/>
        <v>129</v>
      </c>
      <c r="N73">
        <f t="shared" si="13"/>
        <v>1078</v>
      </c>
      <c r="O73">
        <f t="shared" si="18"/>
        <v>6</v>
      </c>
    </row>
    <row r="74" spans="1:15">
      <c r="A74" s="329" t="s">
        <v>1100</v>
      </c>
      <c r="B74" s="329" t="s">
        <v>646</v>
      </c>
      <c r="C74" s="330">
        <f>VLOOKUP(B74, 'S14 ABC Output'!$A$3:$C$18, 3, 0)</f>
        <v>36502</v>
      </c>
      <c r="D74" s="330">
        <f>_xlfn.XLOOKUP(B74, 'S18 Operations'!$B$2:$B$534, 'S18 Operations'!$G$2:$G$534, 0, 0)</f>
        <v>200</v>
      </c>
      <c r="E74" s="330">
        <f t="shared" si="14"/>
        <v>183</v>
      </c>
      <c r="F74" s="330">
        <f>VLOOKUP(A74, 'S17 Work Stations'!$A$2:$C$45, 3, 0)</f>
        <v>40</v>
      </c>
      <c r="G74" s="330" cm="1">
        <f t="array" ref="G74">VLOOKUP(A74&amp;"-"&amp;B74, CHOOSE({1,2}, 'S18 Operations'!$D$2:$D$534&amp;"-"&amp;'S18 Operations'!$B$2:$B$534, 'S18 Operations'!$F$2:$F$534), 2, 0)</f>
        <v>120</v>
      </c>
      <c r="H74" s="331">
        <f t="shared" si="15"/>
        <v>2</v>
      </c>
      <c r="I74" s="331">
        <f t="shared" si="16"/>
        <v>80324</v>
      </c>
      <c r="J74" s="331">
        <f t="shared" si="17"/>
        <v>1338.7333333333333</v>
      </c>
      <c r="L74">
        <f t="shared" si="11"/>
        <v>4</v>
      </c>
      <c r="M74">
        <f t="shared" si="12"/>
        <v>129</v>
      </c>
      <c r="N74">
        <f t="shared" si="13"/>
        <v>1078</v>
      </c>
      <c r="O74">
        <f t="shared" si="18"/>
        <v>6</v>
      </c>
    </row>
    <row r="75" spans="1:15">
      <c r="A75" s="329" t="s">
        <v>1100</v>
      </c>
      <c r="B75" s="329" t="s">
        <v>648</v>
      </c>
      <c r="C75" s="330">
        <f>VLOOKUP(B75, 'S14 ABC Output'!$A$3:$C$18, 3, 0)</f>
        <v>25649</v>
      </c>
      <c r="D75" s="330">
        <f>_xlfn.XLOOKUP(B75, 'S18 Operations'!$B$2:$B$534, 'S18 Operations'!$G$2:$G$534, 0, 0)</f>
        <v>200</v>
      </c>
      <c r="E75" s="330">
        <f t="shared" si="14"/>
        <v>129</v>
      </c>
      <c r="F75" s="330">
        <f>VLOOKUP(A75, 'S17 Work Stations'!$A$2:$C$45, 3, 0)</f>
        <v>40</v>
      </c>
      <c r="G75" s="330" cm="1">
        <f t="array" ref="G75">VLOOKUP(A75&amp;"-"&amp;B75, CHOOSE({1,2}, 'S18 Operations'!$D$2:$D$534&amp;"-"&amp;'S18 Operations'!$B$2:$B$534, 'S18 Operations'!$F$2:$F$534), 2, 0)</f>
        <v>60</v>
      </c>
      <c r="H75" s="331">
        <f t="shared" si="15"/>
        <v>1</v>
      </c>
      <c r="I75" s="331">
        <f t="shared" si="16"/>
        <v>30809</v>
      </c>
      <c r="J75" s="331">
        <f t="shared" si="17"/>
        <v>513.48333333333335</v>
      </c>
      <c r="L75">
        <f t="shared" si="11"/>
        <v>6</v>
      </c>
      <c r="M75">
        <f t="shared" si="12"/>
        <v>129</v>
      </c>
      <c r="N75">
        <f t="shared" si="13"/>
        <v>1078</v>
      </c>
      <c r="O75">
        <f t="shared" si="18"/>
        <v>6</v>
      </c>
    </row>
    <row r="76" spans="1:15">
      <c r="A76" s="329" t="s">
        <v>1103</v>
      </c>
      <c r="B76" s="329" t="s">
        <v>580</v>
      </c>
      <c r="C76" s="330">
        <f>VLOOKUP(B76, 'S14 ABC Output'!$A$3:$C$18, 3, 0)</f>
        <v>125036</v>
      </c>
      <c r="D76" s="330">
        <f>_xlfn.XLOOKUP(B76, 'S18 Operations'!$B$2:$B$534, 'S18 Operations'!$G$2:$G$534, 0, 0)</f>
        <v>200</v>
      </c>
      <c r="E76" s="330">
        <f t="shared" si="14"/>
        <v>626</v>
      </c>
      <c r="F76" s="330">
        <f>VLOOKUP(A76, 'S17 Work Stations'!$A$2:$C$45, 3, 0)</f>
        <v>35</v>
      </c>
      <c r="G76" s="330" cm="1">
        <f t="array" ref="G76">VLOOKUP(A76&amp;"-"&amp;B76, CHOOSE({1,2}, 'S18 Operations'!$D$2:$D$534&amp;"-"&amp;'S18 Operations'!$B$2:$B$534, 'S18 Operations'!$F$2:$F$534), 2, 0)</f>
        <v>120</v>
      </c>
      <c r="H76" s="331">
        <f t="shared" si="15"/>
        <v>2</v>
      </c>
      <c r="I76" s="331">
        <f t="shared" si="16"/>
        <v>267922</v>
      </c>
      <c r="J76" s="331">
        <f t="shared" si="17"/>
        <v>4465.3666666666668</v>
      </c>
      <c r="L76">
        <f t="shared" si="11"/>
        <v>1</v>
      </c>
      <c r="M76">
        <f t="shared" si="12"/>
        <v>129</v>
      </c>
      <c r="N76">
        <f t="shared" si="13"/>
        <v>626</v>
      </c>
      <c r="O76">
        <f t="shared" si="18"/>
        <v>3</v>
      </c>
    </row>
    <row r="77" spans="1:15">
      <c r="A77" s="329" t="s">
        <v>1103</v>
      </c>
      <c r="B77" s="329" t="s">
        <v>652</v>
      </c>
      <c r="C77" s="330">
        <f>VLOOKUP(B77, 'S14 ABC Output'!$A$3:$C$18, 3, 0)</f>
        <v>25689</v>
      </c>
      <c r="D77" s="330">
        <f>_xlfn.XLOOKUP(B77, 'S18 Operations'!$B$2:$B$534, 'S18 Operations'!$G$2:$G$534, 0, 0)</f>
        <v>200</v>
      </c>
      <c r="E77" s="330">
        <f t="shared" si="14"/>
        <v>129</v>
      </c>
      <c r="F77" s="330">
        <f>VLOOKUP(A77, 'S17 Work Stations'!$A$2:$C$45, 3, 0)</f>
        <v>35</v>
      </c>
      <c r="G77" s="330" cm="1">
        <f t="array" ref="G77">VLOOKUP(A77&amp;"-"&amp;B77, CHOOSE({1,2}, 'S18 Operations'!$D$2:$D$534&amp;"-"&amp;'S18 Operations'!$B$2:$B$534, 'S18 Operations'!$F$2:$F$534), 2, 0)</f>
        <v>120</v>
      </c>
      <c r="H77" s="331">
        <f t="shared" si="15"/>
        <v>2</v>
      </c>
      <c r="I77" s="331">
        <f t="shared" si="16"/>
        <v>55893</v>
      </c>
      <c r="J77" s="331">
        <f t="shared" si="17"/>
        <v>931.55</v>
      </c>
      <c r="L77">
        <f t="shared" si="11"/>
        <v>3</v>
      </c>
      <c r="M77">
        <f t="shared" si="12"/>
        <v>129</v>
      </c>
      <c r="N77">
        <f t="shared" si="13"/>
        <v>626</v>
      </c>
      <c r="O77">
        <f t="shared" si="18"/>
        <v>3</v>
      </c>
    </row>
    <row r="78" spans="1:15">
      <c r="A78" s="329" t="s">
        <v>1103</v>
      </c>
      <c r="B78" s="329" t="s">
        <v>654</v>
      </c>
      <c r="C78" s="330">
        <f>VLOOKUP(B78, 'S14 ABC Output'!$A$3:$C$18, 3, 0)</f>
        <v>25468</v>
      </c>
      <c r="D78" s="330">
        <f>_xlfn.XLOOKUP(B78, 'S18 Operations'!$B$2:$B$534, 'S18 Operations'!$G$2:$G$534, 0, 0)</f>
        <v>50</v>
      </c>
      <c r="E78" s="330">
        <f t="shared" si="14"/>
        <v>510</v>
      </c>
      <c r="F78" s="330">
        <f>VLOOKUP(A78, 'S17 Work Stations'!$A$2:$C$45, 3, 0)</f>
        <v>35</v>
      </c>
      <c r="G78" s="330" cm="1">
        <f t="array" ref="G78">VLOOKUP(A78&amp;"-"&amp;B78, CHOOSE({1,2}, 'S18 Operations'!$D$2:$D$534&amp;"-"&amp;'S18 Operations'!$B$2:$B$534, 'S18 Operations'!$F$2:$F$534), 2, 0)</f>
        <v>120</v>
      </c>
      <c r="H78" s="331">
        <f t="shared" si="15"/>
        <v>2</v>
      </c>
      <c r="I78" s="331">
        <f t="shared" si="16"/>
        <v>68786</v>
      </c>
      <c r="J78" s="331">
        <f t="shared" si="17"/>
        <v>1146.4333333333334</v>
      </c>
      <c r="L78">
        <f t="shared" si="11"/>
        <v>2</v>
      </c>
      <c r="M78">
        <f t="shared" si="12"/>
        <v>129</v>
      </c>
      <c r="N78">
        <f t="shared" si="13"/>
        <v>626</v>
      </c>
      <c r="O78">
        <f t="shared" si="18"/>
        <v>3</v>
      </c>
    </row>
    <row r="79" spans="1:15">
      <c r="A79" s="329" t="s">
        <v>1107</v>
      </c>
      <c r="B79" s="329" t="s">
        <v>526</v>
      </c>
      <c r="C79" s="330">
        <f>VLOOKUP(B79, 'S14 ABC Output'!$A$3:$C$18, 3, 0)</f>
        <v>250356</v>
      </c>
      <c r="D79" s="330">
        <f>_xlfn.XLOOKUP(B79, 'S18 Operations'!$B$2:$B$534, 'S18 Operations'!$G$2:$G$534, 0, 0)</f>
        <v>200</v>
      </c>
      <c r="E79" s="330">
        <f t="shared" si="14"/>
        <v>1252</v>
      </c>
      <c r="F79" s="330">
        <f>VLOOKUP(A79, 'S17 Work Stations'!$A$2:$C$45, 3, 0)</f>
        <v>40</v>
      </c>
      <c r="G79" s="330" cm="1">
        <f t="array" ref="G79">VLOOKUP(A79&amp;"-"&amp;B79, CHOOSE({1,2}, 'S18 Operations'!$D$2:$D$534&amp;"-"&amp;'S18 Operations'!$B$2:$B$534, 'S18 Operations'!$F$2:$F$534), 2, 0)</f>
        <v>120</v>
      </c>
      <c r="H79" s="331">
        <f t="shared" si="15"/>
        <v>2</v>
      </c>
      <c r="I79" s="331">
        <f t="shared" si="16"/>
        <v>518032</v>
      </c>
      <c r="J79" s="331">
        <f t="shared" si="17"/>
        <v>8633.8666666666668</v>
      </c>
      <c r="L79">
        <f t="shared" si="11"/>
        <v>1</v>
      </c>
      <c r="M79">
        <f t="shared" si="12"/>
        <v>129</v>
      </c>
      <c r="N79">
        <f t="shared" si="13"/>
        <v>1252</v>
      </c>
      <c r="O79">
        <f t="shared" si="18"/>
        <v>7</v>
      </c>
    </row>
    <row r="80" spans="1:15">
      <c r="A80" s="329" t="s">
        <v>1107</v>
      </c>
      <c r="B80" s="329" t="s">
        <v>634</v>
      </c>
      <c r="C80" s="330">
        <f>VLOOKUP(B80, 'S14 ABC Output'!$A$3:$C$18, 3, 0)</f>
        <v>86542</v>
      </c>
      <c r="D80" s="330">
        <f>_xlfn.XLOOKUP(B80, 'S18 Operations'!$B$2:$B$534, 'S18 Operations'!$G$2:$G$534, 0, 0)</f>
        <v>200</v>
      </c>
      <c r="E80" s="330">
        <f t="shared" si="14"/>
        <v>433</v>
      </c>
      <c r="F80" s="330">
        <f>VLOOKUP(A80, 'S17 Work Stations'!$A$2:$C$45, 3, 0)</f>
        <v>40</v>
      </c>
      <c r="G80" s="330" cm="1">
        <f t="array" ref="G80">VLOOKUP(A80&amp;"-"&amp;B80, CHOOSE({1,2}, 'S18 Operations'!$D$2:$D$534&amp;"-"&amp;'S18 Operations'!$B$2:$B$534, 'S18 Operations'!$F$2:$F$534), 2, 0)</f>
        <v>180</v>
      </c>
      <c r="H80" s="331">
        <f t="shared" si="15"/>
        <v>3</v>
      </c>
      <c r="I80" s="331">
        <f t="shared" si="16"/>
        <v>276946</v>
      </c>
      <c r="J80" s="331">
        <f t="shared" si="17"/>
        <v>4615.7666666666664</v>
      </c>
      <c r="L80">
        <f t="shared" si="11"/>
        <v>2</v>
      </c>
      <c r="M80">
        <f t="shared" si="12"/>
        <v>129</v>
      </c>
      <c r="N80">
        <f t="shared" si="13"/>
        <v>1252</v>
      </c>
      <c r="O80">
        <f t="shared" si="18"/>
        <v>7</v>
      </c>
    </row>
    <row r="81" spans="1:15">
      <c r="A81" s="329" t="s">
        <v>1107</v>
      </c>
      <c r="B81" s="329" t="s">
        <v>610</v>
      </c>
      <c r="C81" s="330">
        <f>VLOOKUP(B81, 'S14 ABC Output'!$A$3:$C$18, 3, 0)</f>
        <v>85612</v>
      </c>
      <c r="D81" s="330">
        <f>_xlfn.XLOOKUP(B81, 'S18 Operations'!$B$2:$B$534, 'S18 Operations'!$G$2:$G$534, 0, 0)</f>
        <v>200</v>
      </c>
      <c r="E81" s="330">
        <f t="shared" si="14"/>
        <v>429</v>
      </c>
      <c r="F81" s="330">
        <f>VLOOKUP(A81, 'S17 Work Stations'!$A$2:$C$45, 3, 0)</f>
        <v>40</v>
      </c>
      <c r="G81" s="330" cm="1">
        <f t="array" ref="G81">VLOOKUP(A81&amp;"-"&amp;B81, CHOOSE({1,2}, 'S18 Operations'!$D$2:$D$534&amp;"-"&amp;'S18 Operations'!$B$2:$B$534, 'S18 Operations'!$F$2:$F$534), 2, 0)</f>
        <v>120</v>
      </c>
      <c r="H81" s="331">
        <f t="shared" si="15"/>
        <v>2</v>
      </c>
      <c r="I81" s="331">
        <f t="shared" si="16"/>
        <v>188384</v>
      </c>
      <c r="J81" s="331">
        <f t="shared" si="17"/>
        <v>3139.7333333333331</v>
      </c>
      <c r="L81">
        <f t="shared" si="11"/>
        <v>3</v>
      </c>
      <c r="M81">
        <f t="shared" si="12"/>
        <v>129</v>
      </c>
      <c r="N81">
        <f t="shared" si="13"/>
        <v>1252</v>
      </c>
      <c r="O81">
        <f t="shared" si="18"/>
        <v>7</v>
      </c>
    </row>
    <row r="82" spans="1:15">
      <c r="A82" s="329" t="s">
        <v>1107</v>
      </c>
      <c r="B82" s="329" t="s">
        <v>612</v>
      </c>
      <c r="C82" s="330">
        <f>VLOOKUP(B82, 'S14 ABC Output'!$A$3:$C$18, 3, 0)</f>
        <v>54682</v>
      </c>
      <c r="D82" s="330">
        <f>_xlfn.XLOOKUP(B82, 'S18 Operations'!$B$2:$B$534, 'S18 Operations'!$G$2:$G$534, 0, 0)</f>
        <v>200</v>
      </c>
      <c r="E82" s="330">
        <f t="shared" si="14"/>
        <v>274</v>
      </c>
      <c r="F82" s="330">
        <f>VLOOKUP(A82, 'S17 Work Stations'!$A$2:$C$45, 3, 0)</f>
        <v>40</v>
      </c>
      <c r="G82" s="330" cm="1">
        <f t="array" ref="G82">VLOOKUP(A82&amp;"-"&amp;B82, CHOOSE({1,2}, 'S18 Operations'!$D$2:$D$534&amp;"-"&amp;'S18 Operations'!$B$2:$B$534, 'S18 Operations'!$F$2:$F$534), 2, 0)</f>
        <v>180</v>
      </c>
      <c r="H82" s="331">
        <f t="shared" si="15"/>
        <v>3</v>
      </c>
      <c r="I82" s="331">
        <f t="shared" si="16"/>
        <v>175006</v>
      </c>
      <c r="J82" s="331">
        <f t="shared" si="17"/>
        <v>2916.7666666666669</v>
      </c>
      <c r="L82">
        <f t="shared" si="11"/>
        <v>4</v>
      </c>
      <c r="M82">
        <f t="shared" si="12"/>
        <v>129</v>
      </c>
      <c r="N82">
        <f t="shared" si="13"/>
        <v>1252</v>
      </c>
      <c r="O82">
        <f t="shared" si="18"/>
        <v>7</v>
      </c>
    </row>
    <row r="83" spans="1:15">
      <c r="A83" s="329" t="s">
        <v>1107</v>
      </c>
      <c r="B83" s="329" t="s">
        <v>530</v>
      </c>
      <c r="C83" s="330">
        <f>VLOOKUP(B83, 'S14 ABC Output'!$A$3:$C$18, 3, 0)</f>
        <v>50689</v>
      </c>
      <c r="D83" s="330">
        <f>_xlfn.XLOOKUP(B83, 'S18 Operations'!$B$2:$B$534, 'S18 Operations'!$G$2:$G$534, 0, 0)</f>
        <v>200</v>
      </c>
      <c r="E83" s="330">
        <f t="shared" si="14"/>
        <v>254</v>
      </c>
      <c r="F83" s="330">
        <f>VLOOKUP(A83, 'S17 Work Stations'!$A$2:$C$45, 3, 0)</f>
        <v>40</v>
      </c>
      <c r="G83" s="330" cm="1">
        <f t="array" ref="G83">VLOOKUP(A83&amp;"-"&amp;B83, CHOOSE({1,2}, 'S18 Operations'!$D$2:$D$534&amp;"-"&amp;'S18 Operations'!$B$2:$B$534, 'S18 Operations'!$F$2:$F$534), 2, 0)</f>
        <v>120</v>
      </c>
      <c r="H83" s="331">
        <f t="shared" si="15"/>
        <v>2</v>
      </c>
      <c r="I83" s="331">
        <f t="shared" si="16"/>
        <v>111538</v>
      </c>
      <c r="J83" s="331">
        <f t="shared" si="17"/>
        <v>1858.9666666666667</v>
      </c>
      <c r="L83">
        <f t="shared" si="11"/>
        <v>5</v>
      </c>
      <c r="M83">
        <f t="shared" si="12"/>
        <v>129</v>
      </c>
      <c r="N83">
        <f t="shared" si="13"/>
        <v>1252</v>
      </c>
      <c r="O83">
        <f t="shared" si="18"/>
        <v>7</v>
      </c>
    </row>
    <row r="84" spans="1:15">
      <c r="A84" s="329" t="s">
        <v>1107</v>
      </c>
      <c r="B84" s="329" t="s">
        <v>518</v>
      </c>
      <c r="C84" s="330">
        <f>VLOOKUP(B84, 'S14 ABC Output'!$A$3:$C$18, 3, 0)</f>
        <v>25689</v>
      </c>
      <c r="D84" s="330">
        <f>_xlfn.XLOOKUP(B84, 'S18 Operations'!$B$2:$B$534, 'S18 Operations'!$G$2:$G$534, 0, 0)</f>
        <v>200</v>
      </c>
      <c r="E84" s="330">
        <f t="shared" si="14"/>
        <v>129</v>
      </c>
      <c r="F84" s="330">
        <f>VLOOKUP(A84, 'S17 Work Stations'!$A$2:$C$45, 3, 0)</f>
        <v>40</v>
      </c>
      <c r="G84" s="330" cm="1">
        <f t="array" ref="G84">VLOOKUP(A84&amp;"-"&amp;B84, CHOOSE({1,2}, 'S18 Operations'!$D$2:$D$534&amp;"-"&amp;'S18 Operations'!$B$2:$B$534, 'S18 Operations'!$F$2:$F$534), 2, 0)</f>
        <v>120</v>
      </c>
      <c r="H84" s="331">
        <f t="shared" si="15"/>
        <v>2</v>
      </c>
      <c r="I84" s="331">
        <f t="shared" si="16"/>
        <v>56538</v>
      </c>
      <c r="J84" s="331">
        <f t="shared" si="17"/>
        <v>942.3</v>
      </c>
      <c r="L84">
        <f t="shared" si="11"/>
        <v>6</v>
      </c>
      <c r="M84">
        <f t="shared" si="12"/>
        <v>129</v>
      </c>
      <c r="N84">
        <f t="shared" si="13"/>
        <v>1252</v>
      </c>
      <c r="O84">
        <f t="shared" si="18"/>
        <v>7</v>
      </c>
    </row>
    <row r="85" spans="1:15">
      <c r="A85" s="329" t="s">
        <v>1107</v>
      </c>
      <c r="B85" s="329" t="s">
        <v>520</v>
      </c>
      <c r="C85" s="330">
        <f>VLOOKUP(B85, 'S14 ABC Output'!$A$3:$C$18, 3, 0)</f>
        <v>25639</v>
      </c>
      <c r="D85" s="330">
        <f>_xlfn.XLOOKUP(B85, 'S18 Operations'!$B$2:$B$534, 'S18 Operations'!$G$2:$G$534, 0, 0)</f>
        <v>200</v>
      </c>
      <c r="E85" s="330">
        <f t="shared" si="14"/>
        <v>129</v>
      </c>
      <c r="F85" s="330">
        <f>VLOOKUP(A85, 'S17 Work Stations'!$A$2:$C$45, 3, 0)</f>
        <v>40</v>
      </c>
      <c r="G85" s="330" cm="1">
        <f t="array" ref="G85">VLOOKUP(A85&amp;"-"&amp;B85, CHOOSE({1,2}, 'S18 Operations'!$D$2:$D$534&amp;"-"&amp;'S18 Operations'!$B$2:$B$534, 'S18 Operations'!$F$2:$F$534), 2, 0)</f>
        <v>120</v>
      </c>
      <c r="H85" s="331">
        <f t="shared" si="15"/>
        <v>2</v>
      </c>
      <c r="I85" s="331">
        <f t="shared" si="16"/>
        <v>56438</v>
      </c>
      <c r="J85" s="331">
        <f t="shared" si="17"/>
        <v>940.63333333333333</v>
      </c>
      <c r="L85">
        <f t="shared" si="11"/>
        <v>6</v>
      </c>
      <c r="M85">
        <f t="shared" si="12"/>
        <v>129</v>
      </c>
      <c r="N85">
        <f t="shared" si="13"/>
        <v>1252</v>
      </c>
      <c r="O85">
        <f t="shared" si="18"/>
        <v>7</v>
      </c>
    </row>
    <row r="86" spans="1:15">
      <c r="A86" s="329" t="s">
        <v>1111</v>
      </c>
      <c r="B86" s="329" t="s">
        <v>634</v>
      </c>
      <c r="C86" s="330">
        <f>VLOOKUP(B86, 'S14 ABC Output'!$A$3:$C$18, 3, 0)</f>
        <v>86542</v>
      </c>
      <c r="D86" s="330">
        <f>_xlfn.XLOOKUP(B86, 'S18 Operations'!$B$2:$B$534, 'S18 Operations'!$G$2:$G$534, 0, 0)</f>
        <v>200</v>
      </c>
      <c r="E86" s="330">
        <f t="shared" si="14"/>
        <v>433</v>
      </c>
      <c r="F86" s="330">
        <f>VLOOKUP(A86, 'S17 Work Stations'!$A$2:$C$45, 3, 0)</f>
        <v>60</v>
      </c>
      <c r="G86" s="330" cm="1">
        <f t="array" ref="G86">VLOOKUP(A86&amp;"-"&amp;B86, CHOOSE({1,2}, 'S18 Operations'!$D$2:$D$534&amp;"-"&amp;'S18 Operations'!$B$2:$B$534, 'S18 Operations'!$F$2:$F$534), 2, 0)</f>
        <v>300</v>
      </c>
      <c r="H86" s="331">
        <f t="shared" si="15"/>
        <v>5</v>
      </c>
      <c r="I86" s="331">
        <f t="shared" si="16"/>
        <v>432710</v>
      </c>
      <c r="J86" s="331">
        <f t="shared" si="17"/>
        <v>7211.833333333333</v>
      </c>
      <c r="L86">
        <f t="shared" si="11"/>
        <v>1</v>
      </c>
      <c r="M86">
        <f t="shared" si="12"/>
        <v>433</v>
      </c>
      <c r="N86">
        <f t="shared" si="13"/>
        <v>433</v>
      </c>
      <c r="O86">
        <f t="shared" si="18"/>
        <v>1</v>
      </c>
    </row>
    <row r="87" spans="1:15">
      <c r="A87" s="329" t="s">
        <v>1112</v>
      </c>
      <c r="B87" s="329" t="s">
        <v>526</v>
      </c>
      <c r="C87" s="330">
        <f>VLOOKUP(B87, 'S14 ABC Output'!$A$3:$C$18, 3, 0)</f>
        <v>250356</v>
      </c>
      <c r="D87" s="330">
        <f>_xlfn.XLOOKUP(B87, 'S18 Operations'!$B$2:$B$534, 'S18 Operations'!$G$2:$G$534, 0, 0)</f>
        <v>200</v>
      </c>
      <c r="E87" s="330">
        <f t="shared" si="14"/>
        <v>1252</v>
      </c>
      <c r="F87" s="330">
        <f>VLOOKUP(A87, 'S17 Work Stations'!$A$2:$C$45, 3, 0)</f>
        <v>1</v>
      </c>
      <c r="G87" s="330" cm="1">
        <f t="array" ref="G87">VLOOKUP(A87&amp;"-"&amp;B87, CHOOSE({1,2}, 'S18 Operations'!$D$2:$D$534&amp;"-"&amp;'S18 Operations'!$B$2:$B$534, 'S18 Operations'!$F$2:$F$534), 2, 0)</f>
        <v>0</v>
      </c>
      <c r="H87" s="331">
        <f t="shared" si="15"/>
        <v>0</v>
      </c>
      <c r="I87" s="331">
        <f t="shared" si="16"/>
        <v>1078</v>
      </c>
      <c r="J87" s="331">
        <f t="shared" si="17"/>
        <v>17.966666666666665</v>
      </c>
      <c r="L87">
        <f t="shared" si="11"/>
        <v>1</v>
      </c>
      <c r="M87">
        <f t="shared" si="12"/>
        <v>129</v>
      </c>
      <c r="N87">
        <f t="shared" si="13"/>
        <v>1252</v>
      </c>
      <c r="O87">
        <f t="shared" si="18"/>
        <v>16</v>
      </c>
    </row>
    <row r="88" spans="1:15">
      <c r="A88" s="329" t="s">
        <v>1112</v>
      </c>
      <c r="B88" s="329" t="s">
        <v>514</v>
      </c>
      <c r="C88" s="330">
        <f>VLOOKUP(B88, 'S14 ABC Output'!$A$3:$C$18, 3, 0)</f>
        <v>215425</v>
      </c>
      <c r="D88" s="330">
        <f>_xlfn.XLOOKUP(B88, 'S18 Operations'!$B$2:$B$534, 'S18 Operations'!$G$2:$G$534, 0, 0)</f>
        <v>200</v>
      </c>
      <c r="E88" s="330">
        <f t="shared" si="14"/>
        <v>1078</v>
      </c>
      <c r="F88" s="330">
        <f>VLOOKUP(A88, 'S17 Work Stations'!$A$2:$C$45, 3, 0)</f>
        <v>1</v>
      </c>
      <c r="G88" s="330" cm="1">
        <f t="array" ref="G88">VLOOKUP(A88&amp;"-"&amp;B88, CHOOSE({1,2}, 'S18 Operations'!$D$2:$D$534&amp;"-"&amp;'S18 Operations'!$B$2:$B$534, 'S18 Operations'!$F$2:$F$534), 2, 0)</f>
        <v>0</v>
      </c>
      <c r="H88" s="331">
        <f t="shared" si="15"/>
        <v>0</v>
      </c>
      <c r="I88" s="331">
        <f t="shared" si="16"/>
        <v>1078</v>
      </c>
      <c r="J88" s="331">
        <f t="shared" si="17"/>
        <v>17.966666666666665</v>
      </c>
      <c r="L88">
        <f t="shared" si="11"/>
        <v>2</v>
      </c>
      <c r="M88">
        <f t="shared" si="12"/>
        <v>129</v>
      </c>
      <c r="N88">
        <f t="shared" si="13"/>
        <v>1252</v>
      </c>
      <c r="O88">
        <f t="shared" si="18"/>
        <v>16</v>
      </c>
    </row>
    <row r="89" spans="1:15">
      <c r="A89" s="329" t="s">
        <v>1112</v>
      </c>
      <c r="B89" s="329" t="s">
        <v>580</v>
      </c>
      <c r="C89" s="330">
        <f>VLOOKUP(B89, 'S14 ABC Output'!$A$3:$C$18, 3, 0)</f>
        <v>125036</v>
      </c>
      <c r="D89" s="330">
        <f>_xlfn.XLOOKUP(B89, 'S18 Operations'!$B$2:$B$534, 'S18 Operations'!$G$2:$G$534, 0, 0)</f>
        <v>200</v>
      </c>
      <c r="E89" s="330">
        <f t="shared" si="14"/>
        <v>626</v>
      </c>
      <c r="F89" s="330">
        <f>VLOOKUP(A89, 'S17 Work Stations'!$A$2:$C$45, 3, 0)</f>
        <v>1</v>
      </c>
      <c r="G89" s="330" cm="1">
        <f t="array" ref="G89">VLOOKUP(A89&amp;"-"&amp;B89, CHOOSE({1,2}, 'S18 Operations'!$D$2:$D$534&amp;"-"&amp;'S18 Operations'!$B$2:$B$534, 'S18 Operations'!$F$2:$F$534), 2, 0)</f>
        <v>0</v>
      </c>
      <c r="H89" s="331">
        <f t="shared" si="15"/>
        <v>0</v>
      </c>
      <c r="I89" s="331">
        <f t="shared" si="16"/>
        <v>626</v>
      </c>
      <c r="J89" s="331">
        <f t="shared" si="17"/>
        <v>10.433333333333334</v>
      </c>
      <c r="L89">
        <f t="shared" si="11"/>
        <v>3</v>
      </c>
      <c r="M89">
        <f t="shared" si="12"/>
        <v>129</v>
      </c>
      <c r="N89">
        <f t="shared" si="13"/>
        <v>1252</v>
      </c>
      <c r="O89">
        <f t="shared" si="18"/>
        <v>16</v>
      </c>
    </row>
    <row r="90" spans="1:15">
      <c r="A90" s="329" t="s">
        <v>1112</v>
      </c>
      <c r="B90" s="329" t="s">
        <v>634</v>
      </c>
      <c r="C90" s="330">
        <f>VLOOKUP(B90, 'S14 ABC Output'!$A$3:$C$18, 3, 0)</f>
        <v>86542</v>
      </c>
      <c r="D90" s="330">
        <f>_xlfn.XLOOKUP(B90, 'S18 Operations'!$B$2:$B$534, 'S18 Operations'!$G$2:$G$534, 0, 0)</f>
        <v>200</v>
      </c>
      <c r="E90" s="330">
        <f t="shared" si="14"/>
        <v>433</v>
      </c>
      <c r="F90" s="330">
        <f>VLOOKUP(A90, 'S17 Work Stations'!$A$2:$C$45, 3, 0)</f>
        <v>1</v>
      </c>
      <c r="G90" s="330" cm="1">
        <f t="array" ref="G90">VLOOKUP(A90&amp;"-"&amp;B90, CHOOSE({1,2}, 'S18 Operations'!$D$2:$D$534&amp;"-"&amp;'S18 Operations'!$B$2:$B$534, 'S18 Operations'!$F$2:$F$534), 2, 0)</f>
        <v>0</v>
      </c>
      <c r="H90" s="331">
        <f t="shared" si="15"/>
        <v>0</v>
      </c>
      <c r="I90" s="331">
        <f t="shared" si="16"/>
        <v>433</v>
      </c>
      <c r="J90" s="331">
        <f t="shared" si="17"/>
        <v>7.2166666666666668</v>
      </c>
      <c r="L90">
        <f t="shared" si="11"/>
        <v>5</v>
      </c>
      <c r="M90">
        <f t="shared" si="12"/>
        <v>129</v>
      </c>
      <c r="N90">
        <f t="shared" si="13"/>
        <v>1252</v>
      </c>
      <c r="O90">
        <f t="shared" si="18"/>
        <v>16</v>
      </c>
    </row>
    <row r="91" spans="1:15">
      <c r="A91" s="329" t="s">
        <v>1112</v>
      </c>
      <c r="B91" s="329" t="s">
        <v>610</v>
      </c>
      <c r="C91" s="330">
        <f>VLOOKUP(B91, 'S14 ABC Output'!$A$3:$C$18, 3, 0)</f>
        <v>85612</v>
      </c>
      <c r="D91" s="330">
        <f>_xlfn.XLOOKUP(B91, 'S18 Operations'!$B$2:$B$534, 'S18 Operations'!$G$2:$G$534, 0, 0)</f>
        <v>200</v>
      </c>
      <c r="E91" s="330">
        <f t="shared" si="14"/>
        <v>429</v>
      </c>
      <c r="F91" s="330">
        <f>VLOOKUP(A91, 'S17 Work Stations'!$A$2:$C$45, 3, 0)</f>
        <v>1</v>
      </c>
      <c r="G91" s="330" cm="1">
        <f t="array" ref="G91">VLOOKUP(A91&amp;"-"&amp;B91, CHOOSE({1,2}, 'S18 Operations'!$D$2:$D$534&amp;"-"&amp;'S18 Operations'!$B$2:$B$534, 'S18 Operations'!$F$2:$F$534), 2, 0)</f>
        <v>0</v>
      </c>
      <c r="H91" s="331">
        <f t="shared" si="15"/>
        <v>0</v>
      </c>
      <c r="I91" s="331">
        <f t="shared" si="16"/>
        <v>429</v>
      </c>
      <c r="J91" s="331">
        <f t="shared" si="17"/>
        <v>7.15</v>
      </c>
      <c r="L91">
        <f t="shared" si="11"/>
        <v>6</v>
      </c>
      <c r="M91">
        <f t="shared" si="12"/>
        <v>129</v>
      </c>
      <c r="N91">
        <f t="shared" si="13"/>
        <v>1252</v>
      </c>
      <c r="O91">
        <f t="shared" si="18"/>
        <v>16</v>
      </c>
    </row>
    <row r="92" spans="1:15">
      <c r="A92" s="329" t="s">
        <v>1112</v>
      </c>
      <c r="B92" s="329" t="s">
        <v>642</v>
      </c>
      <c r="C92" s="330">
        <f>VLOOKUP(B92, 'S14 ABC Output'!$A$3:$C$18, 3, 0)</f>
        <v>65248</v>
      </c>
      <c r="D92" s="330">
        <f>_xlfn.XLOOKUP(B92, 'S18 Operations'!$B$2:$B$534, 'S18 Operations'!$G$2:$G$534, 0, 0)</f>
        <v>200</v>
      </c>
      <c r="E92" s="330">
        <f t="shared" si="14"/>
        <v>327</v>
      </c>
      <c r="F92" s="330">
        <f>VLOOKUP(A92, 'S17 Work Stations'!$A$2:$C$45, 3, 0)</f>
        <v>1</v>
      </c>
      <c r="G92" s="330" cm="1">
        <f t="array" ref="G92">VLOOKUP(A92&amp;"-"&amp;B92, CHOOSE({1,2}, 'S18 Operations'!$D$2:$D$534&amp;"-"&amp;'S18 Operations'!$B$2:$B$534, 'S18 Operations'!$F$2:$F$534), 2, 0)</f>
        <v>0</v>
      </c>
      <c r="H92" s="331">
        <f t="shared" si="15"/>
        <v>0</v>
      </c>
      <c r="I92" s="331">
        <f t="shared" si="16"/>
        <v>327</v>
      </c>
      <c r="J92" s="331">
        <f t="shared" si="17"/>
        <v>5.45</v>
      </c>
      <c r="L92">
        <f t="shared" si="11"/>
        <v>7</v>
      </c>
      <c r="M92">
        <f t="shared" si="12"/>
        <v>129</v>
      </c>
      <c r="N92">
        <f t="shared" si="13"/>
        <v>1252</v>
      </c>
      <c r="O92">
        <f t="shared" si="18"/>
        <v>16</v>
      </c>
    </row>
    <row r="93" spans="1:15">
      <c r="A93" s="329" t="s">
        <v>1112</v>
      </c>
      <c r="B93" s="329" t="s">
        <v>612</v>
      </c>
      <c r="C93" s="330">
        <f>VLOOKUP(B93, 'S14 ABC Output'!$A$3:$C$18, 3, 0)</f>
        <v>54682</v>
      </c>
      <c r="D93" s="330">
        <f>_xlfn.XLOOKUP(B93, 'S18 Operations'!$B$2:$B$534, 'S18 Operations'!$G$2:$G$534, 0, 0)</f>
        <v>200</v>
      </c>
      <c r="E93" s="330">
        <f t="shared" si="14"/>
        <v>274</v>
      </c>
      <c r="F93" s="330">
        <f>VLOOKUP(A93, 'S17 Work Stations'!$A$2:$C$45, 3, 0)</f>
        <v>1</v>
      </c>
      <c r="G93" s="330" cm="1">
        <f t="array" ref="G93">VLOOKUP(A93&amp;"-"&amp;B93, CHOOSE({1,2}, 'S18 Operations'!$D$2:$D$534&amp;"-"&amp;'S18 Operations'!$B$2:$B$534, 'S18 Operations'!$F$2:$F$534), 2, 0)</f>
        <v>0</v>
      </c>
      <c r="H93" s="331">
        <f t="shared" si="15"/>
        <v>0</v>
      </c>
      <c r="I93" s="331">
        <f t="shared" si="16"/>
        <v>274</v>
      </c>
      <c r="J93" s="331">
        <f t="shared" si="17"/>
        <v>4.5666666666666664</v>
      </c>
      <c r="L93">
        <f t="shared" si="11"/>
        <v>8</v>
      </c>
      <c r="M93">
        <f t="shared" si="12"/>
        <v>129</v>
      </c>
      <c r="N93">
        <f t="shared" si="13"/>
        <v>1252</v>
      </c>
      <c r="O93">
        <f t="shared" si="18"/>
        <v>16</v>
      </c>
    </row>
    <row r="94" spans="1:15">
      <c r="A94" s="329" t="s">
        <v>1112</v>
      </c>
      <c r="B94" s="329" t="s">
        <v>530</v>
      </c>
      <c r="C94" s="330">
        <f>VLOOKUP(B94, 'S14 ABC Output'!$A$3:$C$18, 3, 0)</f>
        <v>50689</v>
      </c>
      <c r="D94" s="330">
        <f>_xlfn.XLOOKUP(B94, 'S18 Operations'!$B$2:$B$534, 'S18 Operations'!$G$2:$G$534, 0, 0)</f>
        <v>200</v>
      </c>
      <c r="E94" s="330">
        <f t="shared" si="14"/>
        <v>254</v>
      </c>
      <c r="F94" s="330">
        <f>VLOOKUP(A94, 'S17 Work Stations'!$A$2:$C$45, 3, 0)</f>
        <v>1</v>
      </c>
      <c r="G94" s="330" cm="1">
        <f t="array" ref="G94">VLOOKUP(A94&amp;"-"&amp;B94, CHOOSE({1,2}, 'S18 Operations'!$D$2:$D$534&amp;"-"&amp;'S18 Operations'!$B$2:$B$534, 'S18 Operations'!$F$2:$F$534), 2, 0)</f>
        <v>0</v>
      </c>
      <c r="H94" s="331">
        <f t="shared" si="15"/>
        <v>0</v>
      </c>
      <c r="I94" s="331">
        <f t="shared" si="16"/>
        <v>254</v>
      </c>
      <c r="J94" s="331">
        <f t="shared" si="17"/>
        <v>4.2333333333333334</v>
      </c>
      <c r="L94">
        <f t="shared" si="11"/>
        <v>9</v>
      </c>
      <c r="M94">
        <f t="shared" si="12"/>
        <v>129</v>
      </c>
      <c r="N94">
        <f t="shared" si="13"/>
        <v>1252</v>
      </c>
      <c r="O94">
        <f t="shared" si="18"/>
        <v>16</v>
      </c>
    </row>
    <row r="95" spans="1:15">
      <c r="A95" s="329" t="s">
        <v>1112</v>
      </c>
      <c r="B95" s="329" t="s">
        <v>638</v>
      </c>
      <c r="C95" s="330">
        <f>VLOOKUP(B95, 'S14 ABC Output'!$A$3:$C$18, 3, 0)</f>
        <v>45896</v>
      </c>
      <c r="D95" s="330">
        <f>_xlfn.XLOOKUP(B95, 'S18 Operations'!$B$2:$B$534, 'S18 Operations'!$G$2:$G$534, 0, 0)</f>
        <v>200</v>
      </c>
      <c r="E95" s="330">
        <f t="shared" si="14"/>
        <v>230</v>
      </c>
      <c r="F95" s="330">
        <f>VLOOKUP(A95, 'S17 Work Stations'!$A$2:$C$45, 3, 0)</f>
        <v>1</v>
      </c>
      <c r="G95" s="330" cm="1">
        <f t="array" ref="G95">VLOOKUP(A95&amp;"-"&amp;B95, CHOOSE({1,2}, 'S18 Operations'!$D$2:$D$534&amp;"-"&amp;'S18 Operations'!$B$2:$B$534, 'S18 Operations'!$F$2:$F$534), 2, 0)</f>
        <v>0</v>
      </c>
      <c r="H95" s="331">
        <f t="shared" si="15"/>
        <v>0</v>
      </c>
      <c r="I95" s="331">
        <f t="shared" si="16"/>
        <v>230</v>
      </c>
      <c r="J95" s="331">
        <f t="shared" si="17"/>
        <v>3.8333333333333335</v>
      </c>
      <c r="L95">
        <f t="shared" si="11"/>
        <v>10</v>
      </c>
      <c r="M95">
        <f t="shared" si="12"/>
        <v>129</v>
      </c>
      <c r="N95">
        <f t="shared" si="13"/>
        <v>1252</v>
      </c>
      <c r="O95">
        <f t="shared" si="18"/>
        <v>16</v>
      </c>
    </row>
    <row r="96" spans="1:15">
      <c r="A96" s="329" t="s">
        <v>1112</v>
      </c>
      <c r="B96" s="329" t="s">
        <v>644</v>
      </c>
      <c r="C96" s="330">
        <f>VLOOKUP(B96, 'S14 ABC Output'!$A$3:$C$18, 3, 0)</f>
        <v>36524</v>
      </c>
      <c r="D96" s="330">
        <f>_xlfn.XLOOKUP(B96, 'S18 Operations'!$B$2:$B$534, 'S18 Operations'!$G$2:$G$534, 0, 0)</f>
        <v>200</v>
      </c>
      <c r="E96" s="330">
        <f t="shared" si="14"/>
        <v>183</v>
      </c>
      <c r="F96" s="330">
        <f>VLOOKUP(A96, 'S17 Work Stations'!$A$2:$C$45, 3, 0)</f>
        <v>1</v>
      </c>
      <c r="G96" s="330" cm="1">
        <f t="array" ref="G96">VLOOKUP(A96&amp;"-"&amp;B96, CHOOSE({1,2}, 'S18 Operations'!$D$2:$D$534&amp;"-"&amp;'S18 Operations'!$B$2:$B$534, 'S18 Operations'!$F$2:$F$534), 2, 0)</f>
        <v>0</v>
      </c>
      <c r="H96" s="331">
        <f t="shared" si="15"/>
        <v>0</v>
      </c>
      <c r="I96" s="331">
        <f t="shared" si="16"/>
        <v>183</v>
      </c>
      <c r="J96" s="331">
        <f t="shared" si="17"/>
        <v>3.05</v>
      </c>
      <c r="L96">
        <f t="shared" si="11"/>
        <v>11</v>
      </c>
      <c r="M96">
        <f t="shared" si="12"/>
        <v>129</v>
      </c>
      <c r="N96">
        <f t="shared" si="13"/>
        <v>1252</v>
      </c>
      <c r="O96">
        <f t="shared" si="18"/>
        <v>16</v>
      </c>
    </row>
    <row r="97" spans="1:15">
      <c r="A97" s="329" t="s">
        <v>1112</v>
      </c>
      <c r="B97" s="329" t="s">
        <v>646</v>
      </c>
      <c r="C97" s="330">
        <f>VLOOKUP(B97, 'S14 ABC Output'!$A$3:$C$18, 3, 0)</f>
        <v>36502</v>
      </c>
      <c r="D97" s="330">
        <f>_xlfn.XLOOKUP(B97, 'S18 Operations'!$B$2:$B$534, 'S18 Operations'!$G$2:$G$534, 0, 0)</f>
        <v>200</v>
      </c>
      <c r="E97" s="330">
        <f t="shared" si="14"/>
        <v>183</v>
      </c>
      <c r="F97" s="330">
        <f>VLOOKUP(A97, 'S17 Work Stations'!$A$2:$C$45, 3, 0)</f>
        <v>1</v>
      </c>
      <c r="G97" s="330" cm="1">
        <f t="array" ref="G97">VLOOKUP(A97&amp;"-"&amp;B97, CHOOSE({1,2}, 'S18 Operations'!$D$2:$D$534&amp;"-"&amp;'S18 Operations'!$B$2:$B$534, 'S18 Operations'!$F$2:$F$534), 2, 0)</f>
        <v>0</v>
      </c>
      <c r="H97" s="331">
        <f t="shared" si="15"/>
        <v>0</v>
      </c>
      <c r="I97" s="331">
        <f t="shared" si="16"/>
        <v>183</v>
      </c>
      <c r="J97" s="331">
        <f t="shared" si="17"/>
        <v>3.05</v>
      </c>
      <c r="L97">
        <f t="shared" si="11"/>
        <v>11</v>
      </c>
      <c r="M97">
        <f t="shared" si="12"/>
        <v>129</v>
      </c>
      <c r="N97">
        <f t="shared" si="13"/>
        <v>1252</v>
      </c>
      <c r="O97">
        <f t="shared" si="18"/>
        <v>16</v>
      </c>
    </row>
    <row r="98" spans="1:15">
      <c r="A98" s="329" t="s">
        <v>1112</v>
      </c>
      <c r="B98" s="329" t="s">
        <v>518</v>
      </c>
      <c r="C98" s="330">
        <f>VLOOKUP(B98, 'S14 ABC Output'!$A$3:$C$18, 3, 0)</f>
        <v>25689</v>
      </c>
      <c r="D98" s="330">
        <f>_xlfn.XLOOKUP(B98, 'S18 Operations'!$B$2:$B$534, 'S18 Operations'!$G$2:$G$534, 0, 0)</f>
        <v>200</v>
      </c>
      <c r="E98" s="330">
        <f t="shared" si="14"/>
        <v>129</v>
      </c>
      <c r="F98" s="330">
        <f>VLOOKUP(A98, 'S17 Work Stations'!$A$2:$C$45, 3, 0)</f>
        <v>1</v>
      </c>
      <c r="G98" s="330" cm="1">
        <f t="array" ref="G98">VLOOKUP(A98&amp;"-"&amp;B98, CHOOSE({1,2}, 'S18 Operations'!$D$2:$D$534&amp;"-"&amp;'S18 Operations'!$B$2:$B$534, 'S18 Operations'!$F$2:$F$534), 2, 0)</f>
        <v>0</v>
      </c>
      <c r="H98" s="331">
        <f t="shared" si="15"/>
        <v>0</v>
      </c>
      <c r="I98" s="331">
        <f t="shared" si="16"/>
        <v>129</v>
      </c>
      <c r="J98" s="331">
        <f t="shared" si="17"/>
        <v>2.15</v>
      </c>
      <c r="L98">
        <f t="shared" si="11"/>
        <v>13</v>
      </c>
      <c r="M98">
        <f t="shared" si="12"/>
        <v>129</v>
      </c>
      <c r="N98">
        <f t="shared" si="13"/>
        <v>1252</v>
      </c>
      <c r="O98">
        <f t="shared" si="18"/>
        <v>16</v>
      </c>
    </row>
    <row r="99" spans="1:15">
      <c r="A99" s="329" t="s">
        <v>1112</v>
      </c>
      <c r="B99" s="329" t="s">
        <v>652</v>
      </c>
      <c r="C99" s="330">
        <f>VLOOKUP(B99, 'S14 ABC Output'!$A$3:$C$18, 3, 0)</f>
        <v>25689</v>
      </c>
      <c r="D99" s="330">
        <f>_xlfn.XLOOKUP(B99, 'S18 Operations'!$B$2:$B$534, 'S18 Operations'!$G$2:$G$534, 0, 0)</f>
        <v>200</v>
      </c>
      <c r="E99" s="330">
        <f t="shared" si="14"/>
        <v>129</v>
      </c>
      <c r="F99" s="330">
        <f>VLOOKUP(A99, 'S17 Work Stations'!$A$2:$C$45, 3, 0)</f>
        <v>1</v>
      </c>
      <c r="G99" s="330" cm="1">
        <f t="array" ref="G99">VLOOKUP(A99&amp;"-"&amp;B99, CHOOSE({1,2}, 'S18 Operations'!$D$2:$D$534&amp;"-"&amp;'S18 Operations'!$B$2:$B$534, 'S18 Operations'!$F$2:$F$534), 2, 0)</f>
        <v>120</v>
      </c>
      <c r="H99" s="331">
        <f t="shared" si="15"/>
        <v>2</v>
      </c>
      <c r="I99" s="331">
        <f t="shared" si="16"/>
        <v>51507</v>
      </c>
      <c r="J99" s="331">
        <f t="shared" si="17"/>
        <v>858.45</v>
      </c>
      <c r="L99">
        <f t="shared" si="11"/>
        <v>13</v>
      </c>
      <c r="M99">
        <f t="shared" si="12"/>
        <v>129</v>
      </c>
      <c r="N99">
        <f t="shared" si="13"/>
        <v>1252</v>
      </c>
      <c r="O99">
        <f t="shared" si="18"/>
        <v>16</v>
      </c>
    </row>
    <row r="100" spans="1:15">
      <c r="A100" s="329" t="s">
        <v>1112</v>
      </c>
      <c r="B100" s="329" t="s">
        <v>648</v>
      </c>
      <c r="C100" s="330">
        <f>VLOOKUP(B100, 'S14 ABC Output'!$A$3:$C$18, 3, 0)</f>
        <v>25649</v>
      </c>
      <c r="D100" s="330">
        <f>_xlfn.XLOOKUP(B100, 'S18 Operations'!$B$2:$B$534, 'S18 Operations'!$G$2:$G$534, 0, 0)</f>
        <v>200</v>
      </c>
      <c r="E100" s="330">
        <f t="shared" si="14"/>
        <v>129</v>
      </c>
      <c r="F100" s="330">
        <f>VLOOKUP(A100, 'S17 Work Stations'!$A$2:$C$45, 3, 0)</f>
        <v>1</v>
      </c>
      <c r="G100" s="330" cm="1">
        <f t="array" ref="G100">VLOOKUP(A100&amp;"-"&amp;B100, CHOOSE({1,2}, 'S18 Operations'!$D$2:$D$534&amp;"-"&amp;'S18 Operations'!$B$2:$B$534, 'S18 Operations'!$F$2:$F$534), 2, 0)</f>
        <v>0</v>
      </c>
      <c r="H100" s="331">
        <f t="shared" si="15"/>
        <v>0</v>
      </c>
      <c r="I100" s="331">
        <f t="shared" si="16"/>
        <v>129</v>
      </c>
      <c r="J100" s="331">
        <f t="shared" si="17"/>
        <v>2.15</v>
      </c>
      <c r="L100">
        <f t="shared" si="11"/>
        <v>13</v>
      </c>
      <c r="M100">
        <f t="shared" si="12"/>
        <v>129</v>
      </c>
      <c r="N100">
        <f t="shared" si="13"/>
        <v>1252</v>
      </c>
      <c r="O100">
        <f t="shared" si="18"/>
        <v>16</v>
      </c>
    </row>
    <row r="101" spans="1:15">
      <c r="A101" s="329" t="s">
        <v>1112</v>
      </c>
      <c r="B101" s="329" t="s">
        <v>520</v>
      </c>
      <c r="C101" s="330">
        <f>VLOOKUP(B101, 'S14 ABC Output'!$A$3:$C$18, 3, 0)</f>
        <v>25639</v>
      </c>
      <c r="D101" s="330">
        <f>_xlfn.XLOOKUP(B101, 'S18 Operations'!$B$2:$B$534, 'S18 Operations'!$G$2:$G$534, 0, 0)</f>
        <v>200</v>
      </c>
      <c r="E101" s="330">
        <f t="shared" si="14"/>
        <v>129</v>
      </c>
      <c r="F101" s="330">
        <f>VLOOKUP(A101, 'S17 Work Stations'!$A$2:$C$45, 3, 0)</f>
        <v>1</v>
      </c>
      <c r="G101" s="330" cm="1">
        <f t="array" ref="G101">VLOOKUP(A101&amp;"-"&amp;B101, CHOOSE({1,2}, 'S18 Operations'!$D$2:$D$534&amp;"-"&amp;'S18 Operations'!$B$2:$B$534, 'S18 Operations'!$F$2:$F$534), 2, 0)</f>
        <v>0</v>
      </c>
      <c r="H101" s="331">
        <f t="shared" si="15"/>
        <v>0</v>
      </c>
      <c r="I101" s="331">
        <f t="shared" si="16"/>
        <v>129</v>
      </c>
      <c r="J101" s="331">
        <f t="shared" si="17"/>
        <v>2.15</v>
      </c>
      <c r="L101">
        <f t="shared" si="11"/>
        <v>13</v>
      </c>
      <c r="M101">
        <f t="shared" si="12"/>
        <v>129</v>
      </c>
      <c r="N101">
        <f t="shared" si="13"/>
        <v>1252</v>
      </c>
      <c r="O101">
        <f t="shared" si="18"/>
        <v>16</v>
      </c>
    </row>
    <row r="102" spans="1:15">
      <c r="A102" s="329" t="s">
        <v>1112</v>
      </c>
      <c r="B102" s="329" t="s">
        <v>654</v>
      </c>
      <c r="C102" s="330">
        <f>VLOOKUP(B102, 'S14 ABC Output'!$A$3:$C$18, 3, 0)</f>
        <v>25468</v>
      </c>
      <c r="D102" s="330">
        <f>_xlfn.XLOOKUP(B102, 'S18 Operations'!$B$2:$B$534, 'S18 Operations'!$G$2:$G$534, 0, 0)</f>
        <v>50</v>
      </c>
      <c r="E102" s="330">
        <f t="shared" si="14"/>
        <v>510</v>
      </c>
      <c r="F102" s="330">
        <f>VLOOKUP(A102, 'S17 Work Stations'!$A$2:$C$45, 3, 0)</f>
        <v>1</v>
      </c>
      <c r="G102" s="330" cm="1">
        <f t="array" ref="G102">VLOOKUP(A102&amp;"-"&amp;B102, CHOOSE({1,2}, 'S18 Operations'!$D$2:$D$534&amp;"-"&amp;'S18 Operations'!$B$2:$B$534, 'S18 Operations'!$F$2:$F$534), 2, 0)</f>
        <v>0</v>
      </c>
      <c r="H102" s="331">
        <f t="shared" si="15"/>
        <v>0</v>
      </c>
      <c r="I102" s="331">
        <f t="shared" si="16"/>
        <v>510</v>
      </c>
      <c r="J102" s="331">
        <f t="shared" si="17"/>
        <v>8.5</v>
      </c>
      <c r="L102">
        <f t="shared" si="11"/>
        <v>4</v>
      </c>
      <c r="M102">
        <f t="shared" si="12"/>
        <v>129</v>
      </c>
      <c r="N102">
        <f t="shared" si="13"/>
        <v>1252</v>
      </c>
      <c r="O102">
        <f t="shared" si="18"/>
        <v>16</v>
      </c>
    </row>
    <row r="103" spans="1:15">
      <c r="A103" s="329" t="s">
        <v>1113</v>
      </c>
      <c r="B103" s="329" t="s">
        <v>526</v>
      </c>
      <c r="C103" s="330">
        <f>VLOOKUP(B103, 'S14 ABC Output'!$A$3:$C$18, 3, 0)</f>
        <v>250356</v>
      </c>
      <c r="D103" s="330">
        <f>_xlfn.XLOOKUP(B103, 'S18 Operations'!$B$2:$B$534, 'S18 Operations'!$G$2:$G$534, 0, 0)</f>
        <v>200</v>
      </c>
      <c r="E103" s="330">
        <f t="shared" si="14"/>
        <v>1252</v>
      </c>
      <c r="F103" s="330">
        <f>VLOOKUP(A103, 'S17 Work Stations'!$A$2:$C$45, 3, 0)</f>
        <v>1</v>
      </c>
      <c r="G103" s="330" cm="1">
        <f t="array" ref="G103">VLOOKUP(A103&amp;"-"&amp;B103, CHOOSE({1,2}, 'S18 Operations'!$D$2:$D$534&amp;"-"&amp;'S18 Operations'!$B$2:$B$534, 'S18 Operations'!$F$2:$F$534), 2, 0)</f>
        <v>0</v>
      </c>
      <c r="H103" s="331">
        <f t="shared" si="15"/>
        <v>0</v>
      </c>
      <c r="I103" s="331">
        <f t="shared" si="16"/>
        <v>1078</v>
      </c>
      <c r="J103" s="331">
        <f t="shared" si="17"/>
        <v>17.966666666666665</v>
      </c>
      <c r="L103">
        <f t="shared" si="11"/>
        <v>1</v>
      </c>
      <c r="M103">
        <f t="shared" si="12"/>
        <v>129</v>
      </c>
      <c r="N103">
        <f t="shared" si="13"/>
        <v>1252</v>
      </c>
      <c r="O103">
        <f t="shared" si="18"/>
        <v>16</v>
      </c>
    </row>
    <row r="104" spans="1:15">
      <c r="A104" s="329" t="s">
        <v>1113</v>
      </c>
      <c r="B104" s="329" t="s">
        <v>514</v>
      </c>
      <c r="C104" s="330">
        <f>VLOOKUP(B104, 'S14 ABC Output'!$A$3:$C$18, 3, 0)</f>
        <v>215425</v>
      </c>
      <c r="D104" s="330">
        <f>_xlfn.XLOOKUP(B104, 'S18 Operations'!$B$2:$B$534, 'S18 Operations'!$G$2:$G$534, 0, 0)</f>
        <v>200</v>
      </c>
      <c r="E104" s="330">
        <f t="shared" si="14"/>
        <v>1078</v>
      </c>
      <c r="F104" s="330">
        <f>VLOOKUP(A104, 'S17 Work Stations'!$A$2:$C$45, 3, 0)</f>
        <v>1</v>
      </c>
      <c r="G104" s="330" cm="1">
        <f t="array" ref="G104">VLOOKUP(A104&amp;"-"&amp;B104, CHOOSE({1,2}, 'S18 Operations'!$D$2:$D$534&amp;"-"&amp;'S18 Operations'!$B$2:$B$534, 'S18 Operations'!$F$2:$F$534), 2, 0)</f>
        <v>0</v>
      </c>
      <c r="H104" s="331">
        <f t="shared" si="15"/>
        <v>0</v>
      </c>
      <c r="I104" s="331">
        <f t="shared" si="16"/>
        <v>1078</v>
      </c>
      <c r="J104" s="331">
        <f t="shared" si="17"/>
        <v>17.966666666666665</v>
      </c>
      <c r="L104">
        <f t="shared" si="11"/>
        <v>2</v>
      </c>
      <c r="M104">
        <f t="shared" si="12"/>
        <v>129</v>
      </c>
      <c r="N104">
        <f t="shared" si="13"/>
        <v>1252</v>
      </c>
      <c r="O104">
        <f t="shared" si="18"/>
        <v>16</v>
      </c>
    </row>
    <row r="105" spans="1:15">
      <c r="A105" s="329" t="s">
        <v>1113</v>
      </c>
      <c r="B105" s="329" t="s">
        <v>580</v>
      </c>
      <c r="C105" s="330">
        <f>VLOOKUP(B105, 'S14 ABC Output'!$A$3:$C$18, 3, 0)</f>
        <v>125036</v>
      </c>
      <c r="D105" s="330">
        <f>_xlfn.XLOOKUP(B105, 'S18 Operations'!$B$2:$B$534, 'S18 Operations'!$G$2:$G$534, 0, 0)</f>
        <v>200</v>
      </c>
      <c r="E105" s="330">
        <f t="shared" si="14"/>
        <v>626</v>
      </c>
      <c r="F105" s="330">
        <f>VLOOKUP(A105, 'S17 Work Stations'!$A$2:$C$45, 3, 0)</f>
        <v>1</v>
      </c>
      <c r="G105" s="330" cm="1">
        <f t="array" ref="G105">VLOOKUP(A105&amp;"-"&amp;B105, CHOOSE({1,2}, 'S18 Operations'!$D$2:$D$534&amp;"-"&amp;'S18 Operations'!$B$2:$B$534, 'S18 Operations'!$F$2:$F$534), 2, 0)</f>
        <v>0</v>
      </c>
      <c r="H105" s="331">
        <f t="shared" si="15"/>
        <v>0</v>
      </c>
      <c r="I105" s="331">
        <f t="shared" si="16"/>
        <v>626</v>
      </c>
      <c r="J105" s="331">
        <f t="shared" si="17"/>
        <v>10.433333333333334</v>
      </c>
      <c r="L105">
        <f t="shared" si="11"/>
        <v>3</v>
      </c>
      <c r="M105">
        <f t="shared" si="12"/>
        <v>129</v>
      </c>
      <c r="N105">
        <f t="shared" si="13"/>
        <v>1252</v>
      </c>
      <c r="O105">
        <f t="shared" si="18"/>
        <v>16</v>
      </c>
    </row>
    <row r="106" spans="1:15">
      <c r="A106" s="329" t="s">
        <v>1113</v>
      </c>
      <c r="B106" s="329" t="s">
        <v>634</v>
      </c>
      <c r="C106" s="330">
        <f>VLOOKUP(B106, 'S14 ABC Output'!$A$3:$C$18, 3, 0)</f>
        <v>86542</v>
      </c>
      <c r="D106" s="330">
        <f>_xlfn.XLOOKUP(B106, 'S18 Operations'!$B$2:$B$534, 'S18 Operations'!$G$2:$G$534, 0, 0)</f>
        <v>200</v>
      </c>
      <c r="E106" s="330">
        <f t="shared" si="14"/>
        <v>433</v>
      </c>
      <c r="F106" s="330">
        <f>VLOOKUP(A106, 'S17 Work Stations'!$A$2:$C$45, 3, 0)</f>
        <v>1</v>
      </c>
      <c r="G106" s="330" cm="1">
        <f t="array" ref="G106">VLOOKUP(A106&amp;"-"&amp;B106, CHOOSE({1,2}, 'S18 Operations'!$D$2:$D$534&amp;"-"&amp;'S18 Operations'!$B$2:$B$534, 'S18 Operations'!$F$2:$F$534), 2, 0)</f>
        <v>0</v>
      </c>
      <c r="H106" s="331">
        <f t="shared" si="15"/>
        <v>0</v>
      </c>
      <c r="I106" s="331">
        <f t="shared" si="16"/>
        <v>433</v>
      </c>
      <c r="J106" s="331">
        <f t="shared" si="17"/>
        <v>7.2166666666666668</v>
      </c>
      <c r="L106">
        <f t="shared" si="11"/>
        <v>5</v>
      </c>
      <c r="M106">
        <f t="shared" si="12"/>
        <v>129</v>
      </c>
      <c r="N106">
        <f t="shared" si="13"/>
        <v>1252</v>
      </c>
      <c r="O106">
        <f t="shared" si="18"/>
        <v>16</v>
      </c>
    </row>
    <row r="107" spans="1:15">
      <c r="A107" s="329" t="s">
        <v>1113</v>
      </c>
      <c r="B107" s="329" t="s">
        <v>610</v>
      </c>
      <c r="C107" s="330">
        <f>VLOOKUP(B107, 'S14 ABC Output'!$A$3:$C$18, 3, 0)</f>
        <v>85612</v>
      </c>
      <c r="D107" s="330">
        <f>_xlfn.XLOOKUP(B107, 'S18 Operations'!$B$2:$B$534, 'S18 Operations'!$G$2:$G$534, 0, 0)</f>
        <v>200</v>
      </c>
      <c r="E107" s="330">
        <f t="shared" si="14"/>
        <v>429</v>
      </c>
      <c r="F107" s="330">
        <f>VLOOKUP(A107, 'S17 Work Stations'!$A$2:$C$45, 3, 0)</f>
        <v>1</v>
      </c>
      <c r="G107" s="330" cm="1">
        <f t="array" ref="G107">VLOOKUP(A107&amp;"-"&amp;B107, CHOOSE({1,2}, 'S18 Operations'!$D$2:$D$534&amp;"-"&amp;'S18 Operations'!$B$2:$B$534, 'S18 Operations'!$F$2:$F$534), 2, 0)</f>
        <v>0</v>
      </c>
      <c r="H107" s="331">
        <f t="shared" si="15"/>
        <v>0</v>
      </c>
      <c r="I107" s="331">
        <f t="shared" si="16"/>
        <v>429</v>
      </c>
      <c r="J107" s="331">
        <f t="shared" si="17"/>
        <v>7.15</v>
      </c>
      <c r="L107">
        <f t="shared" si="11"/>
        <v>6</v>
      </c>
      <c r="M107">
        <f t="shared" si="12"/>
        <v>129</v>
      </c>
      <c r="N107">
        <f t="shared" si="13"/>
        <v>1252</v>
      </c>
      <c r="O107">
        <f t="shared" si="18"/>
        <v>16</v>
      </c>
    </row>
    <row r="108" spans="1:15">
      <c r="A108" s="329" t="s">
        <v>1113</v>
      </c>
      <c r="B108" s="329" t="s">
        <v>642</v>
      </c>
      <c r="C108" s="330">
        <f>VLOOKUP(B108, 'S14 ABC Output'!$A$3:$C$18, 3, 0)</f>
        <v>65248</v>
      </c>
      <c r="D108" s="330">
        <f>_xlfn.XLOOKUP(B108, 'S18 Operations'!$B$2:$B$534, 'S18 Operations'!$G$2:$G$534, 0, 0)</f>
        <v>200</v>
      </c>
      <c r="E108" s="330">
        <f t="shared" si="14"/>
        <v>327</v>
      </c>
      <c r="F108" s="330">
        <f>VLOOKUP(A108, 'S17 Work Stations'!$A$2:$C$45, 3, 0)</f>
        <v>1</v>
      </c>
      <c r="G108" s="330" cm="1">
        <f t="array" ref="G108">VLOOKUP(A108&amp;"-"&amp;B108, CHOOSE({1,2}, 'S18 Operations'!$D$2:$D$534&amp;"-"&amp;'S18 Operations'!$B$2:$B$534, 'S18 Operations'!$F$2:$F$534), 2, 0)</f>
        <v>0</v>
      </c>
      <c r="H108" s="331">
        <f t="shared" si="15"/>
        <v>0</v>
      </c>
      <c r="I108" s="331">
        <f t="shared" si="16"/>
        <v>327</v>
      </c>
      <c r="J108" s="331">
        <f t="shared" si="17"/>
        <v>5.45</v>
      </c>
      <c r="L108">
        <f t="shared" si="11"/>
        <v>7</v>
      </c>
      <c r="M108">
        <f t="shared" si="12"/>
        <v>129</v>
      </c>
      <c r="N108">
        <f t="shared" si="13"/>
        <v>1252</v>
      </c>
      <c r="O108">
        <f t="shared" si="18"/>
        <v>16</v>
      </c>
    </row>
    <row r="109" spans="1:15">
      <c r="A109" s="329" t="s">
        <v>1113</v>
      </c>
      <c r="B109" s="329" t="s">
        <v>612</v>
      </c>
      <c r="C109" s="330">
        <f>VLOOKUP(B109, 'S14 ABC Output'!$A$3:$C$18, 3, 0)</f>
        <v>54682</v>
      </c>
      <c r="D109" s="330">
        <f>_xlfn.XLOOKUP(B109, 'S18 Operations'!$B$2:$B$534, 'S18 Operations'!$G$2:$G$534, 0, 0)</f>
        <v>200</v>
      </c>
      <c r="E109" s="330">
        <f t="shared" si="14"/>
        <v>274</v>
      </c>
      <c r="F109" s="330">
        <f>VLOOKUP(A109, 'S17 Work Stations'!$A$2:$C$45, 3, 0)</f>
        <v>1</v>
      </c>
      <c r="G109" s="330" cm="1">
        <f t="array" ref="G109">VLOOKUP(A109&amp;"-"&amp;B109, CHOOSE({1,2}, 'S18 Operations'!$D$2:$D$534&amp;"-"&amp;'S18 Operations'!$B$2:$B$534, 'S18 Operations'!$F$2:$F$534), 2, 0)</f>
        <v>0</v>
      </c>
      <c r="H109" s="331">
        <f t="shared" si="15"/>
        <v>0</v>
      </c>
      <c r="I109" s="331">
        <f t="shared" si="16"/>
        <v>274</v>
      </c>
      <c r="J109" s="331">
        <f t="shared" si="17"/>
        <v>4.5666666666666664</v>
      </c>
      <c r="L109">
        <f t="shared" si="11"/>
        <v>8</v>
      </c>
      <c r="M109">
        <f t="shared" si="12"/>
        <v>129</v>
      </c>
      <c r="N109">
        <f t="shared" si="13"/>
        <v>1252</v>
      </c>
      <c r="O109">
        <f t="shared" si="18"/>
        <v>16</v>
      </c>
    </row>
    <row r="110" spans="1:15">
      <c r="A110" s="329" t="s">
        <v>1113</v>
      </c>
      <c r="B110" s="329" t="s">
        <v>530</v>
      </c>
      <c r="C110" s="330">
        <f>VLOOKUP(B110, 'S14 ABC Output'!$A$3:$C$18, 3, 0)</f>
        <v>50689</v>
      </c>
      <c r="D110" s="330">
        <f>_xlfn.XLOOKUP(B110, 'S18 Operations'!$B$2:$B$534, 'S18 Operations'!$G$2:$G$534, 0, 0)</f>
        <v>200</v>
      </c>
      <c r="E110" s="330">
        <f t="shared" si="14"/>
        <v>254</v>
      </c>
      <c r="F110" s="330">
        <f>VLOOKUP(A110, 'S17 Work Stations'!$A$2:$C$45, 3, 0)</f>
        <v>1</v>
      </c>
      <c r="G110" s="330" cm="1">
        <f t="array" ref="G110">VLOOKUP(A110&amp;"-"&amp;B110, CHOOSE({1,2}, 'S18 Operations'!$D$2:$D$534&amp;"-"&amp;'S18 Operations'!$B$2:$B$534, 'S18 Operations'!$F$2:$F$534), 2, 0)</f>
        <v>0</v>
      </c>
      <c r="H110" s="331">
        <f t="shared" si="15"/>
        <v>0</v>
      </c>
      <c r="I110" s="331">
        <f t="shared" si="16"/>
        <v>254</v>
      </c>
      <c r="J110" s="331">
        <f t="shared" si="17"/>
        <v>4.2333333333333334</v>
      </c>
      <c r="L110">
        <f t="shared" si="11"/>
        <v>9</v>
      </c>
      <c r="M110">
        <f t="shared" si="12"/>
        <v>129</v>
      </c>
      <c r="N110">
        <f t="shared" si="13"/>
        <v>1252</v>
      </c>
      <c r="O110">
        <f t="shared" si="18"/>
        <v>16</v>
      </c>
    </row>
    <row r="111" spans="1:15">
      <c r="A111" s="329" t="s">
        <v>1113</v>
      </c>
      <c r="B111" s="329" t="s">
        <v>638</v>
      </c>
      <c r="C111" s="330">
        <f>VLOOKUP(B111, 'S14 ABC Output'!$A$3:$C$18, 3, 0)</f>
        <v>45896</v>
      </c>
      <c r="D111" s="330">
        <f>_xlfn.XLOOKUP(B111, 'S18 Operations'!$B$2:$B$534, 'S18 Operations'!$G$2:$G$534, 0, 0)</f>
        <v>200</v>
      </c>
      <c r="E111" s="330">
        <f t="shared" si="14"/>
        <v>230</v>
      </c>
      <c r="F111" s="330">
        <f>VLOOKUP(A111, 'S17 Work Stations'!$A$2:$C$45, 3, 0)</f>
        <v>1</v>
      </c>
      <c r="G111" s="330" cm="1">
        <f t="array" ref="G111">VLOOKUP(A111&amp;"-"&amp;B111, CHOOSE({1,2}, 'S18 Operations'!$D$2:$D$534&amp;"-"&amp;'S18 Operations'!$B$2:$B$534, 'S18 Operations'!$F$2:$F$534), 2, 0)</f>
        <v>0</v>
      </c>
      <c r="H111" s="331">
        <f t="shared" si="15"/>
        <v>0</v>
      </c>
      <c r="I111" s="331">
        <f t="shared" si="16"/>
        <v>230</v>
      </c>
      <c r="J111" s="331">
        <f t="shared" si="17"/>
        <v>3.8333333333333335</v>
      </c>
      <c r="L111">
        <f t="shared" si="11"/>
        <v>10</v>
      </c>
      <c r="M111">
        <f t="shared" si="12"/>
        <v>129</v>
      </c>
      <c r="N111">
        <f t="shared" si="13"/>
        <v>1252</v>
      </c>
      <c r="O111">
        <f t="shared" si="18"/>
        <v>16</v>
      </c>
    </row>
    <row r="112" spans="1:15">
      <c r="A112" s="329" t="s">
        <v>1113</v>
      </c>
      <c r="B112" s="329" t="s">
        <v>644</v>
      </c>
      <c r="C112" s="330">
        <f>VLOOKUP(B112, 'S14 ABC Output'!$A$3:$C$18, 3, 0)</f>
        <v>36524</v>
      </c>
      <c r="D112" s="330">
        <f>_xlfn.XLOOKUP(B112, 'S18 Operations'!$B$2:$B$534, 'S18 Operations'!$G$2:$G$534, 0, 0)</f>
        <v>200</v>
      </c>
      <c r="E112" s="330">
        <f t="shared" si="14"/>
        <v>183</v>
      </c>
      <c r="F112" s="330">
        <f>VLOOKUP(A112, 'S17 Work Stations'!$A$2:$C$45, 3, 0)</f>
        <v>1</v>
      </c>
      <c r="G112" s="330" cm="1">
        <f t="array" ref="G112">VLOOKUP(A112&amp;"-"&amp;B112, CHOOSE({1,2}, 'S18 Operations'!$D$2:$D$534&amp;"-"&amp;'S18 Operations'!$B$2:$B$534, 'S18 Operations'!$F$2:$F$534), 2, 0)</f>
        <v>0</v>
      </c>
      <c r="H112" s="331">
        <f t="shared" si="15"/>
        <v>0</v>
      </c>
      <c r="I112" s="331">
        <f t="shared" si="16"/>
        <v>183</v>
      </c>
      <c r="J112" s="331">
        <f t="shared" si="17"/>
        <v>3.05</v>
      </c>
      <c r="L112">
        <f t="shared" si="11"/>
        <v>11</v>
      </c>
      <c r="M112">
        <f t="shared" si="12"/>
        <v>129</v>
      </c>
      <c r="N112">
        <f t="shared" si="13"/>
        <v>1252</v>
      </c>
      <c r="O112">
        <f t="shared" si="18"/>
        <v>16</v>
      </c>
    </row>
    <row r="113" spans="1:15">
      <c r="A113" s="329" t="s">
        <v>1113</v>
      </c>
      <c r="B113" s="329" t="s">
        <v>646</v>
      </c>
      <c r="C113" s="330">
        <f>VLOOKUP(B113, 'S14 ABC Output'!$A$3:$C$18, 3, 0)</f>
        <v>36502</v>
      </c>
      <c r="D113" s="330">
        <f>_xlfn.XLOOKUP(B113, 'S18 Operations'!$B$2:$B$534, 'S18 Operations'!$G$2:$G$534, 0, 0)</f>
        <v>200</v>
      </c>
      <c r="E113" s="330">
        <f t="shared" si="14"/>
        <v>183</v>
      </c>
      <c r="F113" s="330">
        <f>VLOOKUP(A113, 'S17 Work Stations'!$A$2:$C$45, 3, 0)</f>
        <v>1</v>
      </c>
      <c r="G113" s="330" cm="1">
        <f t="array" ref="G113">VLOOKUP(A113&amp;"-"&amp;B113, CHOOSE({1,2}, 'S18 Operations'!$D$2:$D$534&amp;"-"&amp;'S18 Operations'!$B$2:$B$534, 'S18 Operations'!$F$2:$F$534), 2, 0)</f>
        <v>0</v>
      </c>
      <c r="H113" s="331">
        <f t="shared" si="15"/>
        <v>0</v>
      </c>
      <c r="I113" s="331">
        <f t="shared" si="16"/>
        <v>183</v>
      </c>
      <c r="J113" s="331">
        <f t="shared" si="17"/>
        <v>3.05</v>
      </c>
      <c r="L113">
        <f t="shared" si="11"/>
        <v>11</v>
      </c>
      <c r="M113">
        <f t="shared" si="12"/>
        <v>129</v>
      </c>
      <c r="N113">
        <f t="shared" si="13"/>
        <v>1252</v>
      </c>
      <c r="O113">
        <f t="shared" si="18"/>
        <v>16</v>
      </c>
    </row>
    <row r="114" spans="1:15">
      <c r="A114" s="329" t="s">
        <v>1113</v>
      </c>
      <c r="B114" s="329" t="s">
        <v>518</v>
      </c>
      <c r="C114" s="330">
        <f>VLOOKUP(B114, 'S14 ABC Output'!$A$3:$C$18, 3, 0)</f>
        <v>25689</v>
      </c>
      <c r="D114" s="330">
        <f>_xlfn.XLOOKUP(B114, 'S18 Operations'!$B$2:$B$534, 'S18 Operations'!$G$2:$G$534, 0, 0)</f>
        <v>200</v>
      </c>
      <c r="E114" s="330">
        <f t="shared" si="14"/>
        <v>129</v>
      </c>
      <c r="F114" s="330">
        <f>VLOOKUP(A114, 'S17 Work Stations'!$A$2:$C$45, 3, 0)</f>
        <v>1</v>
      </c>
      <c r="G114" s="330" cm="1">
        <f t="array" ref="G114">VLOOKUP(A114&amp;"-"&amp;B114, CHOOSE({1,2}, 'S18 Operations'!$D$2:$D$534&amp;"-"&amp;'S18 Operations'!$B$2:$B$534, 'S18 Operations'!$F$2:$F$534), 2, 0)</f>
        <v>0</v>
      </c>
      <c r="H114" s="331">
        <f t="shared" si="15"/>
        <v>0</v>
      </c>
      <c r="I114" s="331">
        <f t="shared" si="16"/>
        <v>129</v>
      </c>
      <c r="J114" s="331">
        <f t="shared" si="17"/>
        <v>2.15</v>
      </c>
      <c r="L114">
        <f t="shared" si="11"/>
        <v>13</v>
      </c>
      <c r="M114">
        <f t="shared" si="12"/>
        <v>129</v>
      </c>
      <c r="N114">
        <f t="shared" si="13"/>
        <v>1252</v>
      </c>
      <c r="O114">
        <f t="shared" si="18"/>
        <v>16</v>
      </c>
    </row>
    <row r="115" spans="1:15">
      <c r="A115" s="329" t="s">
        <v>1113</v>
      </c>
      <c r="B115" s="329" t="s">
        <v>652</v>
      </c>
      <c r="C115" s="330">
        <f>VLOOKUP(B115, 'S14 ABC Output'!$A$3:$C$18, 3, 0)</f>
        <v>25689</v>
      </c>
      <c r="D115" s="330">
        <f>_xlfn.XLOOKUP(B115, 'S18 Operations'!$B$2:$B$534, 'S18 Operations'!$G$2:$G$534, 0, 0)</f>
        <v>200</v>
      </c>
      <c r="E115" s="330">
        <f t="shared" si="14"/>
        <v>129</v>
      </c>
      <c r="F115" s="330">
        <f>VLOOKUP(A115, 'S17 Work Stations'!$A$2:$C$45, 3, 0)</f>
        <v>1</v>
      </c>
      <c r="G115" s="330" cm="1">
        <f t="array" ref="G115">VLOOKUP(A115&amp;"-"&amp;B115, CHOOSE({1,2}, 'S18 Operations'!$D$2:$D$534&amp;"-"&amp;'S18 Operations'!$B$2:$B$534, 'S18 Operations'!$F$2:$F$534), 2, 0)</f>
        <v>240</v>
      </c>
      <c r="H115" s="331">
        <f t="shared" si="15"/>
        <v>4</v>
      </c>
      <c r="I115" s="331">
        <f t="shared" si="16"/>
        <v>102885</v>
      </c>
      <c r="J115" s="331">
        <f t="shared" si="17"/>
        <v>1714.75</v>
      </c>
      <c r="L115">
        <f t="shared" si="11"/>
        <v>13</v>
      </c>
      <c r="M115">
        <f t="shared" si="12"/>
        <v>129</v>
      </c>
      <c r="N115">
        <f t="shared" si="13"/>
        <v>1252</v>
      </c>
      <c r="O115">
        <f t="shared" si="18"/>
        <v>16</v>
      </c>
    </row>
    <row r="116" spans="1:15">
      <c r="A116" s="329" t="s">
        <v>1113</v>
      </c>
      <c r="B116" s="329" t="s">
        <v>648</v>
      </c>
      <c r="C116" s="330">
        <f>VLOOKUP(B116, 'S14 ABC Output'!$A$3:$C$18, 3, 0)</f>
        <v>25649</v>
      </c>
      <c r="D116" s="330">
        <f>_xlfn.XLOOKUP(B116, 'S18 Operations'!$B$2:$B$534, 'S18 Operations'!$G$2:$G$534, 0, 0)</f>
        <v>200</v>
      </c>
      <c r="E116" s="330">
        <f t="shared" si="14"/>
        <v>129</v>
      </c>
      <c r="F116" s="330">
        <f>VLOOKUP(A116, 'S17 Work Stations'!$A$2:$C$45, 3, 0)</f>
        <v>1</v>
      </c>
      <c r="G116" s="330" cm="1">
        <f t="array" ref="G116">VLOOKUP(A116&amp;"-"&amp;B116, CHOOSE({1,2}, 'S18 Operations'!$D$2:$D$534&amp;"-"&amp;'S18 Operations'!$B$2:$B$534, 'S18 Operations'!$F$2:$F$534), 2, 0)</f>
        <v>0</v>
      </c>
      <c r="H116" s="331">
        <f t="shared" si="15"/>
        <v>0</v>
      </c>
      <c r="I116" s="331">
        <f t="shared" si="16"/>
        <v>129</v>
      </c>
      <c r="J116" s="331">
        <f t="shared" si="17"/>
        <v>2.15</v>
      </c>
      <c r="L116">
        <f t="shared" si="11"/>
        <v>13</v>
      </c>
      <c r="M116">
        <f t="shared" si="12"/>
        <v>129</v>
      </c>
      <c r="N116">
        <f t="shared" si="13"/>
        <v>1252</v>
      </c>
      <c r="O116">
        <f t="shared" si="18"/>
        <v>16</v>
      </c>
    </row>
    <row r="117" spans="1:15">
      <c r="A117" s="329" t="s">
        <v>1113</v>
      </c>
      <c r="B117" s="329" t="s">
        <v>520</v>
      </c>
      <c r="C117" s="330">
        <f>VLOOKUP(B117, 'S14 ABC Output'!$A$3:$C$18, 3, 0)</f>
        <v>25639</v>
      </c>
      <c r="D117" s="330">
        <f>_xlfn.XLOOKUP(B117, 'S18 Operations'!$B$2:$B$534, 'S18 Operations'!$G$2:$G$534, 0, 0)</f>
        <v>200</v>
      </c>
      <c r="E117" s="330">
        <f t="shared" si="14"/>
        <v>129</v>
      </c>
      <c r="F117" s="330">
        <f>VLOOKUP(A117, 'S17 Work Stations'!$A$2:$C$45, 3, 0)</f>
        <v>1</v>
      </c>
      <c r="G117" s="330" cm="1">
        <f t="array" ref="G117">VLOOKUP(A117&amp;"-"&amp;B117, CHOOSE({1,2}, 'S18 Operations'!$D$2:$D$534&amp;"-"&amp;'S18 Operations'!$B$2:$B$534, 'S18 Operations'!$F$2:$F$534), 2, 0)</f>
        <v>0</v>
      </c>
      <c r="H117" s="331">
        <f t="shared" si="15"/>
        <v>0</v>
      </c>
      <c r="I117" s="331">
        <f t="shared" si="16"/>
        <v>129</v>
      </c>
      <c r="J117" s="331">
        <f t="shared" si="17"/>
        <v>2.15</v>
      </c>
      <c r="L117">
        <f t="shared" si="11"/>
        <v>13</v>
      </c>
      <c r="M117">
        <f t="shared" si="12"/>
        <v>129</v>
      </c>
      <c r="N117">
        <f t="shared" si="13"/>
        <v>1252</v>
      </c>
      <c r="O117">
        <f t="shared" si="18"/>
        <v>16</v>
      </c>
    </row>
    <row r="118" spans="1:15">
      <c r="A118" s="329" t="s">
        <v>1113</v>
      </c>
      <c r="B118" s="329" t="s">
        <v>654</v>
      </c>
      <c r="C118" s="330">
        <f>VLOOKUP(B118, 'S14 ABC Output'!$A$3:$C$18, 3, 0)</f>
        <v>25468</v>
      </c>
      <c r="D118" s="330">
        <f>_xlfn.XLOOKUP(B118, 'S18 Operations'!$B$2:$B$534, 'S18 Operations'!$G$2:$G$534, 0, 0)</f>
        <v>50</v>
      </c>
      <c r="E118" s="330">
        <f t="shared" si="14"/>
        <v>510</v>
      </c>
      <c r="F118" s="330">
        <f>VLOOKUP(A118, 'S17 Work Stations'!$A$2:$C$45, 3, 0)</f>
        <v>1</v>
      </c>
      <c r="G118" s="330" cm="1">
        <f t="array" ref="G118">VLOOKUP(A118&amp;"-"&amp;B118, CHOOSE({1,2}, 'S18 Operations'!$D$2:$D$534&amp;"-"&amp;'S18 Operations'!$B$2:$B$534, 'S18 Operations'!$F$2:$F$534), 2, 0)</f>
        <v>300</v>
      </c>
      <c r="H118" s="331">
        <f t="shared" si="15"/>
        <v>5</v>
      </c>
      <c r="I118" s="331">
        <f t="shared" si="16"/>
        <v>127850</v>
      </c>
      <c r="J118" s="331">
        <f t="shared" si="17"/>
        <v>2130.8333333333335</v>
      </c>
      <c r="L118">
        <f t="shared" si="11"/>
        <v>4</v>
      </c>
      <c r="M118">
        <f t="shared" si="12"/>
        <v>129</v>
      </c>
      <c r="N118">
        <f t="shared" si="13"/>
        <v>1252</v>
      </c>
      <c r="O118">
        <f>COUNT( _xlfn.IFS(B118=$S$2,#REF!, B118=$T$2,#REF!, B118=$U$2,#REF!, B118=$V$2,#REF!, B118=$W$2,#REF!, B118=$X$2,#REF!, B118=$Y$2,#REF!, B118=$Z$2,#REF!, B118=$AA$2,#REF!, B118=$AB$2,#REF!, B118= $AC$2,#REF!, B118=$AD$2,#REF!, B118=$AE$2,#REF!, B118=$AF$2,#REF!, B118=$AG$2,#REF!, B118=$AH$2,#REF!, B118=$AI$2,#REF!, B118=$AJ$2,#REF!, B118=$AK$2,#REF!, B118=$AL$2,#REF!, B118=$AM$2,#REF!, B118=$AN$2,#REF!, B118=$AO$2,#REF!, B118=$AP$2,#REF!, B118=$AQ$2,#REF!, B118=$AR$2,#REF!))</f>
        <v>0</v>
      </c>
    </row>
    <row r="119" spans="1:15">
      <c r="A119" s="334"/>
      <c r="B119" s="334"/>
      <c r="H119" s="335"/>
      <c r="I119" s="335"/>
    </row>
    <row r="120" spans="1:15">
      <c r="A120" s="334"/>
      <c r="B120" s="334"/>
      <c r="H120" s="335"/>
      <c r="I120" s="335"/>
    </row>
    <row r="121" spans="1:15">
      <c r="A121" s="334"/>
      <c r="B121" s="334"/>
      <c r="H121" s="335"/>
      <c r="I121" s="335"/>
    </row>
    <row r="122" spans="1:15">
      <c r="A122" s="334"/>
      <c r="B122" s="334"/>
      <c r="H122" s="335"/>
      <c r="I122" s="335"/>
    </row>
    <row r="123" spans="1:15">
      <c r="A123" s="334"/>
      <c r="B123" s="334"/>
      <c r="H123" s="335"/>
      <c r="I123" s="335"/>
    </row>
    <row r="124" spans="1:15">
      <c r="A124" s="334"/>
      <c r="B124" s="334"/>
      <c r="H124" s="335"/>
      <c r="I124" s="335"/>
    </row>
    <row r="125" spans="1:15">
      <c r="A125" s="334"/>
      <c r="B125" s="334"/>
      <c r="H125" s="335"/>
      <c r="I125" s="335"/>
    </row>
    <row r="126" spans="1:15">
      <c r="A126" s="334"/>
      <c r="B126" s="334"/>
      <c r="H126" s="335"/>
      <c r="I126" s="335"/>
    </row>
    <row r="127" spans="1:15">
      <c r="A127" s="334"/>
      <c r="B127" s="334"/>
      <c r="H127" s="335"/>
      <c r="I127" s="335"/>
    </row>
    <row r="128" spans="1:15">
      <c r="A128" s="334"/>
      <c r="B128" s="334"/>
      <c r="H128" s="335"/>
      <c r="I128" s="335"/>
    </row>
    <row r="129" spans="1:9">
      <c r="A129" s="334"/>
      <c r="B129" s="334"/>
      <c r="H129" s="335"/>
      <c r="I129" s="335"/>
    </row>
    <row r="130" spans="1:9">
      <c r="A130" s="334"/>
      <c r="B130" s="334"/>
      <c r="H130" s="335"/>
      <c r="I130" s="335"/>
    </row>
    <row r="131" spans="1:9">
      <c r="A131" s="334"/>
      <c r="B131" s="334"/>
      <c r="H131" s="335"/>
      <c r="I131" s="335"/>
    </row>
    <row r="132" spans="1:9">
      <c r="A132" s="334"/>
      <c r="B132" s="334"/>
      <c r="H132" s="335"/>
      <c r="I132" s="335"/>
    </row>
    <row r="133" spans="1:9">
      <c r="A133" s="334"/>
      <c r="B133" s="334"/>
      <c r="H133" s="335"/>
      <c r="I133" s="335"/>
    </row>
    <row r="134" spans="1:9">
      <c r="A134" s="334"/>
      <c r="B134" s="334"/>
      <c r="H134" s="335"/>
      <c r="I134" s="335"/>
    </row>
    <row r="135" spans="1:9">
      <c r="A135" s="334"/>
      <c r="B135" s="334"/>
      <c r="H135" s="335"/>
      <c r="I135" s="335"/>
    </row>
    <row r="136" spans="1:9">
      <c r="A136" s="334"/>
      <c r="B136" s="334"/>
      <c r="H136" s="335"/>
      <c r="I136" s="335"/>
    </row>
    <row r="137" spans="1:9">
      <c r="A137" s="334"/>
      <c r="B137" s="334"/>
      <c r="H137" s="335"/>
      <c r="I137" s="335"/>
    </row>
    <row r="138" spans="1:9">
      <c r="A138" s="334"/>
      <c r="B138" s="334"/>
      <c r="H138" s="335"/>
      <c r="I138" s="335"/>
    </row>
    <row r="139" spans="1:9">
      <c r="A139" s="334"/>
      <c r="B139" s="334"/>
      <c r="H139" s="335"/>
      <c r="I139" s="335"/>
    </row>
    <row r="140" spans="1:9">
      <c r="A140" s="334"/>
      <c r="B140" s="334"/>
      <c r="H140" s="335"/>
      <c r="I140" s="335"/>
    </row>
    <row r="141" spans="1:9">
      <c r="A141" s="334"/>
      <c r="B141" s="334"/>
      <c r="H141" s="335"/>
      <c r="I141" s="335"/>
    </row>
    <row r="142" spans="1:9">
      <c r="A142" s="334"/>
      <c r="B142" s="334"/>
      <c r="H142" s="335"/>
      <c r="I142" s="335"/>
    </row>
    <row r="143" spans="1:9">
      <c r="A143" s="334"/>
      <c r="B143" s="334"/>
      <c r="H143" s="335"/>
      <c r="I143" s="335"/>
    </row>
    <row r="144" spans="1:9">
      <c r="A144" s="334"/>
      <c r="B144" s="334"/>
      <c r="H144" s="335"/>
      <c r="I144" s="335"/>
    </row>
    <row r="145" spans="1:9">
      <c r="A145" s="334"/>
      <c r="B145" s="334"/>
      <c r="H145" s="335"/>
      <c r="I145" s="335"/>
    </row>
    <row r="146" spans="1:9">
      <c r="A146" s="334"/>
      <c r="B146" s="334"/>
      <c r="H146" s="335"/>
      <c r="I146" s="335"/>
    </row>
    <row r="147" spans="1:9">
      <c r="A147" s="334"/>
      <c r="B147" s="334"/>
      <c r="H147" s="335"/>
      <c r="I147" s="335"/>
    </row>
    <row r="148" spans="1:9">
      <c r="A148" s="334"/>
      <c r="B148" s="334"/>
      <c r="H148" s="335"/>
      <c r="I148" s="335"/>
    </row>
    <row r="149" spans="1:9">
      <c r="A149" s="334"/>
      <c r="B149" s="334"/>
      <c r="H149" s="335"/>
      <c r="I149" s="335"/>
    </row>
    <row r="150" spans="1:9">
      <c r="A150" s="334"/>
      <c r="B150" s="334"/>
    </row>
    <row r="151" spans="1:9">
      <c r="A151" s="334"/>
      <c r="B151" s="334"/>
    </row>
    <row r="152" spans="1:9">
      <c r="A152" s="334"/>
      <c r="B152" s="334"/>
    </row>
    <row r="153" spans="1:9">
      <c r="A153" s="334"/>
      <c r="B153" s="334"/>
    </row>
    <row r="154" spans="1:9">
      <c r="A154" s="334"/>
      <c r="B154" s="334"/>
    </row>
    <row r="155" spans="1:9">
      <c r="A155" s="334"/>
      <c r="B155" s="334"/>
    </row>
    <row r="156" spans="1:9">
      <c r="A156" s="334"/>
      <c r="B156" s="334"/>
    </row>
    <row r="157" spans="1:9">
      <c r="A157" s="334"/>
      <c r="B157" s="334"/>
    </row>
    <row r="158" spans="1:9">
      <c r="A158" s="334"/>
      <c r="B158" s="334"/>
    </row>
    <row r="159" spans="1:9">
      <c r="A159" s="334"/>
      <c r="B159" s="334"/>
    </row>
    <row r="160" spans="1:9">
      <c r="A160" s="334"/>
      <c r="B160" s="334"/>
    </row>
    <row r="161" spans="1:2">
      <c r="A161" s="334"/>
      <c r="B161" s="334"/>
    </row>
    <row r="162" spans="1:2">
      <c r="A162" s="334"/>
      <c r="B162" s="334"/>
    </row>
    <row r="163" spans="1:2">
      <c r="A163" s="334"/>
      <c r="B163" s="334"/>
    </row>
    <row r="164" spans="1:2">
      <c r="A164" s="334"/>
      <c r="B164" s="334"/>
    </row>
    <row r="165" spans="1:2">
      <c r="A165" s="334"/>
      <c r="B165" s="334"/>
    </row>
    <row r="166" spans="1:2">
      <c r="A166" s="334"/>
      <c r="B166" s="334"/>
    </row>
    <row r="167" spans="1:2">
      <c r="A167" s="334"/>
      <c r="B167" s="334"/>
    </row>
    <row r="168" spans="1:2">
      <c r="A168" s="334"/>
      <c r="B168" s="334"/>
    </row>
    <row r="169" spans="1:2">
      <c r="A169" s="334"/>
      <c r="B169" s="334"/>
    </row>
    <row r="170" spans="1:2">
      <c r="A170" s="334"/>
      <c r="B170" s="334"/>
    </row>
    <row r="171" spans="1:2">
      <c r="A171" s="334"/>
      <c r="B171" s="334"/>
    </row>
    <row r="172" spans="1:2">
      <c r="A172" s="334"/>
      <c r="B172" s="334"/>
    </row>
    <row r="173" spans="1:2">
      <c r="A173" s="334"/>
      <c r="B173" s="334"/>
    </row>
    <row r="174" spans="1:2">
      <c r="A174" s="334"/>
      <c r="B174" s="334"/>
    </row>
    <row r="175" spans="1:2">
      <c r="A175" s="334"/>
      <c r="B175" s="334"/>
    </row>
    <row r="176" spans="1:2">
      <c r="A176" s="334"/>
      <c r="B176" s="334"/>
    </row>
    <row r="177" spans="1:2">
      <c r="A177" s="334"/>
      <c r="B177" s="334"/>
    </row>
    <row r="178" spans="1:2">
      <c r="A178" s="334"/>
      <c r="B178" s="334"/>
    </row>
    <row r="179" spans="1:2">
      <c r="A179" s="334"/>
      <c r="B179" s="334"/>
    </row>
    <row r="180" spans="1:2">
      <c r="A180" s="334"/>
      <c r="B180" s="334"/>
    </row>
    <row r="181" spans="1:2">
      <c r="A181" s="334"/>
      <c r="B181" s="334"/>
    </row>
    <row r="182" spans="1:2">
      <c r="A182" s="334"/>
      <c r="B182" s="334"/>
    </row>
    <row r="183" spans="1:2">
      <c r="A183" s="334"/>
      <c r="B183" s="334"/>
    </row>
    <row r="184" spans="1:2">
      <c r="A184" s="334"/>
      <c r="B184" s="334"/>
    </row>
    <row r="185" spans="1:2">
      <c r="A185" s="334"/>
      <c r="B185" s="334"/>
    </row>
    <row r="186" spans="1:2">
      <c r="A186" s="334"/>
      <c r="B186" s="334"/>
    </row>
    <row r="187" spans="1:2">
      <c r="A187" s="334"/>
      <c r="B187" s="334"/>
    </row>
    <row r="188" spans="1:2">
      <c r="A188" s="334"/>
      <c r="B188" s="334"/>
    </row>
    <row r="189" spans="1:2">
      <c r="A189" s="334"/>
      <c r="B189" s="334"/>
    </row>
    <row r="190" spans="1:2">
      <c r="A190" s="334"/>
      <c r="B190" s="334"/>
    </row>
    <row r="191" spans="1:2">
      <c r="A191" s="334"/>
      <c r="B191" s="334"/>
    </row>
    <row r="192" spans="1:2">
      <c r="A192" s="334"/>
      <c r="B192" s="334"/>
    </row>
    <row r="193" spans="1:2">
      <c r="A193" s="334"/>
      <c r="B193" s="334"/>
    </row>
    <row r="194" spans="1:2">
      <c r="A194" s="334"/>
      <c r="B194" s="334"/>
    </row>
    <row r="195" spans="1:2">
      <c r="A195" s="334"/>
      <c r="B195" s="334"/>
    </row>
    <row r="196" spans="1:2">
      <c r="A196" s="334"/>
      <c r="B196" s="334"/>
    </row>
    <row r="197" spans="1:2">
      <c r="A197" s="334"/>
      <c r="B197" s="334"/>
    </row>
    <row r="198" spans="1:2">
      <c r="A198" s="334"/>
      <c r="B198" s="334"/>
    </row>
    <row r="199" spans="1:2">
      <c r="A199" s="334"/>
      <c r="B199" s="334"/>
    </row>
    <row r="200" spans="1:2">
      <c r="A200" s="334"/>
      <c r="B200" s="334"/>
    </row>
    <row r="201" spans="1:2">
      <c r="A201" s="334"/>
      <c r="B201" s="334"/>
    </row>
    <row r="202" spans="1:2">
      <c r="A202" s="334"/>
      <c r="B202" s="334"/>
    </row>
    <row r="203" spans="1:2">
      <c r="A203" s="334"/>
      <c r="B203" s="334"/>
    </row>
    <row r="204" spans="1:2">
      <c r="A204" s="334"/>
      <c r="B204" s="334"/>
    </row>
    <row r="205" spans="1:2">
      <c r="A205" s="334"/>
      <c r="B205" s="334"/>
    </row>
    <row r="206" spans="1:2">
      <c r="A206" s="334"/>
      <c r="B206" s="334"/>
    </row>
    <row r="207" spans="1:2">
      <c r="A207" s="334"/>
      <c r="B207" s="334"/>
    </row>
    <row r="208" spans="1:2">
      <c r="A208" s="334"/>
      <c r="B208" s="334"/>
    </row>
    <row r="209" spans="1:2">
      <c r="A209" s="334"/>
      <c r="B209" s="334"/>
    </row>
    <row r="210" spans="1:2">
      <c r="A210" s="334"/>
      <c r="B210" s="334"/>
    </row>
    <row r="211" spans="1:2">
      <c r="A211" s="334"/>
      <c r="B211" s="334"/>
    </row>
    <row r="212" spans="1:2">
      <c r="A212" s="334"/>
      <c r="B212" s="334"/>
    </row>
    <row r="213" spans="1:2">
      <c r="A213" s="334"/>
      <c r="B213" s="334"/>
    </row>
    <row r="214" spans="1:2">
      <c r="A214" s="334"/>
      <c r="B214" s="334"/>
    </row>
    <row r="215" spans="1:2">
      <c r="A215" s="334"/>
      <c r="B215" s="334"/>
    </row>
    <row r="216" spans="1:2">
      <c r="A216" s="334"/>
      <c r="B216" s="334"/>
    </row>
    <row r="217" spans="1:2">
      <c r="A217" s="334"/>
      <c r="B217" s="334"/>
    </row>
    <row r="218" spans="1:2">
      <c r="A218" s="334"/>
      <c r="B218" s="334"/>
    </row>
    <row r="219" spans="1:2">
      <c r="A219" s="334"/>
      <c r="B219" s="334"/>
    </row>
    <row r="220" spans="1:2">
      <c r="A220" s="334"/>
      <c r="B220" s="334"/>
    </row>
    <row r="221" spans="1:2">
      <c r="A221" s="334"/>
      <c r="B221" s="334"/>
    </row>
    <row r="222" spans="1:2">
      <c r="A222" s="334"/>
      <c r="B222" s="334"/>
    </row>
    <row r="223" spans="1:2">
      <c r="A223" s="334"/>
      <c r="B223" s="334"/>
    </row>
    <row r="224" spans="1:2">
      <c r="A224" s="334"/>
      <c r="B224" s="334"/>
    </row>
    <row r="225" spans="1:2">
      <c r="A225" s="334"/>
      <c r="B225" s="334"/>
    </row>
    <row r="226" spans="1:2">
      <c r="A226" s="334"/>
      <c r="B226" s="334"/>
    </row>
    <row r="227" spans="1:2">
      <c r="A227" s="334"/>
      <c r="B227" s="334"/>
    </row>
    <row r="228" spans="1:2">
      <c r="A228" s="334"/>
      <c r="B228" s="334"/>
    </row>
    <row r="229" spans="1:2">
      <c r="A229" s="334"/>
      <c r="B229" s="334"/>
    </row>
    <row r="230" spans="1:2">
      <c r="A230" s="334"/>
      <c r="B230" s="334"/>
    </row>
    <row r="231" spans="1:2">
      <c r="A231" s="334"/>
      <c r="B231" s="334"/>
    </row>
    <row r="232" spans="1:2">
      <c r="A232" s="334"/>
      <c r="B232" s="334"/>
    </row>
    <row r="233" spans="1:2">
      <c r="A233" s="334"/>
      <c r="B233" s="334"/>
    </row>
    <row r="234" spans="1:2">
      <c r="A234" s="334"/>
      <c r="B234" s="334"/>
    </row>
    <row r="235" spans="1:2">
      <c r="A235" s="334"/>
      <c r="B235" s="334"/>
    </row>
    <row r="236" spans="1:2">
      <c r="A236" s="334"/>
      <c r="B236" s="334"/>
    </row>
    <row r="237" spans="1:2">
      <c r="A237" s="334"/>
      <c r="B237" s="334"/>
    </row>
    <row r="238" spans="1:2">
      <c r="A238" s="334"/>
      <c r="B238" s="334"/>
    </row>
    <row r="239" spans="1:2">
      <c r="A239" s="334"/>
      <c r="B239" s="334"/>
    </row>
    <row r="240" spans="1:2">
      <c r="A240" s="334"/>
      <c r="B240" s="334"/>
    </row>
    <row r="241" spans="1:2">
      <c r="A241" s="334"/>
      <c r="B241" s="334"/>
    </row>
    <row r="242" spans="1:2">
      <c r="A242" s="334"/>
      <c r="B242" s="334"/>
    </row>
    <row r="243" spans="1:2">
      <c r="A243" s="334"/>
      <c r="B243" s="334"/>
    </row>
    <row r="244" spans="1:2">
      <c r="A244" s="334"/>
      <c r="B244" s="334"/>
    </row>
    <row r="245" spans="1:2">
      <c r="A245" s="334"/>
      <c r="B245" s="334"/>
    </row>
    <row r="246" spans="1:2">
      <c r="A246" s="334"/>
      <c r="B246" s="334"/>
    </row>
    <row r="247" spans="1:2">
      <c r="A247" s="334"/>
      <c r="B247" s="334"/>
    </row>
    <row r="248" spans="1:2">
      <c r="A248" s="334"/>
      <c r="B248" s="334"/>
    </row>
    <row r="249" spans="1:2">
      <c r="A249" s="334"/>
      <c r="B249" s="334"/>
    </row>
    <row r="250" spans="1:2">
      <c r="A250" s="334"/>
      <c r="B250" s="334"/>
    </row>
    <row r="251" spans="1:2">
      <c r="A251" s="334"/>
      <c r="B251" s="334"/>
    </row>
    <row r="252" spans="1:2">
      <c r="A252" s="334"/>
      <c r="B252" s="334"/>
    </row>
    <row r="253" spans="1:2">
      <c r="A253" s="334"/>
      <c r="B253" s="334"/>
    </row>
    <row r="254" spans="1:2">
      <c r="A254" s="334"/>
      <c r="B254" s="334"/>
    </row>
    <row r="255" spans="1:2">
      <c r="A255" s="334"/>
      <c r="B255" s="334"/>
    </row>
    <row r="256" spans="1:2">
      <c r="A256" s="334"/>
      <c r="B256" s="334"/>
    </row>
    <row r="257" spans="1:2">
      <c r="A257" s="334"/>
      <c r="B257" s="334"/>
    </row>
    <row r="258" spans="1:2">
      <c r="A258" s="334"/>
      <c r="B258" s="334"/>
    </row>
    <row r="259" spans="1:2">
      <c r="A259" s="334"/>
      <c r="B259" s="334"/>
    </row>
    <row r="260" spans="1:2">
      <c r="A260" s="334"/>
      <c r="B260" s="334"/>
    </row>
    <row r="261" spans="1:2">
      <c r="A261" s="334"/>
      <c r="B261" s="334"/>
    </row>
    <row r="262" spans="1:2">
      <c r="A262" s="334"/>
      <c r="B262" s="334"/>
    </row>
    <row r="263" spans="1:2">
      <c r="A263" s="334"/>
      <c r="B263" s="334"/>
    </row>
    <row r="264" spans="1:2">
      <c r="A264" s="334"/>
      <c r="B264" s="334"/>
    </row>
    <row r="265" spans="1:2">
      <c r="A265" s="334"/>
      <c r="B265" s="334"/>
    </row>
    <row r="266" spans="1:2">
      <c r="A266" s="334"/>
      <c r="B266" s="334"/>
    </row>
    <row r="267" spans="1:2">
      <c r="A267" s="334"/>
      <c r="B267" s="334"/>
    </row>
    <row r="268" spans="1:2">
      <c r="A268" s="334"/>
      <c r="B268" s="334"/>
    </row>
    <row r="269" spans="1:2">
      <c r="A269" s="334"/>
      <c r="B269" s="334"/>
    </row>
    <row r="270" spans="1:2">
      <c r="A270" s="334"/>
      <c r="B270" s="334"/>
    </row>
    <row r="271" spans="1:2">
      <c r="A271" s="334"/>
      <c r="B271" s="334"/>
    </row>
    <row r="272" spans="1:2">
      <c r="A272" s="334"/>
      <c r="B272" s="334"/>
    </row>
    <row r="273" spans="1:2">
      <c r="A273" s="334"/>
      <c r="B273" s="334"/>
    </row>
    <row r="274" spans="1:2">
      <c r="A274" s="334"/>
      <c r="B274" s="334"/>
    </row>
    <row r="275" spans="1:2">
      <c r="A275" s="334"/>
      <c r="B275" s="334"/>
    </row>
    <row r="276" spans="1:2">
      <c r="A276" s="334"/>
      <c r="B276" s="334"/>
    </row>
    <row r="277" spans="1:2">
      <c r="A277" s="334"/>
      <c r="B277" s="334"/>
    </row>
    <row r="278" spans="1:2">
      <c r="A278" s="334"/>
      <c r="B278" s="334"/>
    </row>
    <row r="279" spans="1:2">
      <c r="A279" s="334"/>
      <c r="B279" s="334"/>
    </row>
    <row r="280" spans="1:2">
      <c r="A280" s="334"/>
      <c r="B280" s="334"/>
    </row>
    <row r="281" spans="1:2">
      <c r="A281" s="334"/>
      <c r="B281" s="334"/>
    </row>
    <row r="282" spans="1:2">
      <c r="A282" s="334"/>
      <c r="B282" s="334"/>
    </row>
    <row r="283" spans="1:2">
      <c r="A283" s="334"/>
      <c r="B283" s="334"/>
    </row>
    <row r="284" spans="1:2">
      <c r="A284" s="334"/>
      <c r="B284" s="334"/>
    </row>
    <row r="285" spans="1:2">
      <c r="A285" s="334"/>
      <c r="B285" s="334"/>
    </row>
    <row r="286" spans="1:2">
      <c r="A286" s="334"/>
      <c r="B286" s="334"/>
    </row>
    <row r="287" spans="1:2">
      <c r="A287" s="334"/>
      <c r="B287" s="334"/>
    </row>
    <row r="288" spans="1:2">
      <c r="A288" s="334"/>
      <c r="B288" s="334"/>
    </row>
    <row r="289" spans="1:2">
      <c r="A289" s="334"/>
      <c r="B289" s="334"/>
    </row>
    <row r="290" spans="1:2">
      <c r="A290" s="334"/>
      <c r="B290" s="334"/>
    </row>
    <row r="291" spans="1:2">
      <c r="A291" s="334"/>
      <c r="B291" s="334"/>
    </row>
    <row r="292" spans="1:2">
      <c r="A292" s="334"/>
      <c r="B292" s="334"/>
    </row>
    <row r="293" spans="1:2">
      <c r="A293" s="334"/>
      <c r="B293" s="334"/>
    </row>
    <row r="294" spans="1:2">
      <c r="A294" s="334"/>
      <c r="B294" s="334"/>
    </row>
    <row r="295" spans="1:2">
      <c r="A295" s="334"/>
      <c r="B295" s="334"/>
    </row>
    <row r="296" spans="1:2">
      <c r="A296" s="334"/>
      <c r="B296" s="334"/>
    </row>
    <row r="297" spans="1:2">
      <c r="A297" s="334"/>
      <c r="B297" s="334"/>
    </row>
    <row r="298" spans="1:2">
      <c r="A298" s="334"/>
      <c r="B298" s="334"/>
    </row>
    <row r="299" spans="1:2">
      <c r="A299" s="334"/>
      <c r="B299" s="334"/>
    </row>
    <row r="300" spans="1:2">
      <c r="A300" s="334"/>
      <c r="B300" s="334"/>
    </row>
    <row r="301" spans="1:2">
      <c r="A301" s="334"/>
      <c r="B301" s="334"/>
    </row>
    <row r="302" spans="1:2">
      <c r="A302" s="334"/>
      <c r="B302" s="334"/>
    </row>
    <row r="303" spans="1:2">
      <c r="A303" s="334"/>
      <c r="B303" s="334"/>
    </row>
    <row r="304" spans="1:2">
      <c r="A304" s="334"/>
      <c r="B304" s="334"/>
    </row>
    <row r="305" spans="1:2">
      <c r="A305" s="334"/>
      <c r="B305" s="334"/>
    </row>
    <row r="306" spans="1:2">
      <c r="A306" s="334"/>
      <c r="B306" s="334"/>
    </row>
    <row r="307" spans="1:2">
      <c r="A307" s="334"/>
      <c r="B307" s="334"/>
    </row>
    <row r="308" spans="1:2">
      <c r="A308" s="334"/>
      <c r="B308" s="334"/>
    </row>
    <row r="309" spans="1:2">
      <c r="A309" s="334"/>
      <c r="B309" s="334"/>
    </row>
    <row r="310" spans="1:2">
      <c r="A310" s="334"/>
      <c r="B310" s="334"/>
    </row>
    <row r="311" spans="1:2">
      <c r="A311" s="334"/>
      <c r="B311" s="334"/>
    </row>
    <row r="312" spans="1:2">
      <c r="A312" s="334"/>
      <c r="B312" s="334"/>
    </row>
    <row r="313" spans="1:2">
      <c r="A313" s="334"/>
      <c r="B313" s="334"/>
    </row>
    <row r="314" spans="1:2">
      <c r="A314" s="334"/>
      <c r="B314" s="334"/>
    </row>
    <row r="315" spans="1:2">
      <c r="A315" s="334"/>
      <c r="B315" s="334"/>
    </row>
  </sheetData>
  <autoFilter ref="A1:J118" xr:uid="{0429326E-B5F0-43EB-A6F4-EB813437F687}">
    <sortState xmlns:xlrd2="http://schemas.microsoft.com/office/spreadsheetml/2017/richdata2" ref="A2:J118">
      <sortCondition ref="A1:A149"/>
    </sortState>
  </autoFilter>
  <mergeCells count="1">
    <mergeCell ref="S1:AR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Sheet22_WS_Item">
                <anchor moveWithCells="1" sizeWithCells="1">
                  <from>
                    <xdr:col>10</xdr:col>
                    <xdr:colOff>330200</xdr:colOff>
                    <xdr:row>0</xdr:row>
                    <xdr:rowOff>25400</xdr:rowOff>
                  </from>
                  <to>
                    <xdr:col>10</xdr:col>
                    <xdr:colOff>1524000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A107F-96CC-DF4E-9D0D-87C5A4060ED7}">
  <sheetPr codeName="Sheet23"/>
  <dimension ref="A1:D2"/>
  <sheetViews>
    <sheetView zoomScale="200" workbookViewId="0">
      <selection activeCell="D3" sqref="D3"/>
    </sheetView>
  </sheetViews>
  <sheetFormatPr defaultColWidth="11" defaultRowHeight="15.5"/>
  <cols>
    <col min="1" max="1" width="22.33203125" bestFit="1" customWidth="1"/>
    <col min="2" max="2" width="23" bestFit="1" customWidth="1"/>
    <col min="3" max="3" width="11.6640625" bestFit="1" customWidth="1"/>
    <col min="4" max="4" width="25.33203125" bestFit="1" customWidth="1"/>
  </cols>
  <sheetData>
    <row r="1" spans="1:4">
      <c r="A1" s="5" t="s">
        <v>1188</v>
      </c>
      <c r="B1" s="5" t="s">
        <v>1189</v>
      </c>
      <c r="C1" s="5" t="s">
        <v>1190</v>
      </c>
      <c r="D1" s="5" t="s">
        <v>1191</v>
      </c>
    </row>
    <row r="2" spans="1:4">
      <c r="A2" s="3">
        <v>250</v>
      </c>
      <c r="B2" s="3">
        <v>8</v>
      </c>
      <c r="C2" s="3">
        <v>0.8</v>
      </c>
      <c r="D2" s="3">
        <f>PRODUCT(A2:C2)</f>
        <v>1600</v>
      </c>
    </row>
  </sheetData>
  <pageMargins left="0.7" right="0.7" top="0.75" bottom="0.75" header="0.3" footer="0.3"/>
  <pageSetup orientation="portrait" horizontalDpi="4294967293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31A71-821B-6741-B4C9-1285C6831931}">
  <sheetPr codeName="Sheet24"/>
  <dimension ref="A1:D27"/>
  <sheetViews>
    <sheetView zoomScale="125" workbookViewId="0">
      <selection activeCell="B3" sqref="B3"/>
    </sheetView>
  </sheetViews>
  <sheetFormatPr defaultColWidth="11" defaultRowHeight="15.5"/>
  <cols>
    <col min="2" max="2" width="41" bestFit="1" customWidth="1"/>
    <col min="3" max="3" width="22.1640625" bestFit="1" customWidth="1"/>
    <col min="4" max="4" width="20.6640625" bestFit="1" customWidth="1"/>
  </cols>
  <sheetData>
    <row r="1" spans="1:4">
      <c r="A1" s="67" t="s">
        <v>1175</v>
      </c>
      <c r="B1" s="336" t="s">
        <v>1192</v>
      </c>
      <c r="C1" s="66" t="s">
        <v>1193</v>
      </c>
      <c r="D1" s="66" t="s">
        <v>1194</v>
      </c>
    </row>
    <row r="2" spans="1:4">
      <c r="A2" s="3" t="str">
        <f>'S22 Required Machine Hours'!Q2</f>
        <v>WS-02</v>
      </c>
      <c r="B2" s="3">
        <f>SUMIFS('S22 Required Machine Hours'!$J$2:$J$118, 'S22 Required Machine Hours'!$A$2:$A$118, A2)</f>
        <v>32074.5</v>
      </c>
      <c r="C2" s="3">
        <f>'S23 Available Working Hours'!$D$2</f>
        <v>1600</v>
      </c>
      <c r="D2" s="3">
        <f>IF(OR(A2="WS-42", A2="WS-43", A2="WS-44"), 1, ROUNDUP(B2/C2, 0))</f>
        <v>21</v>
      </c>
    </row>
    <row r="3" spans="1:4">
      <c r="A3" s="3" t="str">
        <f>'S22 Required Machine Hours'!Q3</f>
        <v>WS-03</v>
      </c>
      <c r="B3" s="3">
        <f>SUMIFS('S22 Required Machine Hours'!$J$2:$J$118, 'S22 Required Machine Hours'!$A$2:$A$118, A3)</f>
        <v>9538.2999999999993</v>
      </c>
      <c r="C3" s="3">
        <f>'S23 Available Working Hours'!$D$2</f>
        <v>1600</v>
      </c>
      <c r="D3" s="3">
        <f t="shared" ref="D3:D27" si="0">IF(OR(A3="WS-42", A3="WS-43", A3="WS-44"), 1, ROUNDUP(B3/C3, 0))</f>
        <v>6</v>
      </c>
    </row>
    <row r="4" spans="1:4">
      <c r="A4" s="3" t="str">
        <f>'S22 Required Machine Hours'!Q4</f>
        <v>WS-04</v>
      </c>
      <c r="B4" s="3">
        <f>SUMIFS('S22 Required Machine Hours'!$J$2:$J$118, 'S22 Required Machine Hours'!$A$2:$A$118, A4)</f>
        <v>5984.166666666667</v>
      </c>
      <c r="C4" s="3">
        <f>'S23 Available Working Hours'!$D$2</f>
        <v>1600</v>
      </c>
      <c r="D4" s="3">
        <f t="shared" si="0"/>
        <v>4</v>
      </c>
    </row>
    <row r="5" spans="1:4">
      <c r="A5" s="3" t="str">
        <f>'S22 Required Machine Hours'!Q5</f>
        <v>WS-05</v>
      </c>
      <c r="B5" s="3">
        <f>SUMIFS('S22 Required Machine Hours'!$J$2:$J$118, 'S22 Required Machine Hours'!$A$2:$A$118, A5)</f>
        <v>66754.100000000006</v>
      </c>
      <c r="C5" s="3">
        <f>'S23 Available Working Hours'!$D$2</f>
        <v>1600</v>
      </c>
      <c r="D5" s="3">
        <f t="shared" si="0"/>
        <v>42</v>
      </c>
    </row>
    <row r="6" spans="1:4">
      <c r="A6" s="3" t="str">
        <f>'S22 Required Machine Hours'!Q6</f>
        <v>WS-07</v>
      </c>
      <c r="B6" s="3">
        <f>SUMIFS('S22 Required Machine Hours'!$J$2:$J$118, 'S22 Required Machine Hours'!$A$2:$A$118, A6)</f>
        <v>39720.449999999997</v>
      </c>
      <c r="C6" s="3">
        <f>'S23 Available Working Hours'!$D$2</f>
        <v>1600</v>
      </c>
      <c r="D6" s="3">
        <f t="shared" si="0"/>
        <v>25</v>
      </c>
    </row>
    <row r="7" spans="1:4">
      <c r="A7" s="3" t="str">
        <f>'S22 Required Machine Hours'!Q7</f>
        <v>WS-08</v>
      </c>
      <c r="B7" s="3">
        <f>SUMIFS('S22 Required Machine Hours'!$J$2:$J$118, 'S22 Required Machine Hours'!$A$2:$A$118, A7)</f>
        <v>13358.566666666666</v>
      </c>
      <c r="C7" s="3">
        <f>'S23 Available Working Hours'!$D$2</f>
        <v>1600</v>
      </c>
      <c r="D7" s="3">
        <f t="shared" si="0"/>
        <v>9</v>
      </c>
    </row>
    <row r="8" spans="1:4">
      <c r="A8" s="3" t="str">
        <f>'S22 Required Machine Hours'!Q8</f>
        <v>WS-18</v>
      </c>
      <c r="B8" s="3">
        <f>SUMIFS('S22 Required Machine Hours'!$J$2:$J$118, 'S22 Required Machine Hours'!$A$2:$A$118, A8)</f>
        <v>35390.800000000003</v>
      </c>
      <c r="C8" s="3">
        <f>'S23 Available Working Hours'!$D$2</f>
        <v>1600</v>
      </c>
      <c r="D8" s="3">
        <f t="shared" si="0"/>
        <v>23</v>
      </c>
    </row>
    <row r="9" spans="1:4">
      <c r="A9" s="3" t="str">
        <f>'S22 Required Machine Hours'!Q9</f>
        <v>WS-20</v>
      </c>
      <c r="B9" s="3">
        <f>SUMIFS('S22 Required Machine Hours'!$J$2:$J$118, 'S22 Required Machine Hours'!$A$2:$A$118, A9)</f>
        <v>20501.449999999997</v>
      </c>
      <c r="C9" s="3">
        <f>'S23 Available Working Hours'!$D$2</f>
        <v>1600</v>
      </c>
      <c r="D9" s="3">
        <f t="shared" si="0"/>
        <v>13</v>
      </c>
    </row>
    <row r="10" spans="1:4">
      <c r="A10" s="3" t="str">
        <f>'S22 Required Machine Hours'!Q10</f>
        <v>WS-21</v>
      </c>
      <c r="B10" s="3">
        <f>SUMIFS('S22 Required Machine Hours'!$J$2:$J$118, 'S22 Required Machine Hours'!$A$2:$A$118, A10)</f>
        <v>13552.016666666666</v>
      </c>
      <c r="C10" s="3">
        <f>'S23 Available Working Hours'!$D$2</f>
        <v>1600</v>
      </c>
      <c r="D10" s="3">
        <f t="shared" si="0"/>
        <v>9</v>
      </c>
    </row>
    <row r="11" spans="1:4">
      <c r="A11" s="3" t="str">
        <f>'S22 Required Machine Hours'!Q11</f>
        <v>WS-23</v>
      </c>
      <c r="B11" s="3">
        <f>SUMIFS('S22 Required Machine Hours'!$J$2:$J$118, 'S22 Required Machine Hours'!$A$2:$A$118, A11)</f>
        <v>11026.333333333332</v>
      </c>
      <c r="C11" s="3">
        <f>'S23 Available Working Hours'!$D$2</f>
        <v>1600</v>
      </c>
      <c r="D11" s="3">
        <f t="shared" si="0"/>
        <v>7</v>
      </c>
    </row>
    <row r="12" spans="1:4">
      <c r="A12" s="3" t="str">
        <f>'S22 Required Machine Hours'!Q12</f>
        <v>WS-24</v>
      </c>
      <c r="B12" s="3">
        <f>SUMIFS('S22 Required Machine Hours'!$J$2:$J$118, 'S22 Required Machine Hours'!$A$2:$A$118, A12)</f>
        <v>27335.933333333334</v>
      </c>
      <c r="C12" s="3">
        <f>'S23 Available Working Hours'!$D$2</f>
        <v>1600</v>
      </c>
      <c r="D12" s="3">
        <f t="shared" si="0"/>
        <v>18</v>
      </c>
    </row>
    <row r="13" spans="1:4">
      <c r="A13" s="3" t="str">
        <f>'S22 Required Machine Hours'!Q13</f>
        <v>WS-25</v>
      </c>
      <c r="B13" s="3">
        <f>SUMIFS('S22 Required Machine Hours'!$J$2:$J$118, 'S22 Required Machine Hours'!$A$2:$A$118, A13)</f>
        <v>42753.7</v>
      </c>
      <c r="C13" s="3">
        <f>'S23 Available Working Hours'!$D$2</f>
        <v>1600</v>
      </c>
      <c r="D13" s="3">
        <f t="shared" si="0"/>
        <v>27</v>
      </c>
    </row>
    <row r="14" spans="1:4">
      <c r="A14" s="3" t="str">
        <f>'S22 Required Machine Hours'!Q14</f>
        <v>WS-26</v>
      </c>
      <c r="B14" s="3">
        <f>SUMIFS('S22 Required Machine Hours'!$J$2:$J$118, 'S22 Required Machine Hours'!$A$2:$A$118, A14)</f>
        <v>6224.2333333333336</v>
      </c>
      <c r="C14" s="3">
        <f>'S23 Available Working Hours'!$D$2</f>
        <v>1600</v>
      </c>
      <c r="D14" s="3">
        <f t="shared" si="0"/>
        <v>4</v>
      </c>
    </row>
    <row r="15" spans="1:4">
      <c r="A15" s="3" t="str">
        <f>'S22 Required Machine Hours'!Q15</f>
        <v>WS-27</v>
      </c>
      <c r="B15" s="3">
        <f>SUMIFS('S22 Required Machine Hours'!$J$2:$J$118, 'S22 Required Machine Hours'!$A$2:$A$118, A15)</f>
        <v>18243.25</v>
      </c>
      <c r="C15" s="3">
        <f>'S23 Available Working Hours'!$D$2</f>
        <v>1600</v>
      </c>
      <c r="D15" s="3">
        <f t="shared" si="0"/>
        <v>12</v>
      </c>
    </row>
    <row r="16" spans="1:4">
      <c r="A16" s="3" t="str">
        <f>'S22 Required Machine Hours'!Q16</f>
        <v>WS-28</v>
      </c>
      <c r="B16" s="3">
        <f>SUMIFS('S22 Required Machine Hours'!$J$2:$J$118, 'S22 Required Machine Hours'!$A$2:$A$118, A16)</f>
        <v>21509.05</v>
      </c>
      <c r="C16" s="3">
        <f>'S23 Available Working Hours'!$D$2</f>
        <v>1600</v>
      </c>
      <c r="D16" s="3">
        <f t="shared" si="0"/>
        <v>14</v>
      </c>
    </row>
    <row r="17" spans="1:4">
      <c r="A17" s="3" t="str">
        <f>'S22 Required Machine Hours'!Q17</f>
        <v>WS-29</v>
      </c>
      <c r="B17" s="3">
        <f>SUMIFS('S22 Required Machine Hours'!$J$2:$J$118, 'S22 Required Machine Hours'!$A$2:$A$118, A17)</f>
        <v>33617.033333333333</v>
      </c>
      <c r="C17" s="3">
        <f>'S23 Available Working Hours'!$D$2</f>
        <v>1600</v>
      </c>
      <c r="D17" s="3">
        <f t="shared" si="0"/>
        <v>22</v>
      </c>
    </row>
    <row r="18" spans="1:4">
      <c r="A18" s="3" t="str">
        <f>'S22 Required Machine Hours'!Q18</f>
        <v>WS-31</v>
      </c>
      <c r="B18" s="3">
        <f>SUMIFS('S22 Required Machine Hours'!$J$2:$J$118, 'S22 Required Machine Hours'!$A$2:$A$118, A18)</f>
        <v>7335.2000000000007</v>
      </c>
      <c r="C18" s="3">
        <f>'S23 Available Working Hours'!$D$2</f>
        <v>1600</v>
      </c>
      <c r="D18" s="3">
        <f t="shared" si="0"/>
        <v>5</v>
      </c>
    </row>
    <row r="19" spans="1:4">
      <c r="A19" s="3" t="str">
        <f>'S22 Required Machine Hours'!Q19</f>
        <v>WS-32</v>
      </c>
      <c r="B19" s="3">
        <f>SUMIFS('S22 Required Machine Hours'!$J$2:$J$118, 'S22 Required Machine Hours'!$A$2:$A$118, A19)</f>
        <v>52605.283333333333</v>
      </c>
      <c r="C19" s="3">
        <f>'S23 Available Working Hours'!$D$2</f>
        <v>1600</v>
      </c>
      <c r="D19" s="3">
        <f t="shared" si="0"/>
        <v>33</v>
      </c>
    </row>
    <row r="20" spans="1:4">
      <c r="A20" s="3" t="str">
        <f>'S22 Required Machine Hours'!Q20</f>
        <v>WS-33</v>
      </c>
      <c r="B20" s="3">
        <f>SUMIFS('S22 Required Machine Hours'!$J$2:$J$118, 'S22 Required Machine Hours'!$A$2:$A$118, A20)</f>
        <v>18274.75</v>
      </c>
      <c r="C20" s="3">
        <f>'S23 Available Working Hours'!$D$2</f>
        <v>1600</v>
      </c>
      <c r="D20" s="3">
        <f t="shared" si="0"/>
        <v>12</v>
      </c>
    </row>
    <row r="21" spans="1:4">
      <c r="A21" s="3" t="str">
        <f>'S22 Required Machine Hours'!Q21</f>
        <v>WS-34</v>
      </c>
      <c r="B21" s="3">
        <f>SUMIFS('S22 Required Machine Hours'!$J$2:$J$118, 'S22 Required Machine Hours'!$A$2:$A$118, A21)</f>
        <v>106288.64999999998</v>
      </c>
      <c r="C21" s="3">
        <f>'S23 Available Working Hours'!$D$2</f>
        <v>1600</v>
      </c>
      <c r="D21" s="3">
        <f t="shared" si="0"/>
        <v>67</v>
      </c>
    </row>
    <row r="22" spans="1:4">
      <c r="A22" s="3" t="str">
        <f>'S22 Required Machine Hours'!Q22</f>
        <v>WS-36</v>
      </c>
      <c r="B22" s="3">
        <f>SUMIFS('S22 Required Machine Hours'!$J$2:$J$118, 'S22 Required Machine Hours'!$A$2:$A$118, A22)</f>
        <v>14057.916666666668</v>
      </c>
      <c r="C22" s="3">
        <f>'S23 Available Working Hours'!$D$2</f>
        <v>1600</v>
      </c>
      <c r="D22" s="3">
        <f t="shared" si="0"/>
        <v>9</v>
      </c>
    </row>
    <row r="23" spans="1:4">
      <c r="A23" s="3" t="str">
        <f>'S22 Required Machine Hours'!Q23</f>
        <v>WS-38</v>
      </c>
      <c r="B23" s="3">
        <f>SUMIFS('S22 Required Machine Hours'!$J$2:$J$118, 'S22 Required Machine Hours'!$A$2:$A$118, A23)</f>
        <v>6543.35</v>
      </c>
      <c r="C23" s="3">
        <f>'S23 Available Working Hours'!$D$2</f>
        <v>1600</v>
      </c>
      <c r="D23" s="3">
        <f t="shared" si="0"/>
        <v>5</v>
      </c>
    </row>
    <row r="24" spans="1:4">
      <c r="A24" s="3" t="str">
        <f>'S22 Required Machine Hours'!Q24</f>
        <v>WS-40</v>
      </c>
      <c r="B24" s="3">
        <f>SUMIFS('S22 Required Machine Hours'!$J$2:$J$118, 'S22 Required Machine Hours'!$A$2:$A$118, A24)</f>
        <v>23048.033333333333</v>
      </c>
      <c r="C24" s="3">
        <f>'S23 Available Working Hours'!$D$2</f>
        <v>1600</v>
      </c>
      <c r="D24" s="3">
        <f t="shared" si="0"/>
        <v>15</v>
      </c>
    </row>
    <row r="25" spans="1:4">
      <c r="A25" s="3" t="str">
        <f>'S22 Required Machine Hours'!Q25</f>
        <v>WS-42</v>
      </c>
      <c r="B25" s="3">
        <f>SUMIFS('S22 Required Machine Hours'!$J$2:$J$118, 'S22 Required Machine Hours'!$A$2:$A$118, A25)</f>
        <v>7211.833333333333</v>
      </c>
      <c r="C25" s="3">
        <f>'S23 Available Working Hours'!$D$2</f>
        <v>1600</v>
      </c>
      <c r="D25" s="3">
        <f t="shared" si="0"/>
        <v>1</v>
      </c>
    </row>
    <row r="26" spans="1:4">
      <c r="A26" s="3" t="str">
        <f>'S22 Required Machine Hours'!Q26</f>
        <v>WS-43</v>
      </c>
      <c r="B26" s="3">
        <f>SUMIFS('S22 Required Machine Hours'!$J$2:$J$118, 'S22 Required Machine Hours'!$A$2:$A$118, A26)</f>
        <v>958.31666666666661</v>
      </c>
      <c r="C26" s="3">
        <f>'S23 Available Working Hours'!$D$2</f>
        <v>1600</v>
      </c>
      <c r="D26" s="3">
        <f t="shared" si="0"/>
        <v>1</v>
      </c>
    </row>
    <row r="27" spans="1:4">
      <c r="A27" s="3" t="str">
        <f>'S22 Required Machine Hours'!Q27</f>
        <v>WS-44</v>
      </c>
      <c r="B27" s="3">
        <f>SUMIFS('S22 Required Machine Hours'!$J$2:$J$118, 'S22 Required Machine Hours'!$A$2:$A$118, A27)</f>
        <v>3936.9500000000003</v>
      </c>
      <c r="C27" s="3">
        <f>'S23 Available Working Hours'!$D$2</f>
        <v>1600</v>
      </c>
      <c r="D27" s="3">
        <f t="shared" si="0"/>
        <v>1</v>
      </c>
    </row>
  </sheetData>
  <pageMargins left="0.7" right="0.7" top="0.75" bottom="0.75" header="0.3" footer="0.3"/>
  <pageSetup orientation="portrait" horizontalDpi="4294967293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951B8-A643-F843-854F-0CF73CBD1789}">
  <sheetPr codeName="Sheet25"/>
  <dimension ref="A1:H149"/>
  <sheetViews>
    <sheetView workbookViewId="0">
      <selection activeCell="A30" sqref="A30:B30"/>
    </sheetView>
  </sheetViews>
  <sheetFormatPr defaultColWidth="10.6640625" defaultRowHeight="15.5"/>
  <cols>
    <col min="1" max="1" width="17.83203125" style="345" customWidth="1"/>
    <col min="2" max="2" width="18.6640625" style="96" customWidth="1"/>
    <col min="8" max="8" width="17.33203125" bestFit="1" customWidth="1"/>
  </cols>
  <sheetData>
    <row r="1" spans="1:8">
      <c r="A1" s="342" t="s">
        <v>1195</v>
      </c>
      <c r="B1" s="343" t="s">
        <v>1196</v>
      </c>
      <c r="E1" t="s">
        <v>1197</v>
      </c>
      <c r="F1" t="s">
        <v>1198</v>
      </c>
    </row>
    <row r="2" spans="1:8">
      <c r="A2" s="344">
        <v>0.3</v>
      </c>
      <c r="B2" s="255">
        <f>EXP($E$2*A2+$F$2)+3</f>
        <v>13.175674306073333</v>
      </c>
      <c r="E2">
        <v>-0.6</v>
      </c>
      <c r="F2">
        <v>2.5</v>
      </c>
      <c r="H2" t="s">
        <v>1199</v>
      </c>
    </row>
    <row r="3" spans="1:8">
      <c r="A3" s="344">
        <v>0.4</v>
      </c>
      <c r="B3" s="255">
        <f t="shared" ref="B3:B66" si="0">EXP($E$2*A3+$F$2)+3</f>
        <v>12.583089166764376</v>
      </c>
    </row>
    <row r="4" spans="1:8">
      <c r="A4" s="344">
        <v>0.5</v>
      </c>
      <c r="B4" s="255">
        <f t="shared" si="0"/>
        <v>12.025013499434122</v>
      </c>
    </row>
    <row r="5" spans="1:8">
      <c r="A5" s="344">
        <v>0.6</v>
      </c>
      <c r="B5" s="255">
        <f t="shared" si="0"/>
        <v>11.499437628886124</v>
      </c>
    </row>
    <row r="6" spans="1:8">
      <c r="A6" s="344">
        <v>0.7</v>
      </c>
      <c r="B6" s="255">
        <f t="shared" si="0"/>
        <v>11.004468914296353</v>
      </c>
    </row>
    <row r="7" spans="1:8">
      <c r="A7" s="344">
        <v>0.8</v>
      </c>
      <c r="B7" s="255">
        <f t="shared" si="0"/>
        <v>10.538324933661922</v>
      </c>
    </row>
    <row r="8" spans="1:8">
      <c r="A8" s="344">
        <v>0.9</v>
      </c>
      <c r="B8" s="255">
        <f t="shared" si="0"/>
        <v>10.099327065156633</v>
      </c>
    </row>
    <row r="9" spans="1:8">
      <c r="A9" s="344">
        <v>1</v>
      </c>
      <c r="B9" s="255">
        <f t="shared" si="0"/>
        <v>9.6858944422792685</v>
      </c>
    </row>
    <row r="10" spans="1:8">
      <c r="A10" s="344">
        <v>1.1000000000000001</v>
      </c>
      <c r="B10" s="255">
        <f t="shared" si="0"/>
        <v>9.2965382610266563</v>
      </c>
    </row>
    <row r="11" spans="1:8">
      <c r="A11" s="344">
        <v>1.2</v>
      </c>
      <c r="B11" s="255">
        <f t="shared" si="0"/>
        <v>8.9298564185911466</v>
      </c>
    </row>
    <row r="12" spans="1:8">
      <c r="A12" s="344">
        <v>1.3</v>
      </c>
      <c r="B12" s="255">
        <f t="shared" si="0"/>
        <v>8.5845284642760546</v>
      </c>
    </row>
    <row r="13" spans="1:8">
      <c r="A13" s="344">
        <v>1.4</v>
      </c>
      <c r="B13" s="255">
        <f t="shared" si="0"/>
        <v>8.2593108444468992</v>
      </c>
    </row>
    <row r="14" spans="1:8">
      <c r="A14" s="344">
        <v>1.5</v>
      </c>
      <c r="B14" s="255">
        <f t="shared" si="0"/>
        <v>7.9530324243951149</v>
      </c>
    </row>
    <row r="15" spans="1:8">
      <c r="A15" s="344">
        <v>1.6</v>
      </c>
      <c r="B15" s="255">
        <f t="shared" si="0"/>
        <v>7.6645902709881257</v>
      </c>
    </row>
    <row r="16" spans="1:8">
      <c r="A16" s="344">
        <v>1.7</v>
      </c>
      <c r="B16" s="255">
        <f t="shared" si="0"/>
        <v>7.392945680918757</v>
      </c>
    </row>
    <row r="17" spans="1:2">
      <c r="A17" s="344">
        <v>1.8</v>
      </c>
      <c r="B17" s="255">
        <f t="shared" si="0"/>
        <v>7.1371204402513921</v>
      </c>
    </row>
    <row r="18" spans="1:2">
      <c r="A18" s="344">
        <v>1.9</v>
      </c>
      <c r="B18" s="255">
        <f t="shared" si="0"/>
        <v>6.8961933017952148</v>
      </c>
    </row>
    <row r="19" spans="1:2">
      <c r="A19" s="344">
        <v>2</v>
      </c>
      <c r="B19" s="255">
        <f t="shared" si="0"/>
        <v>6.6692966676192444</v>
      </c>
    </row>
    <row r="20" spans="1:2">
      <c r="A20" s="344">
        <v>2.1</v>
      </c>
      <c r="B20" s="255">
        <f t="shared" si="0"/>
        <v>6.4556134647626759</v>
      </c>
    </row>
    <row r="21" spans="1:2">
      <c r="A21" s="344">
        <v>2.2000000000000002</v>
      </c>
      <c r="B21" s="255">
        <f t="shared" si="0"/>
        <v>6.2543742028896707</v>
      </c>
    </row>
    <row r="22" spans="1:2">
      <c r="A22" s="344">
        <v>2.2999999999999998</v>
      </c>
      <c r="B22" s="255">
        <f t="shared" si="0"/>
        <v>6.0648542032930024</v>
      </c>
    </row>
    <row r="23" spans="1:2">
      <c r="A23" s="344">
        <v>2.4</v>
      </c>
      <c r="B23" s="255">
        <f t="shared" si="0"/>
        <v>5.8863709892679585</v>
      </c>
    </row>
    <row r="24" spans="1:2">
      <c r="A24" s="344">
        <v>2.5</v>
      </c>
      <c r="B24" s="255">
        <f t="shared" si="0"/>
        <v>5.7182818284590446</v>
      </c>
    </row>
    <row r="25" spans="1:2">
      <c r="A25" s="344">
        <v>2.6</v>
      </c>
      <c r="B25" s="255">
        <f t="shared" si="0"/>
        <v>5.5599814183292713</v>
      </c>
    </row>
    <row r="26" spans="1:2">
      <c r="A26" s="344">
        <v>2.7</v>
      </c>
      <c r="B26" s="255">
        <f t="shared" si="0"/>
        <v>5.4108997064172097</v>
      </c>
    </row>
    <row r="27" spans="1:2">
      <c r="A27" s="344">
        <v>2.8</v>
      </c>
      <c r="B27" s="255">
        <f t="shared" si="0"/>
        <v>5.2704998375324061</v>
      </c>
    </row>
    <row r="28" spans="1:2">
      <c r="A28" s="344">
        <v>2.9</v>
      </c>
      <c r="B28" s="255">
        <f t="shared" si="0"/>
        <v>5.1382762204968184</v>
      </c>
    </row>
    <row r="29" spans="1:2">
      <c r="A29" s="344">
        <v>3</v>
      </c>
      <c r="B29" s="255">
        <f t="shared" si="0"/>
        <v>5.0137527074704771</v>
      </c>
    </row>
    <row r="30" spans="1:2">
      <c r="A30" s="344">
        <v>3.1</v>
      </c>
      <c r="B30" s="255">
        <f t="shared" si="0"/>
        <v>4.8964808793049519</v>
      </c>
    </row>
    <row r="31" spans="1:2">
      <c r="A31" s="344">
        <v>3.2</v>
      </c>
      <c r="B31" s="255">
        <f t="shared" si="0"/>
        <v>4.7860384307500734</v>
      </c>
    </row>
    <row r="32" spans="1:2">
      <c r="A32" s="344">
        <v>3.3</v>
      </c>
      <c r="B32" s="255">
        <f t="shared" si="0"/>
        <v>4.6820276496988864</v>
      </c>
    </row>
    <row r="33" spans="1:2">
      <c r="A33" s="344">
        <v>3.4</v>
      </c>
      <c r="B33" s="255">
        <f t="shared" si="0"/>
        <v>4.5840739849944816</v>
      </c>
    </row>
    <row r="34" spans="1:2">
      <c r="A34" s="344">
        <v>3.5</v>
      </c>
      <c r="B34" s="255">
        <f t="shared" si="0"/>
        <v>4.4918246976412703</v>
      </c>
    </row>
    <row r="35" spans="1:2">
      <c r="A35" s="344">
        <v>3.6</v>
      </c>
      <c r="B35" s="255">
        <f t="shared" si="0"/>
        <v>4.4049475905635935</v>
      </c>
    </row>
    <row r="36" spans="1:2">
      <c r="A36" s="344">
        <v>3.7</v>
      </c>
      <c r="B36" s="255">
        <f t="shared" si="0"/>
        <v>4.3231298123374362</v>
      </c>
    </row>
    <row r="37" spans="1:2">
      <c r="A37" s="344">
        <v>3.8</v>
      </c>
      <c r="B37" s="255">
        <f t="shared" si="0"/>
        <v>4.2460767305873812</v>
      </c>
    </row>
    <row r="38" spans="1:2">
      <c r="A38" s="344">
        <v>3.9</v>
      </c>
      <c r="B38" s="255">
        <f t="shared" si="0"/>
        <v>4.1735108709918105</v>
      </c>
    </row>
    <row r="39" spans="1:2">
      <c r="A39" s="344">
        <v>4</v>
      </c>
      <c r="B39" s="255">
        <f t="shared" si="0"/>
        <v>4.1051709180756477</v>
      </c>
    </row>
    <row r="40" spans="1:2">
      <c r="A40" s="344">
        <v>4.0999999999999996</v>
      </c>
      <c r="B40" s="255">
        <f t="shared" si="0"/>
        <v>4.0408107741923889</v>
      </c>
    </row>
    <row r="41" spans="1:2">
      <c r="A41" s="344">
        <v>4.2</v>
      </c>
      <c r="B41" s="255">
        <f t="shared" si="0"/>
        <v>3.9801986733067554</v>
      </c>
    </row>
    <row r="42" spans="1:2">
      <c r="A42" s="344">
        <v>4.3</v>
      </c>
      <c r="B42" s="255">
        <f t="shared" si="0"/>
        <v>3.9231163463866361</v>
      </c>
    </row>
    <row r="43" spans="1:2">
      <c r="A43" s="344">
        <v>4.4000000000000004</v>
      </c>
      <c r="B43" s="255">
        <f t="shared" si="0"/>
        <v>3.8693582353988059</v>
      </c>
    </row>
    <row r="44" spans="1:2">
      <c r="A44" s="344">
        <v>4.5</v>
      </c>
      <c r="B44" s="255">
        <f t="shared" si="0"/>
        <v>3.8187307530779822</v>
      </c>
    </row>
    <row r="45" spans="1:2">
      <c r="A45" s="344">
        <v>4.5999999999999996</v>
      </c>
      <c r="B45" s="255">
        <f t="shared" si="0"/>
        <v>3.7710515858035665</v>
      </c>
    </row>
    <row r="46" spans="1:2">
      <c r="A46" s="344">
        <v>4.7</v>
      </c>
      <c r="B46" s="255">
        <f t="shared" si="0"/>
        <v>3.7261490370736912</v>
      </c>
    </row>
    <row r="47" spans="1:2">
      <c r="A47" s="344">
        <v>4.8</v>
      </c>
      <c r="B47" s="255">
        <f t="shared" si="0"/>
        <v>3.6838614092123558</v>
      </c>
    </row>
    <row r="48" spans="1:2">
      <c r="A48" s="344">
        <v>4.9000000000000004</v>
      </c>
      <c r="B48" s="255">
        <f t="shared" si="0"/>
        <v>3.6440364210831415</v>
      </c>
    </row>
    <row r="49" spans="1:2">
      <c r="A49" s="344">
        <v>5</v>
      </c>
      <c r="B49" s="255">
        <f t="shared" si="0"/>
        <v>3.6065306597126332</v>
      </c>
    </row>
    <row r="50" spans="1:2">
      <c r="A50" s="344">
        <v>5.0999999999999996</v>
      </c>
      <c r="B50" s="255">
        <f t="shared" si="0"/>
        <v>3.5712090638488152</v>
      </c>
    </row>
    <row r="51" spans="1:2">
      <c r="A51" s="344">
        <v>5.2</v>
      </c>
      <c r="B51" s="255">
        <f t="shared" si="0"/>
        <v>3.5379444375946747</v>
      </c>
    </row>
    <row r="52" spans="1:2">
      <c r="A52" s="344">
        <v>5.3</v>
      </c>
      <c r="B52" s="255">
        <f t="shared" si="0"/>
        <v>3.5066169923655899</v>
      </c>
    </row>
    <row r="53" spans="1:2">
      <c r="A53" s="344">
        <v>5.4</v>
      </c>
      <c r="B53" s="255">
        <f t="shared" si="0"/>
        <v>3.4771139155210342</v>
      </c>
    </row>
    <row r="54" spans="1:2">
      <c r="A54" s="344">
        <v>5.4999999999999902</v>
      </c>
      <c r="B54" s="255">
        <f t="shared" si="0"/>
        <v>3.4493289641172242</v>
      </c>
    </row>
    <row r="55" spans="1:2">
      <c r="A55" s="344">
        <v>5.5999999999999899</v>
      </c>
      <c r="B55" s="255">
        <f t="shared" si="0"/>
        <v>3.4231620823177513</v>
      </c>
    </row>
    <row r="56" spans="1:2">
      <c r="A56" s="344">
        <v>5.7</v>
      </c>
      <c r="B56" s="255">
        <f t="shared" si="0"/>
        <v>3.3985190410845143</v>
      </c>
    </row>
    <row r="57" spans="1:2">
      <c r="A57" s="344">
        <v>5.7999999999999901</v>
      </c>
      <c r="B57" s="255">
        <f t="shared" si="0"/>
        <v>3.3753110988514017</v>
      </c>
    </row>
    <row r="58" spans="1:2">
      <c r="A58" s="344">
        <v>5.8999999999999897</v>
      </c>
      <c r="B58" s="255">
        <f t="shared" si="0"/>
        <v>3.3534546819587825</v>
      </c>
    </row>
    <row r="59" spans="1:2">
      <c r="A59" s="344">
        <v>5.9999999999999902</v>
      </c>
      <c r="B59" s="255">
        <f t="shared" si="0"/>
        <v>3.3328710836980817</v>
      </c>
    </row>
    <row r="60" spans="1:2">
      <c r="A60" s="344">
        <v>6.0999999999999899</v>
      </c>
      <c r="B60" s="255">
        <f t="shared" si="0"/>
        <v>3.3134861808826073</v>
      </c>
    </row>
    <row r="61" spans="1:2">
      <c r="A61" s="344">
        <v>6.1999999999999904</v>
      </c>
      <c r="B61" s="255">
        <f t="shared" si="0"/>
        <v>3.295230166924016</v>
      </c>
    </row>
    <row r="62" spans="1:2">
      <c r="A62" s="344">
        <v>6.2999999999999901</v>
      </c>
      <c r="B62" s="255">
        <f t="shared" si="0"/>
        <v>3.278037300453196</v>
      </c>
    </row>
    <row r="63" spans="1:2">
      <c r="A63" s="344">
        <v>6.3999999999999897</v>
      </c>
      <c r="B63" s="255">
        <f t="shared" si="0"/>
        <v>3.2618456685803277</v>
      </c>
    </row>
    <row r="64" spans="1:2">
      <c r="A64" s="344">
        <v>6.4999999999999902</v>
      </c>
      <c r="B64" s="255">
        <f t="shared" si="0"/>
        <v>3.2465969639416081</v>
      </c>
    </row>
    <row r="65" spans="1:2">
      <c r="A65" s="344">
        <v>6.5999999999999899</v>
      </c>
      <c r="B65" s="255">
        <f t="shared" si="0"/>
        <v>3.2322362747297602</v>
      </c>
    </row>
    <row r="66" spans="1:2">
      <c r="A66" s="344">
        <v>6.6999999999999904</v>
      </c>
      <c r="B66" s="255">
        <f t="shared" si="0"/>
        <v>3.218711886952216</v>
      </c>
    </row>
    <row r="67" spans="1:2">
      <c r="A67" s="344">
        <v>6.7999999999999901</v>
      </c>
      <c r="B67" s="255">
        <f t="shared" ref="B67:B130" si="1">EXP($E$2*A67+$F$2)+3</f>
        <v>3.2059750982048847</v>
      </c>
    </row>
    <row r="68" spans="1:2">
      <c r="A68" s="344">
        <v>6.8999999999999897</v>
      </c>
      <c r="B68" s="255">
        <f t="shared" si="1"/>
        <v>3.1939800422908933</v>
      </c>
    </row>
    <row r="69" spans="1:2">
      <c r="A69" s="344">
        <v>6.9999999999999902</v>
      </c>
      <c r="B69" s="255">
        <f t="shared" si="1"/>
        <v>3.1826835240527358</v>
      </c>
    </row>
    <row r="70" spans="1:2">
      <c r="A70" s="344">
        <v>7.0999999999999899</v>
      </c>
      <c r="B70" s="255">
        <f t="shared" si="1"/>
        <v>3.1720448638230518</v>
      </c>
    </row>
    <row r="71" spans="1:2">
      <c r="A71" s="344">
        <v>7.1999999999999904</v>
      </c>
      <c r="B71" s="255">
        <f t="shared" si="1"/>
        <v>3.1620257509338816</v>
      </c>
    </row>
    <row r="72" spans="1:2">
      <c r="A72" s="344">
        <v>7.2999999999999901</v>
      </c>
      <c r="B72" s="255">
        <f t="shared" si="1"/>
        <v>3.152590105756885</v>
      </c>
    </row>
    <row r="73" spans="1:2">
      <c r="A73" s="344">
        <v>7.3999999999999897</v>
      </c>
      <c r="B73" s="255">
        <f t="shared" si="1"/>
        <v>3.143703949777704</v>
      </c>
    </row>
    <row r="74" spans="1:2">
      <c r="A74" s="344">
        <v>7.4999999999999902</v>
      </c>
      <c r="B74" s="255">
        <f t="shared" si="1"/>
        <v>3.1353352832366137</v>
      </c>
    </row>
    <row r="75" spans="1:2">
      <c r="A75" s="344">
        <v>7.5999999999999899</v>
      </c>
      <c r="B75" s="255">
        <f t="shared" si="1"/>
        <v>3.1274539698948214</v>
      </c>
    </row>
    <row r="76" spans="1:2">
      <c r="A76" s="344">
        <v>7.6999999999999904</v>
      </c>
      <c r="B76" s="255">
        <f t="shared" si="1"/>
        <v>3.1200316285114575</v>
      </c>
    </row>
    <row r="77" spans="1:2">
      <c r="A77" s="344">
        <v>7.7999999999999901</v>
      </c>
      <c r="B77" s="255">
        <f t="shared" si="1"/>
        <v>3.1130415306404506</v>
      </c>
    </row>
    <row r="78" spans="1:2">
      <c r="A78" s="344">
        <v>7.8999999999999897</v>
      </c>
      <c r="B78" s="255">
        <f t="shared" si="1"/>
        <v>3.1064585043792534</v>
      </c>
    </row>
    <row r="79" spans="1:2">
      <c r="A79" s="344">
        <v>7.9999999999999902</v>
      </c>
      <c r="B79" s="255">
        <f t="shared" si="1"/>
        <v>3.1002588437228042</v>
      </c>
    </row>
    <row r="80" spans="1:2">
      <c r="A80" s="344">
        <v>8.0999999999999908</v>
      </c>
      <c r="B80" s="255">
        <f t="shared" si="1"/>
        <v>3.0944202231963027</v>
      </c>
    </row>
    <row r="81" spans="1:2">
      <c r="A81" s="344">
        <v>8.1999999999999904</v>
      </c>
      <c r="B81" s="255">
        <f t="shared" si="1"/>
        <v>3.0889216174593868</v>
      </c>
    </row>
    <row r="82" spans="1:2">
      <c r="A82" s="344">
        <v>8.2999999999999901</v>
      </c>
      <c r="B82" s="255">
        <f t="shared" si="1"/>
        <v>3.0837432255921966</v>
      </c>
    </row>
    <row r="83" spans="1:2">
      <c r="A83" s="344">
        <v>8.3999999999999897</v>
      </c>
      <c r="B83" s="255">
        <f t="shared" si="1"/>
        <v>3.0788663997906753</v>
      </c>
    </row>
    <row r="84" spans="1:2">
      <c r="A84" s="344">
        <v>8.4999999999999893</v>
      </c>
      <c r="B84" s="255">
        <f t="shared" si="1"/>
        <v>3.0742735782143344</v>
      </c>
    </row>
    <row r="85" spans="1:2">
      <c r="A85" s="344">
        <v>8.5999999999999908</v>
      </c>
      <c r="B85" s="255">
        <f t="shared" si="1"/>
        <v>3.0699482217446556</v>
      </c>
    </row>
    <row r="86" spans="1:2">
      <c r="A86" s="344">
        <v>8.6999999999999904</v>
      </c>
      <c r="B86" s="255">
        <f t="shared" si="1"/>
        <v>3.0658747544264031</v>
      </c>
    </row>
    <row r="87" spans="1:2">
      <c r="A87" s="344">
        <v>8.7999999999999901</v>
      </c>
      <c r="B87" s="255">
        <f t="shared" si="1"/>
        <v>3.0620385073773586</v>
      </c>
    </row>
    <row r="88" spans="1:2">
      <c r="A88" s="344">
        <v>8.8999999999999897</v>
      </c>
      <c r="B88" s="255">
        <f t="shared" si="1"/>
        <v>3.0584256659645011</v>
      </c>
    </row>
    <row r="89" spans="1:2">
      <c r="A89" s="344">
        <v>8.9999999999999893</v>
      </c>
      <c r="B89" s="255">
        <f t="shared" si="1"/>
        <v>3.0550232200564076</v>
      </c>
    </row>
    <row r="90" spans="1:2">
      <c r="A90" s="344">
        <v>9.0999999999999908</v>
      </c>
      <c r="B90" s="255">
        <f t="shared" si="1"/>
        <v>3.0518189171727261</v>
      </c>
    </row>
    <row r="91" spans="1:2">
      <c r="A91" s="344">
        <v>9.1999999999999904</v>
      </c>
      <c r="B91" s="255">
        <f t="shared" si="1"/>
        <v>3.0488012183620135</v>
      </c>
    </row>
    <row r="92" spans="1:2">
      <c r="A92" s="344">
        <v>9.2999999999999901</v>
      </c>
      <c r="B92" s="255">
        <f t="shared" si="1"/>
        <v>3.0459592566490445</v>
      </c>
    </row>
    <row r="93" spans="1:2">
      <c r="A93" s="344">
        <v>9.3999999999999897</v>
      </c>
      <c r="B93" s="255">
        <f t="shared" si="1"/>
        <v>3.0432827979019663</v>
      </c>
    </row>
    <row r="94" spans="1:2">
      <c r="A94" s="344">
        <v>9.4999999999999893</v>
      </c>
      <c r="B94" s="255">
        <f t="shared" si="1"/>
        <v>3.0407622039783666</v>
      </c>
    </row>
    <row r="95" spans="1:2">
      <c r="A95" s="344">
        <v>9.5999999999999908</v>
      </c>
      <c r="B95" s="255">
        <f t="shared" si="1"/>
        <v>3.0383883980175521</v>
      </c>
    </row>
    <row r="96" spans="1:2">
      <c r="A96" s="344">
        <v>9.6999999999999904</v>
      </c>
      <c r="B96" s="255">
        <f t="shared" si="1"/>
        <v>3.0361528317540465</v>
      </c>
    </row>
    <row r="97" spans="1:2">
      <c r="A97" s="344">
        <v>9.7999999999999901</v>
      </c>
      <c r="B97" s="255">
        <f t="shared" si="1"/>
        <v>3.0340474547345995</v>
      </c>
    </row>
    <row r="98" spans="1:2">
      <c r="A98" s="344">
        <v>9.8999999999999897</v>
      </c>
      <c r="B98" s="255">
        <f t="shared" si="1"/>
        <v>3.0320646853278608</v>
      </c>
    </row>
    <row r="99" spans="1:2">
      <c r="A99" s="344">
        <v>9.9999999999999893</v>
      </c>
      <c r="B99" s="255">
        <f t="shared" si="1"/>
        <v>3.0301973834223186</v>
      </c>
    </row>
    <row r="100" spans="1:2">
      <c r="A100" s="344">
        <v>10.1</v>
      </c>
      <c r="B100" s="255">
        <f t="shared" si="1"/>
        <v>3.0284388247141845</v>
      </c>
    </row>
    <row r="101" spans="1:2">
      <c r="A101" s="344">
        <v>10.199999999999999</v>
      </c>
      <c r="B101" s="255">
        <f t="shared" si="1"/>
        <v>3.0267826764926382</v>
      </c>
    </row>
    <row r="102" spans="1:2">
      <c r="A102" s="344">
        <v>10.3</v>
      </c>
      <c r="B102" s="255">
        <f t="shared" si="1"/>
        <v>3.0252229748352271</v>
      </c>
    </row>
    <row r="103" spans="1:2">
      <c r="A103" s="344">
        <v>10.4</v>
      </c>
      <c r="B103" s="255">
        <f t="shared" si="1"/>
        <v>3.0237541031313051</v>
      </c>
    </row>
    <row r="104" spans="1:2">
      <c r="A104" s="344">
        <v>10.5</v>
      </c>
      <c r="B104" s="255">
        <f t="shared" si="1"/>
        <v>3.0223707718561656</v>
      </c>
    </row>
    <row r="105" spans="1:2">
      <c r="A105" s="344">
        <v>10.6</v>
      </c>
      <c r="B105" s="255">
        <f t="shared" si="1"/>
        <v>3.0210679995230416</v>
      </c>
    </row>
    <row r="106" spans="1:2">
      <c r="A106" s="344">
        <v>10.7</v>
      </c>
      <c r="B106" s="255">
        <f t="shared" si="1"/>
        <v>3.0198410947443701</v>
      </c>
    </row>
    <row r="107" spans="1:2">
      <c r="A107" s="344">
        <v>10.8</v>
      </c>
      <c r="B107" s="255">
        <f t="shared" si="1"/>
        <v>3.0186856393377326</v>
      </c>
    </row>
    <row r="108" spans="1:2">
      <c r="A108" s="344">
        <v>10.9</v>
      </c>
      <c r="B108" s="255">
        <f t="shared" si="1"/>
        <v>3.0175974724156234</v>
      </c>
    </row>
    <row r="109" spans="1:2">
      <c r="A109" s="344">
        <v>11</v>
      </c>
      <c r="B109" s="255">
        <f t="shared" si="1"/>
        <v>3.0165726754017612</v>
      </c>
    </row>
    <row r="110" spans="1:2">
      <c r="A110" s="344">
        <v>11.1</v>
      </c>
      <c r="B110" s="255">
        <f t="shared" si="1"/>
        <v>3.0156075579199828</v>
      </c>
    </row>
    <row r="111" spans="1:2">
      <c r="A111" s="344">
        <v>11.2</v>
      </c>
      <c r="B111" s="255">
        <f t="shared" si="1"/>
        <v>3.014698644504902</v>
      </c>
    </row>
    <row r="112" spans="1:2">
      <c r="A112" s="344">
        <v>11.3</v>
      </c>
      <c r="B112" s="255">
        <f t="shared" si="1"/>
        <v>3.0138426620864793</v>
      </c>
    </row>
    <row r="113" spans="1:2">
      <c r="A113" s="344">
        <v>11.4</v>
      </c>
      <c r="B113" s="255">
        <f t="shared" si="1"/>
        <v>3.0130365282034379</v>
      </c>
    </row>
    <row r="114" spans="1:2">
      <c r="A114" s="344">
        <v>11.5</v>
      </c>
      <c r="B114" s="255">
        <f t="shared" si="1"/>
        <v>3.0122773399030685</v>
      </c>
    </row>
    <row r="115" spans="1:2">
      <c r="A115" s="344">
        <v>11.6</v>
      </c>
      <c r="B115" s="255">
        <f t="shared" si="1"/>
        <v>3.0115623632874686</v>
      </c>
    </row>
    <row r="116" spans="1:2">
      <c r="A116" s="344">
        <v>11.7</v>
      </c>
      <c r="B116" s="255">
        <f t="shared" si="1"/>
        <v>3.0108890236685544</v>
      </c>
    </row>
    <row r="117" spans="1:2">
      <c r="A117" s="344">
        <v>11.8</v>
      </c>
      <c r="B117" s="255">
        <f t="shared" si="1"/>
        <v>3.010254896296404</v>
      </c>
    </row>
    <row r="118" spans="1:2">
      <c r="A118" s="344">
        <v>11.9</v>
      </c>
      <c r="B118" s="255">
        <f t="shared" si="1"/>
        <v>3.0096576976275378</v>
      </c>
    </row>
    <row r="119" spans="1:2">
      <c r="A119" s="344">
        <v>12</v>
      </c>
      <c r="B119" s="255">
        <f t="shared" si="1"/>
        <v>3.0090952771016957</v>
      </c>
    </row>
    <row r="120" spans="1:2">
      <c r="A120" s="344">
        <v>12.1</v>
      </c>
      <c r="B120" s="255">
        <f t="shared" si="1"/>
        <v>3.0085656093974982</v>
      </c>
    </row>
    <row r="121" spans="1:2">
      <c r="A121" s="344">
        <v>12.2</v>
      </c>
      <c r="B121" s="255">
        <f t="shared" si="1"/>
        <v>3.0080667871390996</v>
      </c>
    </row>
    <row r="122" spans="1:2">
      <c r="A122" s="344">
        <v>12.3</v>
      </c>
      <c r="B122" s="255">
        <f t="shared" si="1"/>
        <v>3.0075970140275774</v>
      </c>
    </row>
    <row r="123" spans="1:2">
      <c r="A123" s="344">
        <v>12.4</v>
      </c>
      <c r="B123" s="255">
        <f t="shared" si="1"/>
        <v>3.0071545983723147</v>
      </c>
    </row>
    <row r="124" spans="1:2">
      <c r="A124" s="344">
        <v>12.5</v>
      </c>
      <c r="B124" s="255">
        <f t="shared" si="1"/>
        <v>3.0067379469990856</v>
      </c>
    </row>
    <row r="125" spans="1:2">
      <c r="A125" s="344">
        <v>12.6</v>
      </c>
      <c r="B125" s="255">
        <f t="shared" si="1"/>
        <v>3.0063455595129089</v>
      </c>
    </row>
    <row r="126" spans="1:2">
      <c r="A126" s="344">
        <v>12.7</v>
      </c>
      <c r="B126" s="255">
        <f t="shared" si="1"/>
        <v>3.0059760228950059</v>
      </c>
    </row>
    <row r="127" spans="1:2">
      <c r="A127" s="344">
        <v>12.8</v>
      </c>
      <c r="B127" s="255">
        <f t="shared" si="1"/>
        <v>3.0056280064144039</v>
      </c>
    </row>
    <row r="128" spans="1:2">
      <c r="A128" s="344">
        <v>12.9</v>
      </c>
      <c r="B128" s="255">
        <f t="shared" si="1"/>
        <v>3.0053002568358704</v>
      </c>
    </row>
    <row r="129" spans="1:2">
      <c r="A129" s="344">
        <v>13</v>
      </c>
      <c r="B129" s="255">
        <f t="shared" si="1"/>
        <v>3.0049915939069103</v>
      </c>
    </row>
    <row r="130" spans="1:2">
      <c r="A130" s="344">
        <v>13.1</v>
      </c>
      <c r="B130" s="255">
        <f t="shared" si="1"/>
        <v>3.0047009061075833</v>
      </c>
    </row>
    <row r="131" spans="1:2">
      <c r="A131" s="344">
        <v>13.2</v>
      </c>
      <c r="B131" s="255">
        <f t="shared" ref="B131:B149" si="2">EXP($E$2*A131+$F$2)+3</f>
        <v>3.0044271466478314</v>
      </c>
    </row>
    <row r="132" spans="1:2">
      <c r="A132" s="344">
        <v>13.3</v>
      </c>
      <c r="B132" s="255">
        <f t="shared" si="2"/>
        <v>3.0041693296979042</v>
      </c>
    </row>
    <row r="133" spans="1:2">
      <c r="A133" s="344">
        <v>13.4</v>
      </c>
      <c r="B133" s="255">
        <f t="shared" si="2"/>
        <v>3.0039265268383057</v>
      </c>
    </row>
    <row r="134" spans="1:2">
      <c r="A134" s="344">
        <v>13.5</v>
      </c>
      <c r="B134" s="255">
        <f t="shared" si="2"/>
        <v>3.0036978637164831</v>
      </c>
    </row>
    <row r="135" spans="1:2">
      <c r="A135" s="344">
        <v>13.6</v>
      </c>
      <c r="B135" s="255">
        <f t="shared" si="2"/>
        <v>3.0034825168982118</v>
      </c>
    </row>
    <row r="136" spans="1:2">
      <c r="A136" s="344">
        <v>13.7</v>
      </c>
      <c r="B136" s="255">
        <f t="shared" si="2"/>
        <v>3.0032797109023437</v>
      </c>
    </row>
    <row r="137" spans="1:2">
      <c r="A137" s="344">
        <v>13.8</v>
      </c>
      <c r="B137" s="255">
        <f t="shared" si="2"/>
        <v>3.0030887154082366</v>
      </c>
    </row>
    <row r="138" spans="1:2">
      <c r="A138" s="344">
        <v>13.9</v>
      </c>
      <c r="B138" s="255">
        <f t="shared" si="2"/>
        <v>3.0029088426258124</v>
      </c>
    </row>
    <row r="139" spans="1:2">
      <c r="A139" s="344">
        <v>14</v>
      </c>
      <c r="B139" s="255">
        <f t="shared" si="2"/>
        <v>3.0027394448187685</v>
      </c>
    </row>
    <row r="140" spans="1:2">
      <c r="A140" s="344">
        <v>14.1</v>
      </c>
      <c r="B140" s="255">
        <f t="shared" si="2"/>
        <v>3.0025799119720271</v>
      </c>
    </row>
    <row r="141" spans="1:2">
      <c r="A141" s="344">
        <v>14.2</v>
      </c>
      <c r="B141" s="255">
        <f t="shared" si="2"/>
        <v>3.0024296695950246</v>
      </c>
    </row>
    <row r="142" spans="1:2">
      <c r="A142" s="344">
        <v>14.3</v>
      </c>
      <c r="B142" s="255">
        <f t="shared" si="2"/>
        <v>3.0022881766529221</v>
      </c>
    </row>
    <row r="143" spans="1:2">
      <c r="A143" s="344">
        <v>14.4</v>
      </c>
      <c r="B143" s="255">
        <f t="shared" si="2"/>
        <v>3.0021549236182978</v>
      </c>
    </row>
    <row r="144" spans="1:2">
      <c r="A144" s="344">
        <v>14.5</v>
      </c>
      <c r="B144" s="255">
        <f t="shared" si="2"/>
        <v>3.0020294306362958</v>
      </c>
    </row>
    <row r="145" spans="1:2">
      <c r="A145" s="344">
        <v>14.6</v>
      </c>
      <c r="B145" s="255">
        <f t="shared" si="2"/>
        <v>3.0019112457966326</v>
      </c>
    </row>
    <row r="146" spans="1:2">
      <c r="A146" s="344">
        <v>14.7</v>
      </c>
      <c r="B146" s="255">
        <f t="shared" si="2"/>
        <v>3.0017999435062306</v>
      </c>
    </row>
    <row r="147" spans="1:2">
      <c r="A147" s="344">
        <v>14.8</v>
      </c>
      <c r="B147" s="255">
        <f t="shared" si="2"/>
        <v>3.0016951229566233</v>
      </c>
    </row>
    <row r="148" spans="1:2">
      <c r="A148" s="344">
        <v>14.9</v>
      </c>
      <c r="B148" s="255">
        <f t="shared" si="2"/>
        <v>3.0015964066806124</v>
      </c>
    </row>
    <row r="149" spans="1:2">
      <c r="A149" s="344">
        <v>15</v>
      </c>
      <c r="B149" s="255">
        <f t="shared" si="2"/>
        <v>3.0015034391929776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4D6DA-8FC5-0E4B-8582-005DB05BF2C9}">
  <sheetPr codeName="Sheet26"/>
  <dimension ref="A1:P37"/>
  <sheetViews>
    <sheetView zoomScale="106" workbookViewId="0">
      <selection activeCell="N21" sqref="N21"/>
    </sheetView>
  </sheetViews>
  <sheetFormatPr defaultColWidth="10.83203125" defaultRowHeight="14.5"/>
  <cols>
    <col min="1" max="1" width="5.6640625" style="346" customWidth="1"/>
    <col min="2" max="4" width="10.83203125" style="346"/>
    <col min="5" max="5" width="22.1640625" style="346" customWidth="1"/>
    <col min="6" max="6" width="14.1640625" style="346" customWidth="1"/>
    <col min="7" max="7" width="27" style="346" customWidth="1"/>
    <col min="8" max="12" width="10.83203125" style="346"/>
    <col min="13" max="13" width="15.83203125" style="346" customWidth="1"/>
    <col min="14" max="14" width="14.1640625" style="346" customWidth="1"/>
    <col min="15" max="15" width="10.83203125" style="346"/>
    <col min="16" max="16" width="14.83203125" style="346" customWidth="1"/>
    <col min="17" max="16384" width="10.83203125" style="346"/>
  </cols>
  <sheetData>
    <row r="1" spans="1:16" ht="15" customHeight="1">
      <c r="A1" s="553"/>
      <c r="B1" s="555" t="s">
        <v>1200</v>
      </c>
      <c r="C1" s="555"/>
      <c r="D1" s="555"/>
      <c r="E1" s="555"/>
      <c r="F1" s="555"/>
      <c r="G1" s="555"/>
      <c r="H1" s="556"/>
      <c r="I1" s="559" t="s">
        <v>1201</v>
      </c>
      <c r="J1" s="555"/>
      <c r="K1" s="555"/>
      <c r="L1" s="555"/>
      <c r="M1" s="555"/>
      <c r="N1" s="555"/>
      <c r="O1" s="555"/>
      <c r="P1" s="556"/>
    </row>
    <row r="2" spans="1:16" ht="16" customHeight="1" thickBot="1">
      <c r="A2" s="554"/>
      <c r="B2" s="557"/>
      <c r="C2" s="557"/>
      <c r="D2" s="557"/>
      <c r="E2" s="557"/>
      <c r="F2" s="557"/>
      <c r="G2" s="557"/>
      <c r="H2" s="558"/>
      <c r="I2" s="560"/>
      <c r="J2" s="557"/>
      <c r="K2" s="557"/>
      <c r="L2" s="557"/>
      <c r="M2" s="557"/>
      <c r="N2" s="557"/>
      <c r="O2" s="557"/>
      <c r="P2" s="558"/>
    </row>
    <row r="3" spans="1:16" ht="33">
      <c r="A3" s="376"/>
      <c r="B3" s="348" t="s">
        <v>1005</v>
      </c>
      <c r="C3" s="561" t="s">
        <v>1195</v>
      </c>
      <c r="D3" s="562"/>
      <c r="E3" s="563"/>
      <c r="F3" s="348" t="s">
        <v>1196</v>
      </c>
      <c r="G3" s="350" t="s">
        <v>1214</v>
      </c>
      <c r="H3" s="347" t="s">
        <v>1202</v>
      </c>
      <c r="I3" s="350" t="s">
        <v>1203</v>
      </c>
      <c r="J3" s="350" t="s">
        <v>1204</v>
      </c>
      <c r="K3" s="350" t="s">
        <v>1205</v>
      </c>
      <c r="L3" s="350" t="s">
        <v>1206</v>
      </c>
      <c r="M3" s="350" t="s">
        <v>1207</v>
      </c>
      <c r="N3" s="350" t="s">
        <v>1208</v>
      </c>
      <c r="O3" s="350" t="s">
        <v>1209</v>
      </c>
      <c r="P3" s="349" t="s">
        <v>1210</v>
      </c>
    </row>
    <row r="4" spans="1:16" ht="21" customHeight="1">
      <c r="A4" s="376"/>
      <c r="B4" s="374"/>
      <c r="C4" s="352" t="s">
        <v>1211</v>
      </c>
      <c r="D4" s="353" t="s">
        <v>1212</v>
      </c>
      <c r="E4" s="352" t="s">
        <v>1213</v>
      </c>
      <c r="F4" s="353"/>
      <c r="G4" s="354"/>
      <c r="H4" s="351"/>
      <c r="I4" s="355">
        <v>0.2</v>
      </c>
      <c r="J4" s="355">
        <v>0.2</v>
      </c>
      <c r="K4" s="355">
        <v>0.18</v>
      </c>
      <c r="L4" s="381">
        <v>0.13</v>
      </c>
      <c r="M4" s="354"/>
      <c r="N4" s="354"/>
      <c r="O4" s="354"/>
      <c r="P4" s="380"/>
    </row>
    <row r="5" spans="1:16">
      <c r="A5" s="371">
        <f>ROW()-4</f>
        <v>1</v>
      </c>
      <c r="B5" s="370" t="str">
        <f>'S24 Required # of Machines'!A2</f>
        <v>WS-02</v>
      </c>
      <c r="C5" s="358">
        <f>VLOOKUP($B5, 'S17 Work Stations'!$A$2:$F$45, COLUMN()+2, 0)/1000</f>
        <v>2</v>
      </c>
      <c r="D5" s="358">
        <f>VLOOKUP($B5, 'S17 Work Stations'!$A$2:$F$45, COLUMN()+2, 0)/1000</f>
        <v>1.2</v>
      </c>
      <c r="E5" s="358">
        <f>C5*D5</f>
        <v>2.4</v>
      </c>
      <c r="F5" s="373">
        <f>IF(OR(B5="WS-42", B5="WS-43", B5="WS-44"), 1, VLOOKUP(E5, 'S25 Space Coefficient'!$A$2:$B$149, 2, 1))</f>
        <v>5.8863709892679585</v>
      </c>
      <c r="G5" s="359">
        <f>E5*F5</f>
        <v>14.127290374243101</v>
      </c>
      <c r="H5" s="377">
        <f>VLOOKUP(B5, 'S24 Required # of Machines'!$A$2:$D$27, 4, 0)</f>
        <v>21</v>
      </c>
      <c r="I5" s="360">
        <f>IF(OR($B5="WS-42", $B5="WS-43", $B5="WS-44"), 0, $G5*I$4)</f>
        <v>2.8254580748486204</v>
      </c>
      <c r="J5" s="360">
        <f>IF(OR($B5="WS-42", $B5="WS-43", $B5="WS-44"), 0, $G5*J$4)</f>
        <v>2.8254580748486204</v>
      </c>
      <c r="K5" s="360">
        <f>IF(OR($B5="WS-42", $B5="WS-43", $B5="WS-44"), 0, $G5*K$4)</f>
        <v>2.5429122673637581</v>
      </c>
      <c r="L5" s="360">
        <f>IF(OR($B5="WS-42", $B5="WS-43", $B5="WS-44"), 0, $G5*L$4)</f>
        <v>1.8365477486516031</v>
      </c>
      <c r="M5" s="357" t="str">
        <f>IF(B5="WS-42", E5, "")</f>
        <v/>
      </c>
      <c r="N5" s="361" t="str">
        <f>IF(OR(B5="WS-43", B5="WS-44"), E5, "")</f>
        <v/>
      </c>
      <c r="O5" s="378"/>
      <c r="P5" s="388">
        <f>IF(OR($B5="WS-42", $B5="WS-43", $B5="WS-44"), G5, (G5+SUM(I5:O5))*H5)</f>
        <v>507.31099733906973</v>
      </c>
    </row>
    <row r="6" spans="1:16">
      <c r="A6" s="371">
        <f t="shared" ref="A6:A30" si="0">ROW()-4</f>
        <v>2</v>
      </c>
      <c r="B6" s="370" t="str">
        <f>'S24 Required # of Machines'!A3</f>
        <v>WS-03</v>
      </c>
      <c r="C6" s="358">
        <f>VLOOKUP($B6, 'S17 Work Stations'!$A$2:$F$45, COLUMN()+2, 0)/1000</f>
        <v>2.5</v>
      </c>
      <c r="D6" s="358">
        <f>VLOOKUP($B6, 'S17 Work Stations'!$A$2:$F$45, COLUMN()+2, 0)/1000</f>
        <v>1</v>
      </c>
      <c r="E6" s="358">
        <f t="shared" ref="E6:E30" si="1">C6*D6</f>
        <v>2.5</v>
      </c>
      <c r="F6" s="373">
        <f>IF(OR(B6="WS-42", B6="WS-43", B6="WS-44"), 1, VLOOKUP(E6, 'S25 Space Coefficient'!$A$2:$B$149, 2, 1))</f>
        <v>5.7182818284590446</v>
      </c>
      <c r="G6" s="359">
        <f t="shared" ref="G6:G30" si="2">E6*F6</f>
        <v>14.295704571147612</v>
      </c>
      <c r="H6" s="377">
        <f>VLOOKUP(B6, 'S24 Required # of Machines'!$A$2:$D$27, 4, 0)</f>
        <v>6</v>
      </c>
      <c r="I6" s="360">
        <f t="shared" ref="I6:L30" si="3">IF(OR($B6="WS-42", $B6="WS-43", $B6="WS-44"), 0, $G6*I$4)</f>
        <v>2.8591409142295223</v>
      </c>
      <c r="J6" s="360">
        <f t="shared" si="3"/>
        <v>2.8591409142295223</v>
      </c>
      <c r="K6" s="360">
        <f t="shared" si="3"/>
        <v>2.57322682280657</v>
      </c>
      <c r="L6" s="360">
        <f t="shared" si="3"/>
        <v>1.8584415942491896</v>
      </c>
      <c r="M6" s="357" t="str">
        <f t="shared" ref="M6:M30" si="4">IF(B6="WS-42", E6, "")</f>
        <v/>
      </c>
      <c r="N6" s="361" t="str">
        <f t="shared" ref="N6:N30" si="5">IF(OR(B6="WS-43", B6="WS-44"), E6, "")</f>
        <v/>
      </c>
      <c r="O6" s="378"/>
      <c r="P6" s="388">
        <f t="shared" ref="P6:P30" si="6">IF(OR($B6="WS-42", $B6="WS-43", $B6="WS-44"), G6, (G6+SUM(I6:O6))*H6)</f>
        <v>146.6739288999745</v>
      </c>
    </row>
    <row r="7" spans="1:16">
      <c r="A7" s="371">
        <f t="shared" si="0"/>
        <v>3</v>
      </c>
      <c r="B7" s="370" t="str">
        <f>'S24 Required # of Machines'!A4</f>
        <v>WS-04</v>
      </c>
      <c r="C7" s="358">
        <f>VLOOKUP($B7, 'S17 Work Stations'!$A$2:$F$45, COLUMN()+2, 0)/1000</f>
        <v>3</v>
      </c>
      <c r="D7" s="358">
        <f>VLOOKUP($B7, 'S17 Work Stations'!$A$2:$F$45, COLUMN()+2, 0)/1000</f>
        <v>1.2</v>
      </c>
      <c r="E7" s="358">
        <f t="shared" si="1"/>
        <v>3.5999999999999996</v>
      </c>
      <c r="F7" s="373">
        <f>IF(OR(B7="WS-42", B7="WS-43", B7="WS-44"), 1, VLOOKUP(E7, 'S25 Space Coefficient'!$A$2:$B$149, 2, 1))</f>
        <v>4.4918246976412703</v>
      </c>
      <c r="G7" s="359">
        <f t="shared" si="2"/>
        <v>16.170568911508571</v>
      </c>
      <c r="H7" s="377">
        <f>VLOOKUP(B7, 'S24 Required # of Machines'!$A$2:$D$27, 4, 0)</f>
        <v>4</v>
      </c>
      <c r="I7" s="360">
        <f t="shared" si="3"/>
        <v>3.2341137823017143</v>
      </c>
      <c r="J7" s="360">
        <f t="shared" si="3"/>
        <v>3.2341137823017143</v>
      </c>
      <c r="K7" s="360">
        <f t="shared" si="3"/>
        <v>2.9107024040715426</v>
      </c>
      <c r="L7" s="360">
        <f t="shared" si="3"/>
        <v>2.1021739584961141</v>
      </c>
      <c r="M7" s="357" t="str">
        <f t="shared" si="4"/>
        <v/>
      </c>
      <c r="N7" s="361" t="str">
        <f t="shared" si="5"/>
        <v/>
      </c>
      <c r="O7" s="378"/>
      <c r="P7" s="388">
        <f t="shared" si="6"/>
        <v>110.60669135471862</v>
      </c>
    </row>
    <row r="8" spans="1:16">
      <c r="A8" s="371">
        <f t="shared" si="0"/>
        <v>4</v>
      </c>
      <c r="B8" s="370" t="str">
        <f>'S24 Required # of Machines'!A5</f>
        <v>WS-05</v>
      </c>
      <c r="C8" s="358">
        <f>VLOOKUP($B8, 'S17 Work Stations'!$A$2:$F$45, COLUMN()+2, 0)/1000</f>
        <v>2.2000000000000002</v>
      </c>
      <c r="D8" s="358">
        <f>VLOOKUP($B8, 'S17 Work Stations'!$A$2:$F$45, COLUMN()+2, 0)/1000</f>
        <v>1.4</v>
      </c>
      <c r="E8" s="358">
        <f t="shared" si="1"/>
        <v>3.08</v>
      </c>
      <c r="F8" s="373">
        <f>IF(OR(B8="WS-42", B8="WS-43", B8="WS-44"), 1, VLOOKUP(E8, 'S25 Space Coefficient'!$A$2:$B$149, 2, 1))</f>
        <v>5.0137527074704771</v>
      </c>
      <c r="G8" s="359">
        <f t="shared" si="2"/>
        <v>15.44235833900907</v>
      </c>
      <c r="H8" s="377">
        <f>VLOOKUP(B8, 'S24 Required # of Machines'!$A$2:$D$27, 4, 0)</f>
        <v>42</v>
      </c>
      <c r="I8" s="360">
        <f t="shared" si="3"/>
        <v>3.088471667801814</v>
      </c>
      <c r="J8" s="360">
        <f t="shared" si="3"/>
        <v>3.088471667801814</v>
      </c>
      <c r="K8" s="360">
        <f t="shared" si="3"/>
        <v>2.7796245010216327</v>
      </c>
      <c r="L8" s="360">
        <f t="shared" si="3"/>
        <v>2.0075065840711792</v>
      </c>
      <c r="M8" s="357" t="str">
        <f t="shared" si="4"/>
        <v/>
      </c>
      <c r="N8" s="361" t="str">
        <f t="shared" si="5"/>
        <v/>
      </c>
      <c r="O8" s="378"/>
      <c r="P8" s="388">
        <f t="shared" si="6"/>
        <v>1109.0701759076314</v>
      </c>
    </row>
    <row r="9" spans="1:16">
      <c r="A9" s="371">
        <f t="shared" si="0"/>
        <v>5</v>
      </c>
      <c r="B9" s="370" t="str">
        <f>'S24 Required # of Machines'!A6</f>
        <v>WS-07</v>
      </c>
      <c r="C9" s="358">
        <f>VLOOKUP($B9, 'S17 Work Stations'!$A$2:$F$45, COLUMN()+2, 0)/1000</f>
        <v>2.6</v>
      </c>
      <c r="D9" s="358">
        <f>VLOOKUP($B9, 'S17 Work Stations'!$A$2:$F$45, COLUMN()+2, 0)/1000</f>
        <v>1.5</v>
      </c>
      <c r="E9" s="358">
        <f t="shared" si="1"/>
        <v>3.9000000000000004</v>
      </c>
      <c r="F9" s="373">
        <f>IF(OR(B9="WS-42", B9="WS-43", B9="WS-44"), 1, VLOOKUP(E9, 'S25 Space Coefficient'!$A$2:$B$149, 2, 1))</f>
        <v>4.1735108709918105</v>
      </c>
      <c r="G9" s="359">
        <f t="shared" si="2"/>
        <v>16.276692396868061</v>
      </c>
      <c r="H9" s="377">
        <f>VLOOKUP(B9, 'S24 Required # of Machines'!$A$2:$D$27, 4, 0)</f>
        <v>25</v>
      </c>
      <c r="I9" s="360">
        <f t="shared" si="3"/>
        <v>3.2553384793736124</v>
      </c>
      <c r="J9" s="360">
        <f t="shared" si="3"/>
        <v>3.2553384793736124</v>
      </c>
      <c r="K9" s="360">
        <f t="shared" si="3"/>
        <v>2.9298046314362507</v>
      </c>
      <c r="L9" s="360">
        <f t="shared" si="3"/>
        <v>2.1159700115928479</v>
      </c>
      <c r="M9" s="357" t="str">
        <f t="shared" si="4"/>
        <v/>
      </c>
      <c r="N9" s="361" t="str">
        <f t="shared" si="5"/>
        <v/>
      </c>
      <c r="O9" s="378"/>
      <c r="P9" s="388">
        <f t="shared" si="6"/>
        <v>695.82859996610966</v>
      </c>
    </row>
    <row r="10" spans="1:16">
      <c r="A10" s="371">
        <f t="shared" si="0"/>
        <v>6</v>
      </c>
      <c r="B10" s="370" t="str">
        <f>'S24 Required # of Machines'!A7</f>
        <v>WS-08</v>
      </c>
      <c r="C10" s="358">
        <f>VLOOKUP($B10, 'S17 Work Stations'!$A$2:$F$45, COLUMN()+2, 0)/1000</f>
        <v>2</v>
      </c>
      <c r="D10" s="358">
        <f>VLOOKUP($B10, 'S17 Work Stations'!$A$2:$F$45, COLUMN()+2, 0)/1000</f>
        <v>0.9</v>
      </c>
      <c r="E10" s="358">
        <f t="shared" si="1"/>
        <v>1.8</v>
      </c>
      <c r="F10" s="373">
        <f>IF(OR(B10="WS-42", B10="WS-43", B10="WS-44"), 1, VLOOKUP(E10, 'S25 Space Coefficient'!$A$2:$B$149, 2, 1))</f>
        <v>7.1371204402513921</v>
      </c>
      <c r="G10" s="359">
        <f t="shared" si="2"/>
        <v>12.846816792452506</v>
      </c>
      <c r="H10" s="377">
        <f>VLOOKUP(B10, 'S24 Required # of Machines'!$A$2:$D$27, 4, 0)</f>
        <v>9</v>
      </c>
      <c r="I10" s="360">
        <f t="shared" si="3"/>
        <v>2.5693633584905013</v>
      </c>
      <c r="J10" s="360">
        <f t="shared" si="3"/>
        <v>2.5693633584905013</v>
      </c>
      <c r="K10" s="360">
        <f t="shared" si="3"/>
        <v>2.3124270226414509</v>
      </c>
      <c r="L10" s="360">
        <f t="shared" si="3"/>
        <v>1.6700861830188258</v>
      </c>
      <c r="M10" s="357" t="str">
        <f t="shared" si="4"/>
        <v/>
      </c>
      <c r="N10" s="361" t="str">
        <f t="shared" si="5"/>
        <v/>
      </c>
      <c r="O10" s="378"/>
      <c r="P10" s="388">
        <f t="shared" si="6"/>
        <v>197.71251043584408</v>
      </c>
    </row>
    <row r="11" spans="1:16">
      <c r="A11" s="371">
        <f t="shared" si="0"/>
        <v>7</v>
      </c>
      <c r="B11" s="370" t="str">
        <f>'S24 Required # of Machines'!A8</f>
        <v>WS-18</v>
      </c>
      <c r="C11" s="358">
        <f>VLOOKUP($B11, 'S17 Work Stations'!$A$2:$F$45, COLUMN()+2, 0)/1000</f>
        <v>2.4</v>
      </c>
      <c r="D11" s="358">
        <f>VLOOKUP($B11, 'S17 Work Stations'!$A$2:$F$45, COLUMN()+2, 0)/1000</f>
        <v>1.6</v>
      </c>
      <c r="E11" s="358">
        <f t="shared" si="1"/>
        <v>3.84</v>
      </c>
      <c r="F11" s="373">
        <f>IF(OR(B11="WS-42", B11="WS-43", B11="WS-44"), 1, VLOOKUP(E11, 'S25 Space Coefficient'!$A$2:$B$149, 2, 1))</f>
        <v>4.2460767305873812</v>
      </c>
      <c r="G11" s="359">
        <f t="shared" si="2"/>
        <v>16.304934645455543</v>
      </c>
      <c r="H11" s="377">
        <f>VLOOKUP(B11, 'S24 Required # of Machines'!$A$2:$D$27, 4, 0)</f>
        <v>23</v>
      </c>
      <c r="I11" s="360">
        <f t="shared" si="3"/>
        <v>3.2609869290911089</v>
      </c>
      <c r="J11" s="360">
        <f t="shared" si="3"/>
        <v>3.2609869290911089</v>
      </c>
      <c r="K11" s="360">
        <f t="shared" si="3"/>
        <v>2.9348882361819975</v>
      </c>
      <c r="L11" s="360">
        <f t="shared" si="3"/>
        <v>2.1196415039092207</v>
      </c>
      <c r="M11" s="357" t="str">
        <f t="shared" si="4"/>
        <v/>
      </c>
      <c r="N11" s="361" t="str">
        <f t="shared" si="5"/>
        <v/>
      </c>
      <c r="O11" s="378"/>
      <c r="P11" s="388">
        <f t="shared" si="6"/>
        <v>641.2730796057665</v>
      </c>
    </row>
    <row r="12" spans="1:16">
      <c r="A12" s="371">
        <f t="shared" si="0"/>
        <v>8</v>
      </c>
      <c r="B12" s="370" t="str">
        <f>'S24 Required # of Machines'!A9</f>
        <v>WS-20</v>
      </c>
      <c r="C12" s="358">
        <f>VLOOKUP($B12, 'S17 Work Stations'!$A$2:$F$45, COLUMN()+2, 0)/1000</f>
        <v>3</v>
      </c>
      <c r="D12" s="358">
        <f>VLOOKUP($B12, 'S17 Work Stations'!$A$2:$F$45, COLUMN()+2, 0)/1000</f>
        <v>2.5</v>
      </c>
      <c r="E12" s="358">
        <f t="shared" si="1"/>
        <v>7.5</v>
      </c>
      <c r="F12" s="373">
        <f>IF(OR(B12="WS-42", B12="WS-43", B12="WS-44"), 1, VLOOKUP(E12, 'S25 Space Coefficient'!$A$2:$B$149, 2, 1))</f>
        <v>3.1353352832366137</v>
      </c>
      <c r="G12" s="359">
        <f t="shared" si="2"/>
        <v>23.515014624274603</v>
      </c>
      <c r="H12" s="377">
        <f>VLOOKUP(B12, 'S24 Required # of Machines'!$A$2:$D$27, 4, 0)</f>
        <v>13</v>
      </c>
      <c r="I12" s="360">
        <f t="shared" si="3"/>
        <v>4.7030029248549203</v>
      </c>
      <c r="J12" s="360">
        <f t="shared" si="3"/>
        <v>4.7030029248549203</v>
      </c>
      <c r="K12" s="360">
        <f t="shared" si="3"/>
        <v>4.2327026323694286</v>
      </c>
      <c r="L12" s="360">
        <f t="shared" si="3"/>
        <v>3.0569519011556983</v>
      </c>
      <c r="M12" s="357" t="str">
        <f t="shared" si="4"/>
        <v/>
      </c>
      <c r="N12" s="361" t="str">
        <f t="shared" si="5"/>
        <v/>
      </c>
      <c r="O12" s="378"/>
      <c r="P12" s="388">
        <f t="shared" si="6"/>
        <v>522.7387750976244</v>
      </c>
    </row>
    <row r="13" spans="1:16">
      <c r="A13" s="371">
        <f t="shared" si="0"/>
        <v>9</v>
      </c>
      <c r="B13" s="370" t="str">
        <f>'S24 Required # of Machines'!A10</f>
        <v>WS-21</v>
      </c>
      <c r="C13" s="358">
        <f>VLOOKUP($B13, 'S17 Work Stations'!$A$2:$F$45, COLUMN()+2, 0)/1000</f>
        <v>3.5</v>
      </c>
      <c r="D13" s="358">
        <f>VLOOKUP($B13, 'S17 Work Stations'!$A$2:$F$45, COLUMN()+2, 0)/1000</f>
        <v>2.6</v>
      </c>
      <c r="E13" s="358">
        <f t="shared" si="1"/>
        <v>9.1</v>
      </c>
      <c r="F13" s="373">
        <f>IF(OR(B13="WS-42", B13="WS-43", B13="WS-44"), 1, VLOOKUP(E13, 'S25 Space Coefficient'!$A$2:$B$149, 2, 1))</f>
        <v>3.0518189171727261</v>
      </c>
      <c r="G13" s="359">
        <f t="shared" si="2"/>
        <v>27.771552146271805</v>
      </c>
      <c r="H13" s="377">
        <f>VLOOKUP(B13, 'S24 Required # of Machines'!$A$2:$D$27, 4, 0)</f>
        <v>9</v>
      </c>
      <c r="I13" s="360">
        <f t="shared" si="3"/>
        <v>5.554310429254361</v>
      </c>
      <c r="J13" s="360">
        <f t="shared" si="3"/>
        <v>5.554310429254361</v>
      </c>
      <c r="K13" s="360">
        <f t="shared" si="3"/>
        <v>4.9988793863289249</v>
      </c>
      <c r="L13" s="360">
        <f t="shared" si="3"/>
        <v>3.6103017790153347</v>
      </c>
      <c r="M13" s="357" t="str">
        <f t="shared" si="4"/>
        <v/>
      </c>
      <c r="N13" s="361" t="str">
        <f t="shared" si="5"/>
        <v/>
      </c>
      <c r="O13" s="378"/>
      <c r="P13" s="388">
        <f t="shared" si="6"/>
        <v>427.40418753112306</v>
      </c>
    </row>
    <row r="14" spans="1:16">
      <c r="A14" s="371">
        <f t="shared" si="0"/>
        <v>10</v>
      </c>
      <c r="B14" s="370" t="str">
        <f>'S24 Required # of Machines'!A11</f>
        <v>WS-23</v>
      </c>
      <c r="C14" s="358">
        <f>VLOOKUP($B14, 'S17 Work Stations'!$A$2:$F$45, COLUMN()+2, 0)/1000</f>
        <v>2.8</v>
      </c>
      <c r="D14" s="358">
        <f>VLOOKUP($B14, 'S17 Work Stations'!$A$2:$F$45, COLUMN()+2, 0)/1000</f>
        <v>2</v>
      </c>
      <c r="E14" s="358">
        <f t="shared" si="1"/>
        <v>5.6</v>
      </c>
      <c r="F14" s="373">
        <f>IF(OR(B14="WS-42", B14="WS-43", B14="WS-44"), 1, VLOOKUP(E14, 'S25 Space Coefficient'!$A$2:$B$149, 2, 1))</f>
        <v>3.4231620823177513</v>
      </c>
      <c r="G14" s="359">
        <f t="shared" si="2"/>
        <v>19.169707660979405</v>
      </c>
      <c r="H14" s="377">
        <f>VLOOKUP(B14, 'S24 Required # of Machines'!$A$2:$D$27, 4, 0)</f>
        <v>7</v>
      </c>
      <c r="I14" s="360">
        <f t="shared" si="3"/>
        <v>3.8339415321958814</v>
      </c>
      <c r="J14" s="360">
        <f t="shared" si="3"/>
        <v>3.8339415321958814</v>
      </c>
      <c r="K14" s="360">
        <f t="shared" si="3"/>
        <v>3.4505473789762928</v>
      </c>
      <c r="L14" s="360">
        <f t="shared" si="3"/>
        <v>2.4920619959273229</v>
      </c>
      <c r="M14" s="357" t="str">
        <f t="shared" si="4"/>
        <v/>
      </c>
      <c r="N14" s="361" t="str">
        <f t="shared" si="5"/>
        <v/>
      </c>
      <c r="O14" s="378"/>
      <c r="P14" s="388">
        <f t="shared" si="6"/>
        <v>229.46140070192348</v>
      </c>
    </row>
    <row r="15" spans="1:16">
      <c r="A15" s="371">
        <f t="shared" si="0"/>
        <v>11</v>
      </c>
      <c r="B15" s="370" t="str">
        <f>'S24 Required # of Machines'!A12</f>
        <v>WS-24</v>
      </c>
      <c r="C15" s="358">
        <f>VLOOKUP($B15, 'S17 Work Stations'!$A$2:$F$45, COLUMN()+2, 0)/1000</f>
        <v>3</v>
      </c>
      <c r="D15" s="358">
        <f>VLOOKUP($B15, 'S17 Work Stations'!$A$2:$F$45, COLUMN()+2, 0)/1000</f>
        <v>2.5</v>
      </c>
      <c r="E15" s="358">
        <f t="shared" si="1"/>
        <v>7.5</v>
      </c>
      <c r="F15" s="373">
        <f>IF(OR(B15="WS-42", B15="WS-43", B15="WS-44"), 1, VLOOKUP(E15, 'S25 Space Coefficient'!$A$2:$B$149, 2, 1))</f>
        <v>3.1353352832366137</v>
      </c>
      <c r="G15" s="359">
        <f t="shared" si="2"/>
        <v>23.515014624274603</v>
      </c>
      <c r="H15" s="377">
        <f>VLOOKUP(B15, 'S24 Required # of Machines'!$A$2:$D$27, 4, 0)</f>
        <v>18</v>
      </c>
      <c r="I15" s="360">
        <f t="shared" si="3"/>
        <v>4.7030029248549203</v>
      </c>
      <c r="J15" s="360">
        <f t="shared" si="3"/>
        <v>4.7030029248549203</v>
      </c>
      <c r="K15" s="360">
        <f t="shared" si="3"/>
        <v>4.2327026323694286</v>
      </c>
      <c r="L15" s="360">
        <f t="shared" si="3"/>
        <v>3.0569519011556983</v>
      </c>
      <c r="M15" s="357" t="str">
        <f t="shared" si="4"/>
        <v/>
      </c>
      <c r="N15" s="361" t="str">
        <f t="shared" si="5"/>
        <v/>
      </c>
      <c r="O15" s="378"/>
      <c r="P15" s="388">
        <f t="shared" si="6"/>
        <v>723.79215013517228</v>
      </c>
    </row>
    <row r="16" spans="1:16">
      <c r="A16" s="371">
        <f t="shared" si="0"/>
        <v>12</v>
      </c>
      <c r="B16" s="370" t="str">
        <f>'S24 Required # of Machines'!A13</f>
        <v>WS-25</v>
      </c>
      <c r="C16" s="358">
        <f>VLOOKUP($B16, 'S17 Work Stations'!$A$2:$F$45, COLUMN()+2, 0)/1000</f>
        <v>2</v>
      </c>
      <c r="D16" s="358">
        <f>VLOOKUP($B16, 'S17 Work Stations'!$A$2:$F$45, COLUMN()+2, 0)/1000</f>
        <v>2</v>
      </c>
      <c r="E16" s="358">
        <f t="shared" si="1"/>
        <v>4</v>
      </c>
      <c r="F16" s="373">
        <f>IF(OR(B16="WS-42", B16="WS-43", B16="WS-44"), 1, VLOOKUP(E16, 'S25 Space Coefficient'!$A$2:$B$149, 2, 1))</f>
        <v>4.1051709180756477</v>
      </c>
      <c r="G16" s="359">
        <f t="shared" si="2"/>
        <v>16.420683672302591</v>
      </c>
      <c r="H16" s="377">
        <f>VLOOKUP(B16, 'S24 Required # of Machines'!$A$2:$D$27, 4, 0)</f>
        <v>27</v>
      </c>
      <c r="I16" s="360">
        <f t="shared" si="3"/>
        <v>3.2841367344605183</v>
      </c>
      <c r="J16" s="360">
        <f t="shared" si="3"/>
        <v>3.2841367344605183</v>
      </c>
      <c r="K16" s="360">
        <f t="shared" si="3"/>
        <v>2.9557230610144662</v>
      </c>
      <c r="L16" s="360">
        <f t="shared" si="3"/>
        <v>2.1346888773993369</v>
      </c>
      <c r="M16" s="357" t="str">
        <f t="shared" si="4"/>
        <v/>
      </c>
      <c r="N16" s="361" t="str">
        <f t="shared" si="5"/>
        <v/>
      </c>
      <c r="O16" s="378"/>
      <c r="P16" s="388">
        <f t="shared" si="6"/>
        <v>758.14296515021067</v>
      </c>
    </row>
    <row r="17" spans="1:16">
      <c r="A17" s="371">
        <f t="shared" si="0"/>
        <v>13</v>
      </c>
      <c r="B17" s="370" t="str">
        <f>'S24 Required # of Machines'!A14</f>
        <v>WS-26</v>
      </c>
      <c r="C17" s="358">
        <f>VLOOKUP($B17, 'S17 Work Stations'!$A$2:$F$45, COLUMN()+2, 0)/1000</f>
        <v>1.8</v>
      </c>
      <c r="D17" s="358">
        <f>VLOOKUP($B17, 'S17 Work Stations'!$A$2:$F$45, COLUMN()+2, 0)/1000</f>
        <v>1.5</v>
      </c>
      <c r="E17" s="358">
        <f t="shared" si="1"/>
        <v>2.7</v>
      </c>
      <c r="F17" s="373">
        <f>IF(OR(B17="WS-42", B17="WS-43", B17="WS-44"), 1, VLOOKUP(E17, 'S25 Space Coefficient'!$A$2:$B$149, 2, 1))</f>
        <v>5.4108997064172097</v>
      </c>
      <c r="G17" s="359">
        <f t="shared" si="2"/>
        <v>14.609429207326468</v>
      </c>
      <c r="H17" s="377">
        <f>VLOOKUP(B17, 'S24 Required # of Machines'!$A$2:$D$27, 4, 0)</f>
        <v>4</v>
      </c>
      <c r="I17" s="360">
        <f t="shared" si="3"/>
        <v>2.9218858414652935</v>
      </c>
      <c r="J17" s="360">
        <f t="shared" si="3"/>
        <v>2.9218858414652935</v>
      </c>
      <c r="K17" s="360">
        <f t="shared" si="3"/>
        <v>2.6296972573187642</v>
      </c>
      <c r="L17" s="360">
        <f t="shared" si="3"/>
        <v>1.8992257969524409</v>
      </c>
      <c r="M17" s="357" t="str">
        <f t="shared" si="4"/>
        <v/>
      </c>
      <c r="N17" s="361" t="str">
        <f t="shared" si="5"/>
        <v/>
      </c>
      <c r="O17" s="378"/>
      <c r="P17" s="388">
        <f t="shared" si="6"/>
        <v>99.928495778113046</v>
      </c>
    </row>
    <row r="18" spans="1:16">
      <c r="A18" s="371">
        <f t="shared" si="0"/>
        <v>14</v>
      </c>
      <c r="B18" s="370" t="str">
        <f>'S24 Required # of Machines'!A15</f>
        <v>WS-27</v>
      </c>
      <c r="C18" s="358">
        <f>VLOOKUP($B18, 'S17 Work Stations'!$A$2:$F$45, COLUMN()+2, 0)/1000</f>
        <v>1.9</v>
      </c>
      <c r="D18" s="358">
        <f>VLOOKUP($B18, 'S17 Work Stations'!$A$2:$F$45, COLUMN()+2, 0)/1000</f>
        <v>2.5</v>
      </c>
      <c r="E18" s="358">
        <f t="shared" si="1"/>
        <v>4.75</v>
      </c>
      <c r="F18" s="373">
        <f>IF(OR(B18="WS-42", B18="WS-43", B18="WS-44"), 1, VLOOKUP(E18, 'S25 Space Coefficient'!$A$2:$B$149, 2, 1))</f>
        <v>3.7261490370736912</v>
      </c>
      <c r="G18" s="359">
        <f t="shared" si="2"/>
        <v>17.699207926100033</v>
      </c>
      <c r="H18" s="377">
        <f>VLOOKUP(B18, 'S24 Required # of Machines'!$A$2:$D$27, 4, 0)</f>
        <v>12</v>
      </c>
      <c r="I18" s="360">
        <f t="shared" si="3"/>
        <v>3.5398415852200067</v>
      </c>
      <c r="J18" s="360">
        <f t="shared" si="3"/>
        <v>3.5398415852200067</v>
      </c>
      <c r="K18" s="360">
        <f t="shared" si="3"/>
        <v>3.1858574266980058</v>
      </c>
      <c r="L18" s="360">
        <f t="shared" si="3"/>
        <v>2.3008970303930045</v>
      </c>
      <c r="M18" s="357" t="str">
        <f t="shared" si="4"/>
        <v/>
      </c>
      <c r="N18" s="361" t="str">
        <f t="shared" si="5"/>
        <v/>
      </c>
      <c r="O18" s="378"/>
      <c r="P18" s="388">
        <f t="shared" si="6"/>
        <v>363.18774664357267</v>
      </c>
    </row>
    <row r="19" spans="1:16">
      <c r="A19" s="371">
        <f t="shared" si="0"/>
        <v>15</v>
      </c>
      <c r="B19" s="370" t="str">
        <f>'S24 Required # of Machines'!A16</f>
        <v>WS-28</v>
      </c>
      <c r="C19" s="358">
        <f>VLOOKUP($B19, 'S17 Work Stations'!$A$2:$F$45, COLUMN()+2, 0)/1000</f>
        <v>2.5</v>
      </c>
      <c r="D19" s="358">
        <f>VLOOKUP($B19, 'S17 Work Stations'!$A$2:$F$45, COLUMN()+2, 0)/1000</f>
        <v>2.5</v>
      </c>
      <c r="E19" s="358">
        <f t="shared" si="1"/>
        <v>6.25</v>
      </c>
      <c r="F19" s="373">
        <f>IF(OR(B19="WS-42", B19="WS-43", B19="WS-44"), 1, VLOOKUP(E19, 'S25 Space Coefficient'!$A$2:$B$149, 2, 1))</f>
        <v>3.295230166924016</v>
      </c>
      <c r="G19" s="359">
        <f t="shared" si="2"/>
        <v>20.5951885432751</v>
      </c>
      <c r="H19" s="377">
        <f>VLOOKUP(B19, 'S24 Required # of Machines'!$A$2:$D$27, 4, 0)</f>
        <v>14</v>
      </c>
      <c r="I19" s="360">
        <f t="shared" si="3"/>
        <v>4.1190377086550205</v>
      </c>
      <c r="J19" s="360">
        <f t="shared" si="3"/>
        <v>4.1190377086550205</v>
      </c>
      <c r="K19" s="360">
        <f t="shared" si="3"/>
        <v>3.7071339377895178</v>
      </c>
      <c r="L19" s="360">
        <f t="shared" si="3"/>
        <v>2.6773745106257629</v>
      </c>
      <c r="M19" s="357" t="str">
        <f t="shared" si="4"/>
        <v/>
      </c>
      <c r="N19" s="361" t="str">
        <f t="shared" si="5"/>
        <v/>
      </c>
      <c r="O19" s="378"/>
      <c r="P19" s="388">
        <f t="shared" si="6"/>
        <v>493.04881372600585</v>
      </c>
    </row>
    <row r="20" spans="1:16">
      <c r="A20" s="371">
        <f t="shared" si="0"/>
        <v>16</v>
      </c>
      <c r="B20" s="370" t="str">
        <f>'S24 Required # of Machines'!A17</f>
        <v>WS-29</v>
      </c>
      <c r="C20" s="358">
        <f>VLOOKUP($B20, 'S17 Work Stations'!$A$2:$F$45, COLUMN()+2, 0)/1000</f>
        <v>2.2000000000000002</v>
      </c>
      <c r="D20" s="358">
        <f>VLOOKUP($B20, 'S17 Work Stations'!$A$2:$F$45, COLUMN()+2, 0)/1000</f>
        <v>2.2000000000000002</v>
      </c>
      <c r="E20" s="358">
        <f t="shared" si="1"/>
        <v>4.8400000000000007</v>
      </c>
      <c r="F20" s="373">
        <f>IF(OR(B20="WS-42", B20="WS-43", B20="WS-44"), 1, VLOOKUP(E20, 'S25 Space Coefficient'!$A$2:$B$149, 2, 1))</f>
        <v>3.6838614092123558</v>
      </c>
      <c r="G20" s="359">
        <f t="shared" si="2"/>
        <v>17.829889220587805</v>
      </c>
      <c r="H20" s="377">
        <f>VLOOKUP(B20, 'S24 Required # of Machines'!$A$2:$D$27, 4, 0)</f>
        <v>22</v>
      </c>
      <c r="I20" s="360">
        <f t="shared" si="3"/>
        <v>3.5659778441175614</v>
      </c>
      <c r="J20" s="360">
        <f t="shared" si="3"/>
        <v>3.5659778441175614</v>
      </c>
      <c r="K20" s="360">
        <f t="shared" si="3"/>
        <v>3.2093800597058046</v>
      </c>
      <c r="L20" s="360">
        <f t="shared" si="3"/>
        <v>2.3178855986764146</v>
      </c>
      <c r="M20" s="357" t="str">
        <f t="shared" si="4"/>
        <v/>
      </c>
      <c r="N20" s="361" t="str">
        <f t="shared" si="5"/>
        <v/>
      </c>
      <c r="O20" s="378"/>
      <c r="P20" s="388">
        <f t="shared" si="6"/>
        <v>670.76043247851328</v>
      </c>
    </row>
    <row r="21" spans="1:16">
      <c r="A21" s="371">
        <f t="shared" si="0"/>
        <v>17</v>
      </c>
      <c r="B21" s="370" t="str">
        <f>'S24 Required # of Machines'!A18</f>
        <v>WS-31</v>
      </c>
      <c r="C21" s="358">
        <f>VLOOKUP($B21, 'S17 Work Stations'!$A$2:$F$45, COLUMN()+2, 0)/1000</f>
        <v>2</v>
      </c>
      <c r="D21" s="358">
        <f>VLOOKUP($B21, 'S17 Work Stations'!$A$2:$F$45, COLUMN()+2, 0)/1000</f>
        <v>2</v>
      </c>
      <c r="E21" s="358">
        <f t="shared" si="1"/>
        <v>4</v>
      </c>
      <c r="F21" s="373">
        <f>IF(OR(B21="WS-42", B21="WS-43", B21="WS-44"), 1, VLOOKUP(E21, 'S25 Space Coefficient'!$A$2:$B$149, 2, 1))</f>
        <v>4.1051709180756477</v>
      </c>
      <c r="G21" s="359">
        <f t="shared" si="2"/>
        <v>16.420683672302591</v>
      </c>
      <c r="H21" s="377">
        <f>VLOOKUP(B21, 'S24 Required # of Machines'!$A$2:$D$27, 4, 0)</f>
        <v>5</v>
      </c>
      <c r="I21" s="360">
        <f t="shared" si="3"/>
        <v>3.2841367344605183</v>
      </c>
      <c r="J21" s="360">
        <f t="shared" si="3"/>
        <v>3.2841367344605183</v>
      </c>
      <c r="K21" s="360">
        <f t="shared" si="3"/>
        <v>2.9557230610144662</v>
      </c>
      <c r="L21" s="360">
        <f t="shared" si="3"/>
        <v>2.1346888773993369</v>
      </c>
      <c r="M21" s="357" t="str">
        <f t="shared" si="4"/>
        <v/>
      </c>
      <c r="N21" s="361" t="str">
        <f t="shared" si="5"/>
        <v/>
      </c>
      <c r="O21" s="378"/>
      <c r="P21" s="388">
        <f t="shared" si="6"/>
        <v>140.39684539818717</v>
      </c>
    </row>
    <row r="22" spans="1:16">
      <c r="A22" s="371">
        <f t="shared" si="0"/>
        <v>18</v>
      </c>
      <c r="B22" s="370" t="str">
        <f>'S24 Required # of Machines'!A19</f>
        <v>WS-32</v>
      </c>
      <c r="C22" s="358">
        <f>VLOOKUP($B22, 'S17 Work Stations'!$A$2:$F$45, COLUMN()+2, 0)/1000</f>
        <v>3</v>
      </c>
      <c r="D22" s="358">
        <f>VLOOKUP($B22, 'S17 Work Stations'!$A$2:$F$45, COLUMN()+2, 0)/1000</f>
        <v>2.5</v>
      </c>
      <c r="E22" s="358">
        <f t="shared" si="1"/>
        <v>7.5</v>
      </c>
      <c r="F22" s="373">
        <f>IF(OR(B22="WS-42", B22="WS-43", B22="WS-44"), 1, VLOOKUP(E22, 'S25 Space Coefficient'!$A$2:$B$149, 2, 1))</f>
        <v>3.1353352832366137</v>
      </c>
      <c r="G22" s="359">
        <f t="shared" si="2"/>
        <v>23.515014624274603</v>
      </c>
      <c r="H22" s="377">
        <f>VLOOKUP(B22, 'S24 Required # of Machines'!$A$2:$D$27, 4, 0)</f>
        <v>33</v>
      </c>
      <c r="I22" s="360">
        <f t="shared" si="3"/>
        <v>4.7030029248549203</v>
      </c>
      <c r="J22" s="360">
        <f t="shared" si="3"/>
        <v>4.7030029248549203</v>
      </c>
      <c r="K22" s="360">
        <f t="shared" si="3"/>
        <v>4.2327026323694286</v>
      </c>
      <c r="L22" s="360">
        <f t="shared" si="3"/>
        <v>3.0569519011556983</v>
      </c>
      <c r="M22" s="357" t="str">
        <f t="shared" si="4"/>
        <v/>
      </c>
      <c r="N22" s="361" t="str">
        <f t="shared" si="5"/>
        <v/>
      </c>
      <c r="O22" s="378"/>
      <c r="P22" s="388">
        <f t="shared" si="6"/>
        <v>1326.9522752478158</v>
      </c>
    </row>
    <row r="23" spans="1:16">
      <c r="A23" s="371">
        <f t="shared" si="0"/>
        <v>19</v>
      </c>
      <c r="B23" s="370" t="str">
        <f>'S24 Required # of Machines'!A20</f>
        <v>WS-33</v>
      </c>
      <c r="C23" s="358">
        <f>VLOOKUP($B23, 'S17 Work Stations'!$A$2:$F$45, COLUMN()+2, 0)/1000</f>
        <v>3</v>
      </c>
      <c r="D23" s="358">
        <f>VLOOKUP($B23, 'S17 Work Stations'!$A$2:$F$45, COLUMN()+2, 0)/1000</f>
        <v>2.5</v>
      </c>
      <c r="E23" s="358">
        <f t="shared" si="1"/>
        <v>7.5</v>
      </c>
      <c r="F23" s="373">
        <f>IF(OR(B23="WS-42", B23="WS-43", B23="WS-44"), 1, VLOOKUP(E23, 'S25 Space Coefficient'!$A$2:$B$149, 2, 1))</f>
        <v>3.1353352832366137</v>
      </c>
      <c r="G23" s="359">
        <f t="shared" si="2"/>
        <v>23.515014624274603</v>
      </c>
      <c r="H23" s="377">
        <f>VLOOKUP(B23, 'S24 Required # of Machines'!$A$2:$D$27, 4, 0)</f>
        <v>12</v>
      </c>
      <c r="I23" s="360">
        <f t="shared" si="3"/>
        <v>4.7030029248549203</v>
      </c>
      <c r="J23" s="360">
        <f t="shared" si="3"/>
        <v>4.7030029248549203</v>
      </c>
      <c r="K23" s="360">
        <f t="shared" si="3"/>
        <v>4.2327026323694286</v>
      </c>
      <c r="L23" s="360">
        <f t="shared" si="3"/>
        <v>3.0569519011556983</v>
      </c>
      <c r="M23" s="357" t="str">
        <f t="shared" si="4"/>
        <v/>
      </c>
      <c r="N23" s="361" t="str">
        <f t="shared" si="5"/>
        <v/>
      </c>
      <c r="O23" s="378"/>
      <c r="P23" s="388">
        <f t="shared" si="6"/>
        <v>482.52810009011489</v>
      </c>
    </row>
    <row r="24" spans="1:16">
      <c r="A24" s="371">
        <f t="shared" si="0"/>
        <v>20</v>
      </c>
      <c r="B24" s="370" t="str">
        <f>'S24 Required # of Machines'!A21</f>
        <v>WS-34</v>
      </c>
      <c r="C24" s="358">
        <f>VLOOKUP($B24, 'S17 Work Stations'!$A$2:$F$45, COLUMN()+2, 0)/1000</f>
        <v>3</v>
      </c>
      <c r="D24" s="358">
        <f>VLOOKUP($B24, 'S17 Work Stations'!$A$2:$F$45, COLUMN()+2, 0)/1000</f>
        <v>2</v>
      </c>
      <c r="E24" s="358">
        <f t="shared" si="1"/>
        <v>6</v>
      </c>
      <c r="F24" s="373">
        <f>IF(OR(B24="WS-42", B24="WS-43", B24="WS-44"), 1, VLOOKUP(E24, 'S25 Space Coefficient'!$A$2:$B$149, 2, 1))</f>
        <v>3.3328710836980817</v>
      </c>
      <c r="G24" s="359">
        <f t="shared" si="2"/>
        <v>19.997226502188489</v>
      </c>
      <c r="H24" s="377">
        <f>VLOOKUP(B24, 'S24 Required # of Machines'!$A$2:$D$27, 4, 0)</f>
        <v>67</v>
      </c>
      <c r="I24" s="360">
        <f t="shared" si="3"/>
        <v>3.999445300437698</v>
      </c>
      <c r="J24" s="360">
        <f t="shared" si="3"/>
        <v>3.999445300437698</v>
      </c>
      <c r="K24" s="360">
        <f t="shared" si="3"/>
        <v>3.5995007703939281</v>
      </c>
      <c r="L24" s="360">
        <f t="shared" si="3"/>
        <v>2.5996394452845037</v>
      </c>
      <c r="M24" s="357" t="str">
        <f t="shared" si="4"/>
        <v/>
      </c>
      <c r="N24" s="361" t="str">
        <f t="shared" si="5"/>
        <v/>
      </c>
      <c r="O24" s="378"/>
      <c r="P24" s="388">
        <f t="shared" si="6"/>
        <v>2291.0822403557354</v>
      </c>
    </row>
    <row r="25" spans="1:16">
      <c r="A25" s="371">
        <f t="shared" si="0"/>
        <v>21</v>
      </c>
      <c r="B25" s="370" t="str">
        <f>'S24 Required # of Machines'!A22</f>
        <v>WS-36</v>
      </c>
      <c r="C25" s="358">
        <f>VLOOKUP($B25, 'S17 Work Stations'!$A$2:$F$45, COLUMN()+2, 0)/1000</f>
        <v>1.5</v>
      </c>
      <c r="D25" s="358">
        <f>VLOOKUP($B25, 'S17 Work Stations'!$A$2:$F$45, COLUMN()+2, 0)/1000</f>
        <v>1.5</v>
      </c>
      <c r="E25" s="358">
        <f t="shared" si="1"/>
        <v>2.25</v>
      </c>
      <c r="F25" s="373">
        <f>IF(OR(B25="WS-42", B25="WS-43", B25="WS-44"), 1, VLOOKUP(E25, 'S25 Space Coefficient'!$A$2:$B$149, 2, 1))</f>
        <v>6.2543742028896707</v>
      </c>
      <c r="G25" s="359">
        <f t="shared" si="2"/>
        <v>14.072341956501759</v>
      </c>
      <c r="H25" s="377">
        <f>VLOOKUP(B25, 'S24 Required # of Machines'!$A$2:$D$27, 4, 0)</f>
        <v>9</v>
      </c>
      <c r="I25" s="360">
        <f t="shared" si="3"/>
        <v>2.8144683913003519</v>
      </c>
      <c r="J25" s="360">
        <f t="shared" si="3"/>
        <v>2.8144683913003519</v>
      </c>
      <c r="K25" s="360">
        <f t="shared" si="3"/>
        <v>2.5330215521703168</v>
      </c>
      <c r="L25" s="360">
        <f t="shared" si="3"/>
        <v>1.8294044543452288</v>
      </c>
      <c r="M25" s="357" t="str">
        <f t="shared" si="4"/>
        <v/>
      </c>
      <c r="N25" s="361" t="str">
        <f t="shared" si="5"/>
        <v/>
      </c>
      <c r="O25" s="378"/>
      <c r="P25" s="388">
        <f t="shared" si="6"/>
        <v>216.57334271056206</v>
      </c>
    </row>
    <row r="26" spans="1:16">
      <c r="A26" s="371">
        <f t="shared" si="0"/>
        <v>22</v>
      </c>
      <c r="B26" s="370" t="str">
        <f>'S24 Required # of Machines'!A23</f>
        <v>WS-38</v>
      </c>
      <c r="C26" s="358">
        <f>VLOOKUP($B26, 'S17 Work Stations'!$A$2:$F$45, COLUMN()+2, 0)/1000</f>
        <v>1.6</v>
      </c>
      <c r="D26" s="358">
        <f>VLOOKUP($B26, 'S17 Work Stations'!$A$2:$F$45, COLUMN()+2, 0)/1000</f>
        <v>1.6</v>
      </c>
      <c r="E26" s="358">
        <f t="shared" si="1"/>
        <v>2.5600000000000005</v>
      </c>
      <c r="F26" s="373">
        <f>IF(OR(B26="WS-42", B26="WS-43", B26="WS-44"), 1, VLOOKUP(E26, 'S25 Space Coefficient'!$A$2:$B$149, 2, 1))</f>
        <v>5.7182818284590446</v>
      </c>
      <c r="G26" s="359">
        <f t="shared" si="2"/>
        <v>14.638801480855157</v>
      </c>
      <c r="H26" s="377">
        <f>VLOOKUP(B26, 'S24 Required # of Machines'!$A$2:$D$27, 4, 0)</f>
        <v>5</v>
      </c>
      <c r="I26" s="360">
        <f t="shared" si="3"/>
        <v>2.9277602961710318</v>
      </c>
      <c r="J26" s="360">
        <f t="shared" si="3"/>
        <v>2.9277602961710318</v>
      </c>
      <c r="K26" s="360">
        <f t="shared" si="3"/>
        <v>2.634984266553928</v>
      </c>
      <c r="L26" s="360">
        <f t="shared" si="3"/>
        <v>1.9030441925111705</v>
      </c>
      <c r="M26" s="357" t="str">
        <f t="shared" si="4"/>
        <v/>
      </c>
      <c r="N26" s="361" t="str">
        <f t="shared" si="5"/>
        <v/>
      </c>
      <c r="O26" s="378"/>
      <c r="P26" s="388">
        <f t="shared" si="6"/>
        <v>125.1617526613116</v>
      </c>
    </row>
    <row r="27" spans="1:16">
      <c r="A27" s="371">
        <f t="shared" si="0"/>
        <v>23</v>
      </c>
      <c r="B27" s="370" t="str">
        <f>'S24 Required # of Machines'!A24</f>
        <v>WS-40</v>
      </c>
      <c r="C27" s="358">
        <f>VLOOKUP($B27, 'S17 Work Stations'!$A$2:$F$45, COLUMN()+2, 0)/1000</f>
        <v>1.7</v>
      </c>
      <c r="D27" s="358">
        <f>VLOOKUP($B27, 'S17 Work Stations'!$A$2:$F$45, COLUMN()+2, 0)/1000</f>
        <v>1.7</v>
      </c>
      <c r="E27" s="358">
        <f t="shared" si="1"/>
        <v>2.8899999999999997</v>
      </c>
      <c r="F27" s="373">
        <f>IF(OR(B27="WS-42", B27="WS-43", B27="WS-44"), 1, VLOOKUP(E27, 'S25 Space Coefficient'!$A$2:$B$149, 2, 1))</f>
        <v>5.2704998375324061</v>
      </c>
      <c r="G27" s="359">
        <f t="shared" si="2"/>
        <v>15.231744530468651</v>
      </c>
      <c r="H27" s="377">
        <f>VLOOKUP(B27, 'S24 Required # of Machines'!$A$2:$D$27, 4, 0)</f>
        <v>15</v>
      </c>
      <c r="I27" s="360">
        <f t="shared" si="3"/>
        <v>3.0463489060937303</v>
      </c>
      <c r="J27" s="360">
        <f t="shared" si="3"/>
        <v>3.0463489060937303</v>
      </c>
      <c r="K27" s="360">
        <f t="shared" si="3"/>
        <v>2.7417140154843569</v>
      </c>
      <c r="L27" s="360">
        <f t="shared" si="3"/>
        <v>1.9801267889609246</v>
      </c>
      <c r="M27" s="357" t="str">
        <f t="shared" si="4"/>
        <v/>
      </c>
      <c r="N27" s="361" t="str">
        <f t="shared" si="5"/>
        <v/>
      </c>
      <c r="O27" s="378"/>
      <c r="P27" s="388">
        <f t="shared" si="6"/>
        <v>390.69424720652091</v>
      </c>
    </row>
    <row r="28" spans="1:16">
      <c r="A28" s="371">
        <f t="shared" si="0"/>
        <v>24</v>
      </c>
      <c r="B28" s="370" t="str">
        <f>'S24 Required # of Machines'!A25</f>
        <v>WS-42</v>
      </c>
      <c r="C28" s="358">
        <f>VLOOKUP($B28, 'S17 Work Stations'!$A$2:$F$45, COLUMN()+2, 0)/1000</f>
        <v>9</v>
      </c>
      <c r="D28" s="358">
        <f>VLOOKUP($B28, 'S17 Work Stations'!$A$2:$F$45, COLUMN()+2, 0)/1000</f>
        <v>9</v>
      </c>
      <c r="E28" s="358">
        <f t="shared" si="1"/>
        <v>81</v>
      </c>
      <c r="F28" s="373">
        <f>IF(OR(B28="WS-42", B28="WS-43", B28="WS-44"), 1, VLOOKUP(E28, 'S25 Space Coefficient'!$A$2:$B$149, 2, 1))</f>
        <v>1</v>
      </c>
      <c r="G28" s="359">
        <f t="shared" si="2"/>
        <v>81</v>
      </c>
      <c r="H28" s="377">
        <f>VLOOKUP(B28, 'S24 Required # of Machines'!$A$2:$D$27, 4, 0)</f>
        <v>1</v>
      </c>
      <c r="I28" s="360">
        <f t="shared" si="3"/>
        <v>0</v>
      </c>
      <c r="J28" s="360">
        <f t="shared" si="3"/>
        <v>0</v>
      </c>
      <c r="K28" s="360">
        <f t="shared" si="3"/>
        <v>0</v>
      </c>
      <c r="L28" s="360">
        <f t="shared" si="3"/>
        <v>0</v>
      </c>
      <c r="M28" s="357">
        <f t="shared" si="4"/>
        <v>81</v>
      </c>
      <c r="N28" s="361" t="str">
        <f t="shared" si="5"/>
        <v/>
      </c>
      <c r="O28" s="378"/>
      <c r="P28" s="388">
        <f t="shared" si="6"/>
        <v>81</v>
      </c>
    </row>
    <row r="29" spans="1:16">
      <c r="A29" s="371">
        <f t="shared" si="0"/>
        <v>25</v>
      </c>
      <c r="B29" s="370" t="str">
        <f>'S24 Required # of Machines'!A26</f>
        <v>WS-43</v>
      </c>
      <c r="C29" s="358">
        <f>VLOOKUP($B29, 'S17 Work Stations'!$A$2:$F$45, COLUMN()+2, 0)/1000</f>
        <v>15</v>
      </c>
      <c r="D29" s="358">
        <f>VLOOKUP($B29, 'S17 Work Stations'!$A$2:$F$45, COLUMN()+2, 0)/1000</f>
        <v>25</v>
      </c>
      <c r="E29" s="358">
        <f t="shared" si="1"/>
        <v>375</v>
      </c>
      <c r="F29" s="373">
        <f>IF(OR(B29="WS-42", B29="WS-43", B29="WS-44"), 1, VLOOKUP(E29, 'S25 Space Coefficient'!$A$2:$B$149, 2, 1))</f>
        <v>1</v>
      </c>
      <c r="G29" s="359">
        <f t="shared" si="2"/>
        <v>375</v>
      </c>
      <c r="H29" s="377">
        <f>VLOOKUP(B29, 'S24 Required # of Machines'!$A$2:$D$27, 4, 0)</f>
        <v>1</v>
      </c>
      <c r="I29" s="360">
        <f t="shared" si="3"/>
        <v>0</v>
      </c>
      <c r="J29" s="360">
        <f t="shared" si="3"/>
        <v>0</v>
      </c>
      <c r="K29" s="360">
        <f t="shared" si="3"/>
        <v>0</v>
      </c>
      <c r="L29" s="360">
        <f t="shared" si="3"/>
        <v>0</v>
      </c>
      <c r="M29" s="357" t="str">
        <f t="shared" si="4"/>
        <v/>
      </c>
      <c r="N29" s="361">
        <f t="shared" si="5"/>
        <v>375</v>
      </c>
      <c r="O29" s="378"/>
      <c r="P29" s="388">
        <f t="shared" si="6"/>
        <v>375</v>
      </c>
    </row>
    <row r="30" spans="1:16">
      <c r="A30" s="371">
        <f t="shared" si="0"/>
        <v>26</v>
      </c>
      <c r="B30" s="370" t="str">
        <f>'S24 Required # of Machines'!A27</f>
        <v>WS-44</v>
      </c>
      <c r="C30" s="358">
        <f>VLOOKUP($B30, 'S17 Work Stations'!$A$2:$F$45, COLUMN()+2, 0)/1000</f>
        <v>15</v>
      </c>
      <c r="D30" s="358">
        <f>VLOOKUP($B30, 'S17 Work Stations'!$A$2:$F$45, COLUMN()+2, 0)/1000</f>
        <v>25</v>
      </c>
      <c r="E30" s="358">
        <f t="shared" si="1"/>
        <v>375</v>
      </c>
      <c r="F30" s="373">
        <f>IF(OR(B30="WS-42", B30="WS-43", B30="WS-44"), 1, VLOOKUP(E30, 'S25 Space Coefficient'!$A$2:$B$149, 2, 1))</f>
        <v>1</v>
      </c>
      <c r="G30" s="359">
        <f t="shared" si="2"/>
        <v>375</v>
      </c>
      <c r="H30" s="377">
        <f>VLOOKUP(B30, 'S24 Required # of Machines'!$A$2:$D$27, 4, 0)</f>
        <v>1</v>
      </c>
      <c r="I30" s="360">
        <f t="shared" si="3"/>
        <v>0</v>
      </c>
      <c r="J30" s="360">
        <f t="shared" si="3"/>
        <v>0</v>
      </c>
      <c r="K30" s="360">
        <f t="shared" si="3"/>
        <v>0</v>
      </c>
      <c r="L30" s="360">
        <f t="shared" si="3"/>
        <v>0</v>
      </c>
      <c r="M30" s="357" t="str">
        <f t="shared" si="4"/>
        <v/>
      </c>
      <c r="N30" s="361">
        <f t="shared" si="5"/>
        <v>375</v>
      </c>
      <c r="O30" s="362"/>
      <c r="P30" s="388">
        <f t="shared" si="6"/>
        <v>375</v>
      </c>
    </row>
    <row r="31" spans="1:16">
      <c r="A31" s="371"/>
      <c r="B31" s="370"/>
      <c r="C31" s="361"/>
      <c r="D31" s="361"/>
      <c r="E31" s="361"/>
      <c r="F31" s="361"/>
      <c r="G31" s="361"/>
      <c r="H31" s="378"/>
      <c r="I31" s="369"/>
      <c r="J31" s="363"/>
      <c r="K31" s="363"/>
      <c r="L31" s="382"/>
      <c r="M31" s="357"/>
      <c r="N31" s="361"/>
      <c r="O31" s="362"/>
      <c r="P31" s="371"/>
    </row>
    <row r="32" spans="1:16">
      <c r="A32" s="371"/>
      <c r="B32" s="370"/>
      <c r="C32" s="361"/>
      <c r="D32" s="361"/>
      <c r="E32" s="361"/>
      <c r="F32" s="361"/>
      <c r="G32" s="361"/>
      <c r="H32" s="378"/>
      <c r="I32" s="356"/>
      <c r="J32" s="361"/>
      <c r="K32" s="361"/>
      <c r="L32" s="383"/>
      <c r="M32" s="357"/>
      <c r="N32" s="361"/>
      <c r="O32" s="362"/>
      <c r="P32" s="385"/>
    </row>
    <row r="33" spans="1:16">
      <c r="A33" s="371"/>
      <c r="B33" s="370"/>
      <c r="C33" s="361"/>
      <c r="D33" s="361"/>
      <c r="E33" s="361"/>
      <c r="F33" s="361"/>
      <c r="G33" s="361"/>
      <c r="H33" s="378"/>
      <c r="I33" s="356"/>
      <c r="J33" s="361"/>
      <c r="K33" s="361"/>
      <c r="L33" s="383"/>
      <c r="M33" s="357"/>
      <c r="N33" s="361"/>
      <c r="O33" s="362"/>
      <c r="P33" s="371"/>
    </row>
    <row r="34" spans="1:16">
      <c r="A34" s="371"/>
      <c r="B34" s="370"/>
      <c r="C34" s="361"/>
      <c r="D34" s="361"/>
      <c r="E34" s="361"/>
      <c r="F34" s="361"/>
      <c r="G34" s="361"/>
      <c r="H34" s="378"/>
      <c r="I34" s="356"/>
      <c r="J34" s="361"/>
      <c r="K34" s="361"/>
      <c r="L34" s="383"/>
      <c r="M34" s="357"/>
      <c r="N34" s="361"/>
      <c r="O34" s="362"/>
      <c r="P34" s="371"/>
    </row>
    <row r="35" spans="1:16">
      <c r="A35" s="371"/>
      <c r="B35" s="370"/>
      <c r="C35" s="361"/>
      <c r="D35" s="361"/>
      <c r="E35" s="361"/>
      <c r="F35" s="361"/>
      <c r="G35" s="361"/>
      <c r="H35" s="378"/>
      <c r="I35" s="356"/>
      <c r="J35" s="361"/>
      <c r="K35" s="361"/>
      <c r="L35" s="383"/>
      <c r="M35" s="357"/>
      <c r="N35" s="361"/>
      <c r="O35" s="362"/>
      <c r="P35" s="371"/>
    </row>
    <row r="36" spans="1:16" ht="15" thickBot="1">
      <c r="A36" s="372"/>
      <c r="B36" s="375"/>
      <c r="C36" s="365"/>
      <c r="D36" s="365"/>
      <c r="E36" s="365"/>
      <c r="F36" s="365"/>
      <c r="G36" s="366"/>
      <c r="H36" s="379"/>
      <c r="I36" s="364"/>
      <c r="J36" s="365"/>
      <c r="K36" s="365"/>
      <c r="L36" s="384"/>
      <c r="M36" s="368"/>
      <c r="N36" s="365"/>
      <c r="O36" s="367"/>
      <c r="P36" s="386"/>
    </row>
    <row r="37" spans="1:16" ht="15" thickBot="1">
      <c r="P37" s="387">
        <f>SUM(P5:P36)</f>
        <v>13501.329754421618</v>
      </c>
    </row>
  </sheetData>
  <mergeCells count="4">
    <mergeCell ref="A1:A2"/>
    <mergeCell ref="B1:H2"/>
    <mergeCell ref="I1:P2"/>
    <mergeCell ref="C3:E3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2A093-E640-B343-9D87-25F2DFFC3A67}">
  <sheetPr codeName="Sheet27"/>
  <dimension ref="A1:BA998"/>
  <sheetViews>
    <sheetView zoomScale="80" zoomScaleNormal="80" workbookViewId="0">
      <selection activeCell="A998" sqref="A998:XFD998"/>
    </sheetView>
  </sheetViews>
  <sheetFormatPr defaultColWidth="11" defaultRowHeight="15.5"/>
  <cols>
    <col min="1" max="1" width="4.6640625" customWidth="1"/>
    <col min="4" max="5" width="11" style="257"/>
    <col min="7" max="7" width="19.6640625" customWidth="1"/>
    <col min="9" max="9" width="8.1640625" customWidth="1"/>
    <col min="10" max="53" width="7.6640625" customWidth="1"/>
  </cols>
  <sheetData>
    <row r="1" spans="1:53" ht="23.5">
      <c r="A1" s="389" t="s">
        <v>0</v>
      </c>
      <c r="B1" s="389" t="s">
        <v>506</v>
      </c>
      <c r="C1" s="389" t="s">
        <v>1114</v>
      </c>
      <c r="D1" s="390" t="s">
        <v>1215</v>
      </c>
      <c r="E1" s="390" t="s">
        <v>1216</v>
      </c>
      <c r="F1" s="389" t="s">
        <v>1217</v>
      </c>
    </row>
    <row r="2" spans="1:53">
      <c r="A2" s="3">
        <v>1</v>
      </c>
      <c r="B2" s="125" t="str">
        <f>IFERROR(INDEX('S21 Routing Clustered'!$A$3:$A$18, A2), "")</f>
        <v>I-004</v>
      </c>
      <c r="C2" s="3">
        <v>10</v>
      </c>
      <c r="D2" s="391" t="str">
        <f>IFERROR(HLOOKUP(C2, 'S21 Routing Clustered'!$B$2:$I$18, A2+1, 0), "")</f>
        <v>WS-43</v>
      </c>
      <c r="E2" s="391" t="str">
        <f>IF(D2="", "", D3)</f>
        <v>WS-36</v>
      </c>
      <c r="F2" s="3">
        <f>IF(E2="", "", VLOOKUP(B2, 'S14 ABC Output'!$A$3:$C$18, 3, 0))</f>
        <v>215425</v>
      </c>
      <c r="I2" s="392"/>
      <c r="J2" s="392" t="str">
        <f t="array" ref="J2:BA2">TRANSPOSE(I3:I46)</f>
        <v>WS-01</v>
      </c>
      <c r="K2" s="392" t="str">
        <v>WS-02</v>
      </c>
      <c r="L2" s="392" t="str">
        <v>WS-03</v>
      </c>
      <c r="M2" s="392" t="str">
        <v>WS-04</v>
      </c>
      <c r="N2" s="392" t="str">
        <v>WS-05</v>
      </c>
      <c r="O2" s="392" t="str">
        <v>WS-06</v>
      </c>
      <c r="P2" s="392" t="str">
        <v>WS-07</v>
      </c>
      <c r="Q2" s="392" t="str">
        <v>WS-08</v>
      </c>
      <c r="R2" s="392" t="str">
        <v>WS-09</v>
      </c>
      <c r="S2" s="392" t="str">
        <v>WS-10</v>
      </c>
      <c r="T2" s="392" t="str">
        <v>WS-11</v>
      </c>
      <c r="U2" s="392" t="str">
        <v>WS-12</v>
      </c>
      <c r="V2" s="392" t="str">
        <v>WS-13</v>
      </c>
      <c r="W2" s="392" t="str">
        <v>WS-14</v>
      </c>
      <c r="X2" s="392" t="str">
        <v>WS-15</v>
      </c>
      <c r="Y2" s="392" t="str">
        <v>WS-16</v>
      </c>
      <c r="Z2" s="392" t="str">
        <v>WS-17</v>
      </c>
      <c r="AA2" s="392" t="str">
        <v>WS-18</v>
      </c>
      <c r="AB2" s="392" t="str">
        <v>WS-19</v>
      </c>
      <c r="AC2" s="392" t="str">
        <v>WS-20</v>
      </c>
      <c r="AD2" s="392" t="str">
        <v>WS-21</v>
      </c>
      <c r="AE2" s="392" t="str">
        <v>WS-22</v>
      </c>
      <c r="AF2" s="392" t="str">
        <v>WS-23</v>
      </c>
      <c r="AG2" s="392" t="str">
        <v>WS-24</v>
      </c>
      <c r="AH2" s="392" t="str">
        <v>WS-25</v>
      </c>
      <c r="AI2" s="392" t="str">
        <v>WS-26</v>
      </c>
      <c r="AJ2" s="392" t="str">
        <v>WS-27</v>
      </c>
      <c r="AK2" s="392" t="str">
        <v>WS-28</v>
      </c>
      <c r="AL2" s="392" t="str">
        <v>WS-29</v>
      </c>
      <c r="AM2" s="392" t="str">
        <v>WS-30</v>
      </c>
      <c r="AN2" s="392" t="str">
        <v>WS-31</v>
      </c>
      <c r="AO2" s="392" t="str">
        <v>WS-32</v>
      </c>
      <c r="AP2" s="392" t="str">
        <v>WS-33</v>
      </c>
      <c r="AQ2" s="392" t="str">
        <v>WS-34</v>
      </c>
      <c r="AR2" s="392" t="str">
        <v>WS-35</v>
      </c>
      <c r="AS2" s="392" t="str">
        <v>WS-36</v>
      </c>
      <c r="AT2" s="392" t="str">
        <v>WS-37</v>
      </c>
      <c r="AU2" s="392" t="str">
        <v>WS-38</v>
      </c>
      <c r="AV2" s="392" t="str">
        <v>WS-39</v>
      </c>
      <c r="AW2" s="392" t="str">
        <v>WS-40</v>
      </c>
      <c r="AX2" s="392" t="str">
        <v>WS-41</v>
      </c>
      <c r="AY2" s="392" t="str">
        <v>WS-42</v>
      </c>
      <c r="AZ2" s="392" t="str">
        <v>WS-43</v>
      </c>
      <c r="BA2" s="392" t="str">
        <v>WS-44</v>
      </c>
    </row>
    <row r="3" spans="1:53">
      <c r="A3" s="3">
        <v>1</v>
      </c>
      <c r="B3" s="125" t="str">
        <f>IFERROR(INDEX('S21 Routing Clustered'!$A$3:$A$18, A3), "")</f>
        <v>I-004</v>
      </c>
      <c r="C3" s="3">
        <v>20</v>
      </c>
      <c r="D3" s="391" t="str">
        <f>IFERROR(HLOOKUP(C3, 'S21 Routing Clustered'!$B$2:$I$18, A3+1, 0), "")</f>
        <v>WS-36</v>
      </c>
      <c r="E3" s="391" t="str">
        <f t="shared" ref="E3:E66" si="0">IF(D3="", "", D4)</f>
        <v>WS-05</v>
      </c>
      <c r="F3" s="3">
        <f>IF(E3="", "", VLOOKUP(B3, 'S14 ABC Output'!$A$3:$C$18, 3, 0))</f>
        <v>215425</v>
      </c>
      <c r="I3" s="392" t="s">
        <v>1034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</row>
    <row r="4" spans="1:53">
      <c r="A4" s="3">
        <v>1</v>
      </c>
      <c r="B4" s="125" t="str">
        <f>IFERROR(INDEX('S21 Routing Clustered'!$A$3:$A$18, A4), "")</f>
        <v>I-004</v>
      </c>
      <c r="C4" s="3">
        <v>30</v>
      </c>
      <c r="D4" s="391" t="str">
        <f>IFERROR(HLOOKUP(C4, 'S21 Routing Clustered'!$B$2:$I$18, A4+1, 0), "")</f>
        <v>WS-05</v>
      </c>
      <c r="E4" s="391" t="str">
        <f t="shared" si="0"/>
        <v>WS-25</v>
      </c>
      <c r="F4" s="3">
        <f>IF(E4="", "", VLOOKUP(B4, 'S14 ABC Output'!$A$3:$C$18, 3, 0))</f>
        <v>215425</v>
      </c>
      <c r="I4" s="392" t="s">
        <v>1036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</row>
    <row r="5" spans="1:53">
      <c r="A5" s="3">
        <v>1</v>
      </c>
      <c r="B5" s="125" t="str">
        <f>IFERROR(INDEX('S21 Routing Clustered'!$A$3:$A$18, A5), "")</f>
        <v>I-004</v>
      </c>
      <c r="C5" s="3">
        <v>40</v>
      </c>
      <c r="D5" s="391" t="str">
        <f>IFERROR(HLOOKUP(C5, 'S21 Routing Clustered'!$B$2:$I$18, A5+1, 0), "")</f>
        <v>WS-25</v>
      </c>
      <c r="E5" s="391" t="str">
        <f t="shared" si="0"/>
        <v>WS-34</v>
      </c>
      <c r="F5" s="3">
        <f>IF(E5="", "", VLOOKUP(B5, 'S14 ABC Output'!$A$3:$C$18, 3, 0))</f>
        <v>215425</v>
      </c>
      <c r="I5" s="392" t="s">
        <v>1038</v>
      </c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</row>
    <row r="6" spans="1:53">
      <c r="A6" s="3">
        <v>1</v>
      </c>
      <c r="B6" s="125" t="str">
        <f>IFERROR(INDEX('S21 Routing Clustered'!$A$3:$A$18, A6), "")</f>
        <v>I-004</v>
      </c>
      <c r="C6" s="3">
        <v>50</v>
      </c>
      <c r="D6" s="391" t="str">
        <f>IFERROR(HLOOKUP(C6, 'S21 Routing Clustered'!$B$2:$I$18, A6+1, 0), "")</f>
        <v>WS-34</v>
      </c>
      <c r="E6" s="391" t="str">
        <f t="shared" si="0"/>
        <v>WS-44</v>
      </c>
      <c r="F6" s="3">
        <f>IF(E6="", "", VLOOKUP(B6, 'S14 ABC Output'!$A$3:$C$18, 3, 0))</f>
        <v>215425</v>
      </c>
      <c r="I6" s="392" t="s">
        <v>1040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</row>
    <row r="7" spans="1:53">
      <c r="A7" s="3">
        <v>1</v>
      </c>
      <c r="B7" s="125" t="str">
        <f>IFERROR(INDEX('S21 Routing Clustered'!$A$3:$A$18, A7), "")</f>
        <v>I-004</v>
      </c>
      <c r="C7" s="3">
        <v>60</v>
      </c>
      <c r="D7" s="391" t="str">
        <f>IFERROR(HLOOKUP(C7, 'S21 Routing Clustered'!$B$2:$I$18, A7+1, 0), "")</f>
        <v>WS-44</v>
      </c>
      <c r="E7" s="391" t="str">
        <f t="shared" si="0"/>
        <v/>
      </c>
      <c r="F7" s="3" t="str">
        <f>IF(E7="", "", VLOOKUP(B7, 'S14 ABC Output'!$A$3:$C$18, 3, 0))</f>
        <v/>
      </c>
      <c r="I7" s="392" t="s">
        <v>1042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>
        <v>215425</v>
      </c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</row>
    <row r="8" spans="1:53">
      <c r="A8" s="3">
        <v>1</v>
      </c>
      <c r="B8" s="125" t="str">
        <f>IFERROR(INDEX('S21 Routing Clustered'!$A$3:$A$18, A8), "")</f>
        <v>I-004</v>
      </c>
      <c r="C8" s="3">
        <v>70</v>
      </c>
      <c r="D8" s="391" t="str">
        <f>IFERROR(HLOOKUP(C8, 'S21 Routing Clustered'!$B$2:$I$18, A8+1, 0), "")</f>
        <v/>
      </c>
      <c r="E8" s="391" t="str">
        <f t="shared" si="0"/>
        <v/>
      </c>
      <c r="F8" s="3" t="str">
        <f>IF(E8="", "", VLOOKUP(B8, 'S14 ABC Output'!$A$3:$C$18, 3, 0))</f>
        <v/>
      </c>
      <c r="I8" s="392" t="s">
        <v>1044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</row>
    <row r="9" spans="1:53">
      <c r="A9" s="3">
        <v>1</v>
      </c>
      <c r="B9" s="125" t="str">
        <f>IFERROR(INDEX('S21 Routing Clustered'!$A$3:$A$18, A9), "")</f>
        <v>I-004</v>
      </c>
      <c r="C9" s="3">
        <v>80</v>
      </c>
      <c r="D9" s="391" t="str">
        <f>IFERROR(HLOOKUP(C9, 'S21 Routing Clustered'!$B$2:$I$18, A9+1, 0), "")</f>
        <v/>
      </c>
      <c r="E9" s="391" t="str">
        <f t="shared" si="0"/>
        <v/>
      </c>
      <c r="F9" s="3" t="str">
        <f>IF(E9="", "", VLOOKUP(B9, 'S14 ABC Output'!$A$3:$C$18, 3, 0))</f>
        <v/>
      </c>
      <c r="I9" s="392" t="s">
        <v>1046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</row>
    <row r="10" spans="1:53">
      <c r="A10" s="3">
        <v>1</v>
      </c>
      <c r="B10" s="125" t="str">
        <f>IFERROR(INDEX('S21 Routing Clustered'!$A$3:$A$18, A10), "")</f>
        <v>I-004</v>
      </c>
      <c r="C10" s="3">
        <v>90</v>
      </c>
      <c r="D10" s="391" t="str">
        <f>IFERROR(HLOOKUP(C10, 'S21 Routing Clustered'!$B$2:$I$18, A10+1, 0), "")</f>
        <v/>
      </c>
      <c r="E10" s="391" t="str">
        <f t="shared" si="0"/>
        <v/>
      </c>
      <c r="F10" s="3" t="str">
        <f>IF(E10="", "", VLOOKUP(B10, 'S14 ABC Output'!$A$3:$C$18, 3, 0))</f>
        <v/>
      </c>
      <c r="I10" s="392" t="s">
        <v>1048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</row>
    <row r="11" spans="1:53">
      <c r="A11" s="3">
        <v>1</v>
      </c>
      <c r="B11" s="125" t="str">
        <f>IFERROR(INDEX('S21 Routing Clustered'!$A$3:$A$18, A11), "")</f>
        <v>I-004</v>
      </c>
      <c r="C11" s="3">
        <v>100</v>
      </c>
      <c r="D11" s="391" t="str">
        <f>IFERROR(HLOOKUP(C11, 'S21 Routing Clustered'!$B$2:$I$18, A11+1, 0), "")</f>
        <v/>
      </c>
      <c r="E11" s="391" t="str">
        <f t="shared" si="0"/>
        <v/>
      </c>
      <c r="F11" s="3" t="str">
        <f>IF(E11="", "", VLOOKUP(B11, 'S14 ABC Output'!$A$3:$C$18, 3, 0))</f>
        <v/>
      </c>
      <c r="I11" s="392" t="s">
        <v>1049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</row>
    <row r="12" spans="1:53">
      <c r="A12" s="3">
        <v>1</v>
      </c>
      <c r="B12" s="125" t="str">
        <f>IFERROR(INDEX('S21 Routing Clustered'!$A$3:$A$18, A12), "")</f>
        <v>I-004</v>
      </c>
      <c r="C12" s="3">
        <v>110</v>
      </c>
      <c r="D12" s="391" t="str">
        <f>IFERROR(HLOOKUP(C12, 'S21 Routing Clustered'!$B$2:$I$18, A12+1, 0), "")</f>
        <v/>
      </c>
      <c r="E12" s="391" t="str">
        <f t="shared" si="0"/>
        <v/>
      </c>
      <c r="F12" s="3" t="str">
        <f>IF(E12="", "", VLOOKUP(B12, 'S14 ABC Output'!$A$3:$C$18, 3, 0))</f>
        <v/>
      </c>
      <c r="I12" s="392" t="s">
        <v>1051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</row>
    <row r="13" spans="1:53">
      <c r="A13" s="3">
        <v>1</v>
      </c>
      <c r="B13" s="125" t="str">
        <f>IFERROR(INDEX('S21 Routing Clustered'!$A$3:$A$18, A13), "")</f>
        <v>I-004</v>
      </c>
      <c r="C13" s="3">
        <v>120</v>
      </c>
      <c r="D13" s="391" t="str">
        <f>IFERROR(HLOOKUP(C13, 'S21 Routing Clustered'!$B$2:$I$18, A13+1, 0), "")</f>
        <v/>
      </c>
      <c r="E13" s="391" t="str">
        <f t="shared" si="0"/>
        <v/>
      </c>
      <c r="F13" s="3" t="str">
        <f>IF(E13="", "", VLOOKUP(B13, 'S14 ABC Output'!$A$3:$C$18, 3, 0))</f>
        <v/>
      </c>
      <c r="I13" s="392" t="s">
        <v>1053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</row>
    <row r="14" spans="1:53">
      <c r="A14" s="3">
        <v>1</v>
      </c>
      <c r="B14" s="125" t="str">
        <f>IFERROR(INDEX('S21 Routing Clustered'!$A$3:$A$18, A14), "")</f>
        <v>I-004</v>
      </c>
      <c r="C14" s="3">
        <v>130</v>
      </c>
      <c r="D14" s="391" t="str">
        <f>IFERROR(HLOOKUP(C14, 'S21 Routing Clustered'!$B$2:$I$18, A14+1, 0), "")</f>
        <v/>
      </c>
      <c r="E14" s="391" t="str">
        <f t="shared" si="0"/>
        <v/>
      </c>
      <c r="F14" s="3" t="str">
        <f>IF(E14="", "", VLOOKUP(B14, 'S14 ABC Output'!$A$3:$C$18, 3, 0))</f>
        <v/>
      </c>
      <c r="I14" s="392" t="s">
        <v>1055</v>
      </c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</row>
    <row r="15" spans="1:53">
      <c r="A15" s="3">
        <v>1</v>
      </c>
      <c r="B15" s="125" t="str">
        <f>IFERROR(INDEX('S21 Routing Clustered'!$A$3:$A$18, A15), "")</f>
        <v>I-004</v>
      </c>
      <c r="C15" s="3">
        <v>140</v>
      </c>
      <c r="D15" s="391" t="str">
        <f>IFERROR(HLOOKUP(C15, 'S21 Routing Clustered'!$B$2:$I$18, A15+1, 0), "")</f>
        <v/>
      </c>
      <c r="E15" s="391" t="str">
        <f t="shared" si="0"/>
        <v/>
      </c>
      <c r="F15" s="3" t="str">
        <f>IF(E15="", "", VLOOKUP(B15, 'S14 ABC Output'!$A$3:$C$18, 3, 0))</f>
        <v/>
      </c>
      <c r="I15" s="392" t="s">
        <v>1057</v>
      </c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</row>
    <row r="16" spans="1:53">
      <c r="A16" s="3">
        <v>1</v>
      </c>
      <c r="B16" s="125" t="str">
        <f>IFERROR(INDEX('S21 Routing Clustered'!$A$3:$A$18, A16), "")</f>
        <v>I-004</v>
      </c>
      <c r="C16" s="3">
        <v>150</v>
      </c>
      <c r="D16" s="391" t="str">
        <f>IFERROR(HLOOKUP(C16, 'S21 Routing Clustered'!$B$2:$I$18, A16+1, 0), "")</f>
        <v/>
      </c>
      <c r="E16" s="391" t="str">
        <f t="shared" si="0"/>
        <v/>
      </c>
      <c r="F16" s="3" t="str">
        <f>IF(E16="", "", VLOOKUP(B16, 'S14 ABC Output'!$A$3:$C$18, 3, 0))</f>
        <v/>
      </c>
      <c r="I16" s="392" t="s">
        <v>1059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</row>
    <row r="17" spans="1:53">
      <c r="A17" s="3">
        <v>1</v>
      </c>
      <c r="B17" s="125" t="str">
        <f>IFERROR(INDEX('S21 Routing Clustered'!$A$3:$A$18, A17), "")</f>
        <v>I-004</v>
      </c>
      <c r="C17" s="3">
        <v>160</v>
      </c>
      <c r="D17" s="391" t="str">
        <f>IFERROR(HLOOKUP(C17, 'S21 Routing Clustered'!$B$2:$I$18, A17+1, 0), "")</f>
        <v/>
      </c>
      <c r="E17" s="391" t="str">
        <f t="shared" si="0"/>
        <v/>
      </c>
      <c r="F17" s="3" t="str">
        <f>IF(E17="", "", VLOOKUP(B17, 'S14 ABC Output'!$A$3:$C$18, 3, 0))</f>
        <v/>
      </c>
      <c r="I17" s="392" t="s">
        <v>1061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</row>
    <row r="18" spans="1:53">
      <c r="A18" s="3">
        <v>1</v>
      </c>
      <c r="B18" s="125" t="str">
        <f>IFERROR(INDEX('S21 Routing Clustered'!$A$3:$A$18, A18), "")</f>
        <v>I-004</v>
      </c>
      <c r="C18" s="3">
        <v>170</v>
      </c>
      <c r="D18" s="391" t="str">
        <f>IFERROR(HLOOKUP(C18, 'S21 Routing Clustered'!$B$2:$I$18, A18+1, 0), "")</f>
        <v/>
      </c>
      <c r="E18" s="391" t="str">
        <f t="shared" si="0"/>
        <v/>
      </c>
      <c r="F18" s="3" t="str">
        <f>IF(E18="", "", VLOOKUP(B18, 'S14 ABC Output'!$A$3:$C$18, 3, 0))</f>
        <v/>
      </c>
      <c r="I18" s="392" t="s">
        <v>1063</v>
      </c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</row>
    <row r="19" spans="1:53">
      <c r="A19" s="3">
        <v>1</v>
      </c>
      <c r="B19" s="125" t="str">
        <f>IFERROR(INDEX('S21 Routing Clustered'!$A$3:$A$18, A19), "")</f>
        <v>I-004</v>
      </c>
      <c r="C19" s="3">
        <v>180</v>
      </c>
      <c r="D19" s="391" t="str">
        <f>IFERROR(HLOOKUP(C19, 'S21 Routing Clustered'!$B$2:$I$18, A19+1, 0), "")</f>
        <v/>
      </c>
      <c r="E19" s="391" t="str">
        <f t="shared" si="0"/>
        <v/>
      </c>
      <c r="F19" s="3" t="str">
        <f>IF(E19="", "", VLOOKUP(B19, 'S14 ABC Output'!$A$3:$C$18, 3, 0))</f>
        <v/>
      </c>
      <c r="I19" s="392" t="s">
        <v>1065</v>
      </c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</row>
    <row r="20" spans="1:53">
      <c r="A20" s="3">
        <v>1</v>
      </c>
      <c r="B20" s="125" t="str">
        <f>IFERROR(INDEX('S21 Routing Clustered'!$A$3:$A$18, A20), "")</f>
        <v>I-004</v>
      </c>
      <c r="C20" s="3">
        <v>190</v>
      </c>
      <c r="D20" s="391" t="str">
        <f>IFERROR(HLOOKUP(C20, 'S21 Routing Clustered'!$B$2:$I$18, A20+1, 0), "")</f>
        <v/>
      </c>
      <c r="E20" s="391" t="str">
        <f t="shared" si="0"/>
        <v/>
      </c>
      <c r="F20" s="3" t="str">
        <f>IF(E20="", "", VLOOKUP(B20, 'S14 ABC Output'!$A$3:$C$18, 3, 0))</f>
        <v/>
      </c>
      <c r="I20" s="392" t="s">
        <v>1067</v>
      </c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</row>
    <row r="21" spans="1:53">
      <c r="A21" s="3">
        <v>1</v>
      </c>
      <c r="B21" s="125" t="str">
        <f>IFERROR(INDEX('S21 Routing Clustered'!$A$3:$A$18, A21), "")</f>
        <v>I-004</v>
      </c>
      <c r="C21" s="3">
        <v>200</v>
      </c>
      <c r="D21" s="391" t="str">
        <f>IFERROR(HLOOKUP(C21, 'S21 Routing Clustered'!$B$2:$I$18, A21+1, 0), "")</f>
        <v/>
      </c>
      <c r="E21" s="391" t="str">
        <f t="shared" si="0"/>
        <v/>
      </c>
      <c r="F21" s="3" t="str">
        <f>IF(E21="", "", VLOOKUP(B21, 'S14 ABC Output'!$A$3:$C$18, 3, 0))</f>
        <v/>
      </c>
      <c r="I21" s="392" t="s">
        <v>1069</v>
      </c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</row>
    <row r="22" spans="1:53">
      <c r="A22" s="3">
        <v>1</v>
      </c>
      <c r="B22" s="125" t="str">
        <f>IFERROR(INDEX('S21 Routing Clustered'!$A$3:$A$18, A22), "")</f>
        <v>I-004</v>
      </c>
      <c r="C22" s="3">
        <v>210</v>
      </c>
      <c r="D22" s="391" t="str">
        <f>IFERROR(HLOOKUP(C22, 'S21 Routing Clustered'!$B$2:$I$18, A22+1, 0), "")</f>
        <v/>
      </c>
      <c r="E22" s="391" t="str">
        <f t="shared" si="0"/>
        <v/>
      </c>
      <c r="F22" s="3" t="str">
        <f>IF(E22="", "", VLOOKUP(B22, 'S14 ABC Output'!$A$3:$C$18, 3, 0))</f>
        <v/>
      </c>
      <c r="I22" s="392" t="s">
        <v>1071</v>
      </c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</row>
    <row r="23" spans="1:53">
      <c r="A23" s="3">
        <v>1</v>
      </c>
      <c r="B23" s="125" t="str">
        <f>IFERROR(INDEX('S21 Routing Clustered'!$A$3:$A$18, A23), "")</f>
        <v>I-004</v>
      </c>
      <c r="C23" s="3">
        <v>220</v>
      </c>
      <c r="D23" s="391" t="str">
        <f>IFERROR(HLOOKUP(C23, 'S21 Routing Clustered'!$B$2:$I$18, A23+1, 0), "")</f>
        <v/>
      </c>
      <c r="E23" s="391" t="str">
        <f t="shared" si="0"/>
        <v/>
      </c>
      <c r="F23" s="3" t="str">
        <f>IF(E23="", "", VLOOKUP(B23, 'S14 ABC Output'!$A$3:$C$18, 3, 0))</f>
        <v/>
      </c>
      <c r="I23" s="392" t="s">
        <v>1072</v>
      </c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</row>
    <row r="24" spans="1:53">
      <c r="A24" s="3">
        <v>1</v>
      </c>
      <c r="B24" s="125" t="str">
        <f>IFERROR(INDEX('S21 Routing Clustered'!$A$3:$A$18, A24), "")</f>
        <v>I-004</v>
      </c>
      <c r="C24" s="3">
        <v>230</v>
      </c>
      <c r="D24" s="391" t="str">
        <f>IFERROR(HLOOKUP(C24, 'S21 Routing Clustered'!$B$2:$I$18, A24+1, 0), "")</f>
        <v/>
      </c>
      <c r="E24" s="391" t="str">
        <f t="shared" si="0"/>
        <v/>
      </c>
      <c r="F24" s="3" t="str">
        <f>IF(E24="", "", VLOOKUP(B24, 'S14 ABC Output'!$A$3:$C$18, 3, 0))</f>
        <v/>
      </c>
      <c r="I24" s="392" t="s">
        <v>1074</v>
      </c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</row>
    <row r="25" spans="1:53">
      <c r="A25" s="3">
        <v>1</v>
      </c>
      <c r="B25" s="125" t="str">
        <f>IFERROR(INDEX('S21 Routing Clustered'!$A$3:$A$18, A25), "")</f>
        <v>I-004</v>
      </c>
      <c r="C25" s="3">
        <v>240</v>
      </c>
      <c r="D25" s="391" t="str">
        <f>IFERROR(HLOOKUP(C25, 'S21 Routing Clustered'!$B$2:$I$18, A25+1, 0), "")</f>
        <v/>
      </c>
      <c r="E25" s="391" t="str">
        <f t="shared" si="0"/>
        <v/>
      </c>
      <c r="F25" s="3" t="str">
        <f>IF(E25="", "", VLOOKUP(B25, 'S14 ABC Output'!$A$3:$C$18, 3, 0))</f>
        <v/>
      </c>
      <c r="I25" s="392" t="s">
        <v>1076</v>
      </c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</row>
    <row r="26" spans="1:53">
      <c r="A26" s="3">
        <v>1</v>
      </c>
      <c r="B26" s="125" t="str">
        <f>IFERROR(INDEX('S21 Routing Clustered'!$A$3:$A$18, A26), "")</f>
        <v>I-004</v>
      </c>
      <c r="C26" s="3">
        <v>250</v>
      </c>
      <c r="D26" s="391" t="str">
        <f>IFERROR(HLOOKUP(C26, 'S21 Routing Clustered'!$B$2:$I$18, A26+1, 0), "")</f>
        <v/>
      </c>
      <c r="E26" s="391" t="str">
        <f t="shared" si="0"/>
        <v/>
      </c>
      <c r="F26" s="3" t="str">
        <f>IF(E26="", "", VLOOKUP(B26, 'S14 ABC Output'!$A$3:$C$18, 3, 0))</f>
        <v/>
      </c>
      <c r="I26" s="392" t="s">
        <v>1078</v>
      </c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</row>
    <row r="27" spans="1:53">
      <c r="A27" s="3">
        <v>1</v>
      </c>
      <c r="B27" s="125" t="str">
        <f>IFERROR(INDEX('S21 Routing Clustered'!$A$3:$A$18, A27), "")</f>
        <v>I-004</v>
      </c>
      <c r="C27" s="3">
        <v>260</v>
      </c>
      <c r="D27" s="391" t="str">
        <f>IFERROR(HLOOKUP(C27, 'S21 Routing Clustered'!$B$2:$I$18, A27+1, 0), "")</f>
        <v/>
      </c>
      <c r="E27" s="391" t="str">
        <f t="shared" si="0"/>
        <v/>
      </c>
      <c r="F27" s="3" t="str">
        <f>IF(E27="", "", VLOOKUP(B27, 'S14 ABC Output'!$A$3:$C$18, 3, 0))</f>
        <v/>
      </c>
      <c r="I27" s="392" t="s">
        <v>1080</v>
      </c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>
        <v>215425</v>
      </c>
      <c r="AR27" s="3"/>
      <c r="AS27" s="3"/>
      <c r="AT27" s="3"/>
      <c r="AU27" s="3"/>
      <c r="AV27" s="3"/>
      <c r="AW27" s="3"/>
      <c r="AX27" s="3"/>
      <c r="AY27" s="3"/>
      <c r="AZ27" s="3"/>
      <c r="BA27" s="3"/>
    </row>
    <row r="28" spans="1:53">
      <c r="A28" s="3">
        <v>1</v>
      </c>
      <c r="B28" s="125" t="str">
        <f>IFERROR(INDEX('S21 Routing Clustered'!$A$3:$A$18, A28), "")</f>
        <v>I-004</v>
      </c>
      <c r="C28" s="3">
        <v>270</v>
      </c>
      <c r="D28" s="391" t="str">
        <f>IFERROR(HLOOKUP(C28, 'S21 Routing Clustered'!$B$2:$I$18, A28+1, 0), "")</f>
        <v/>
      </c>
      <c r="E28" s="391" t="str">
        <f t="shared" si="0"/>
        <v/>
      </c>
      <c r="F28" s="3" t="str">
        <f>IF(E28="", "", VLOOKUP(B28, 'S14 ABC Output'!$A$3:$C$18, 3, 0))</f>
        <v/>
      </c>
      <c r="I28" s="392" t="s">
        <v>1082</v>
      </c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</row>
    <row r="29" spans="1:53">
      <c r="A29" s="3">
        <v>1</v>
      </c>
      <c r="B29" s="125" t="str">
        <f>IFERROR(INDEX('S21 Routing Clustered'!$A$3:$A$18, A29), "")</f>
        <v>I-004</v>
      </c>
      <c r="C29" s="3">
        <v>280</v>
      </c>
      <c r="D29" s="391" t="str">
        <f>IFERROR(HLOOKUP(C29, 'S21 Routing Clustered'!$B$2:$I$18, A29+1, 0), "")</f>
        <v/>
      </c>
      <c r="E29" s="391" t="str">
        <f t="shared" si="0"/>
        <v/>
      </c>
      <c r="F29" s="3" t="str">
        <f>IF(E29="", "", VLOOKUP(B29, 'S14 ABC Output'!$A$3:$C$18, 3, 0))</f>
        <v/>
      </c>
      <c r="I29" s="392" t="s">
        <v>1083</v>
      </c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</row>
    <row r="30" spans="1:53">
      <c r="A30" s="3">
        <v>1</v>
      </c>
      <c r="B30" s="125" t="str">
        <f>IFERROR(INDEX('S21 Routing Clustered'!$A$3:$A$18, A30), "")</f>
        <v>I-004</v>
      </c>
      <c r="C30" s="3">
        <v>290</v>
      </c>
      <c r="D30" s="391" t="str">
        <f>IFERROR(HLOOKUP(C30, 'S21 Routing Clustered'!$B$2:$I$18, A30+1, 0), "")</f>
        <v/>
      </c>
      <c r="E30" s="391" t="str">
        <f t="shared" si="0"/>
        <v/>
      </c>
      <c r="F30" s="3" t="str">
        <f>IF(E30="", "", VLOOKUP(B30, 'S14 ABC Output'!$A$3:$C$18, 3, 0))</f>
        <v/>
      </c>
      <c r="I30" s="392" t="s">
        <v>1085</v>
      </c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</row>
    <row r="31" spans="1:53">
      <c r="A31" s="3">
        <v>1</v>
      </c>
      <c r="B31" s="125" t="str">
        <f>IFERROR(INDEX('S21 Routing Clustered'!$A$3:$A$18, A31), "")</f>
        <v>I-004</v>
      </c>
      <c r="C31" s="3">
        <v>300</v>
      </c>
      <c r="D31" s="391" t="str">
        <f>IFERROR(HLOOKUP(C31, 'S21 Routing Clustered'!$B$2:$I$18, A31+1, 0), "")</f>
        <v/>
      </c>
      <c r="E31" s="391" t="str">
        <f t="shared" si="0"/>
        <v/>
      </c>
      <c r="F31" s="3" t="str">
        <f>IF(E31="", "", VLOOKUP(B31, 'S14 ABC Output'!$A$3:$C$18, 3, 0))</f>
        <v/>
      </c>
      <c r="I31" s="392" t="s">
        <v>1087</v>
      </c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</row>
    <row r="32" spans="1:53">
      <c r="A32" s="3">
        <v>1</v>
      </c>
      <c r="B32" s="125" t="str">
        <f>IFERROR(INDEX('S21 Routing Clustered'!$A$3:$A$18, A32), "")</f>
        <v>I-004</v>
      </c>
      <c r="C32" s="3">
        <v>310</v>
      </c>
      <c r="D32" s="391" t="str">
        <f>IFERROR(HLOOKUP(C32, 'S21 Routing Clustered'!$B$2:$I$18, A32+1, 0), "")</f>
        <v/>
      </c>
      <c r="E32" s="391" t="str">
        <f t="shared" si="0"/>
        <v/>
      </c>
      <c r="F32" s="3" t="str">
        <f>IF(E32="", "", VLOOKUP(B32, 'S14 ABC Output'!$A$3:$C$18, 3, 0))</f>
        <v/>
      </c>
      <c r="I32" s="392" t="s">
        <v>1089</v>
      </c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</row>
    <row r="33" spans="1:53">
      <c r="A33" s="3">
        <v>1</v>
      </c>
      <c r="B33" s="125" t="str">
        <f>IFERROR(INDEX('S21 Routing Clustered'!$A$3:$A$18, A33), "")</f>
        <v>I-004</v>
      </c>
      <c r="C33" s="3">
        <v>320</v>
      </c>
      <c r="D33" s="391" t="str">
        <f>IFERROR(HLOOKUP(C33, 'S21 Routing Clustered'!$B$2:$I$18, A33+1, 0), "")</f>
        <v/>
      </c>
      <c r="E33" s="391" t="str">
        <f t="shared" si="0"/>
        <v/>
      </c>
      <c r="F33" s="3" t="str">
        <f>IF(E33="", "", VLOOKUP(B33, 'S14 ABC Output'!$A$3:$C$18, 3, 0))</f>
        <v/>
      </c>
      <c r="I33" s="392" t="s">
        <v>1091</v>
      </c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</row>
    <row r="34" spans="1:53">
      <c r="A34" s="3">
        <v>1</v>
      </c>
      <c r="B34" s="125" t="str">
        <f>IFERROR(INDEX('S21 Routing Clustered'!$A$3:$A$18, A34), "")</f>
        <v>I-004</v>
      </c>
      <c r="C34" s="3">
        <v>330</v>
      </c>
      <c r="D34" s="391" t="str">
        <f>IFERROR(HLOOKUP(C34, 'S21 Routing Clustered'!$B$2:$I$18, A34+1, 0), "")</f>
        <v/>
      </c>
      <c r="E34" s="391" t="str">
        <f t="shared" si="0"/>
        <v/>
      </c>
      <c r="F34" s="3" t="str">
        <f>IF(E34="", "", VLOOKUP(B34, 'S14 ABC Output'!$A$3:$C$18, 3, 0))</f>
        <v/>
      </c>
      <c r="I34" s="392" t="s">
        <v>1093</v>
      </c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</row>
    <row r="35" spans="1:53">
      <c r="A35" s="3">
        <v>1</v>
      </c>
      <c r="B35" s="125" t="str">
        <f>IFERROR(INDEX('S21 Routing Clustered'!$A$3:$A$18, A35), "")</f>
        <v>I-004</v>
      </c>
      <c r="C35" s="3">
        <v>340</v>
      </c>
      <c r="D35" s="391" t="str">
        <f>IFERROR(HLOOKUP(C35, 'S21 Routing Clustered'!$B$2:$I$18, A35+1, 0), "")</f>
        <v/>
      </c>
      <c r="E35" s="391" t="str">
        <f t="shared" si="0"/>
        <v/>
      </c>
      <c r="F35" s="3" t="str">
        <f>IF(E35="", "", VLOOKUP(B35, 'S14 ABC Output'!$A$3:$C$18, 3, 0))</f>
        <v/>
      </c>
      <c r="I35" s="392" t="s">
        <v>1094</v>
      </c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</row>
    <row r="36" spans="1:53">
      <c r="A36" s="3">
        <v>1</v>
      </c>
      <c r="B36" s="125" t="str">
        <f>IFERROR(INDEX('S21 Routing Clustered'!$A$3:$A$18, A36), "")</f>
        <v>I-004</v>
      </c>
      <c r="C36" s="3">
        <v>350</v>
      </c>
      <c r="D36" s="391" t="str">
        <f>IFERROR(HLOOKUP(C36, 'S21 Routing Clustered'!$B$2:$I$18, A36+1, 0), "")</f>
        <v/>
      </c>
      <c r="E36" s="391" t="str">
        <f t="shared" si="0"/>
        <v/>
      </c>
      <c r="F36" s="3" t="str">
        <f>IF(E36="", "", VLOOKUP(B36, 'S14 ABC Output'!$A$3:$C$18, 3, 0))</f>
        <v/>
      </c>
      <c r="I36" s="392" t="s">
        <v>1096</v>
      </c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>
        <v>215425</v>
      </c>
    </row>
    <row r="37" spans="1:53">
      <c r="A37" s="3">
        <v>1</v>
      </c>
      <c r="B37" s="125" t="str">
        <f>IFERROR(INDEX('S21 Routing Clustered'!$A$3:$A$18, A37), "")</f>
        <v>I-004</v>
      </c>
      <c r="C37" s="3">
        <v>360</v>
      </c>
      <c r="D37" s="391" t="str">
        <f>IFERROR(HLOOKUP(C37, 'S21 Routing Clustered'!$B$2:$I$18, A37+1, 0), "")</f>
        <v/>
      </c>
      <c r="E37" s="391" t="str">
        <f t="shared" si="0"/>
        <v/>
      </c>
      <c r="F37" s="3" t="str">
        <f>IF(E37="", "", VLOOKUP(B37, 'S14 ABC Output'!$A$3:$C$18, 3, 0))</f>
        <v/>
      </c>
      <c r="I37" s="392" t="s">
        <v>1098</v>
      </c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</row>
    <row r="38" spans="1:53">
      <c r="A38" s="3">
        <v>1</v>
      </c>
      <c r="B38" s="125" t="str">
        <f>IFERROR(INDEX('S21 Routing Clustered'!$A$3:$A$18, A38), "")</f>
        <v>I-004</v>
      </c>
      <c r="C38" s="3">
        <v>370</v>
      </c>
      <c r="D38" s="391" t="str">
        <f>IFERROR(HLOOKUP(C38, 'S21 Routing Clustered'!$B$2:$I$18, A38+1, 0), "")</f>
        <v/>
      </c>
      <c r="E38" s="391" t="str">
        <f t="shared" si="0"/>
        <v/>
      </c>
      <c r="F38" s="3" t="str">
        <f>IF(E38="", "", VLOOKUP(B38, 'S14 ABC Output'!$A$3:$C$18, 3, 0))</f>
        <v/>
      </c>
      <c r="I38" s="392" t="s">
        <v>1100</v>
      </c>
      <c r="J38" s="3"/>
      <c r="K38" s="3"/>
      <c r="L38" s="3"/>
      <c r="M38" s="3"/>
      <c r="N38" s="3">
        <v>215425</v>
      </c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</row>
    <row r="39" spans="1:53">
      <c r="A39" s="3">
        <v>1</v>
      </c>
      <c r="B39" s="125" t="str">
        <f>IFERROR(INDEX('S21 Routing Clustered'!$A$3:$A$18, A39), "")</f>
        <v>I-004</v>
      </c>
      <c r="C39" s="3">
        <v>380</v>
      </c>
      <c r="D39" s="391" t="str">
        <f>IFERROR(HLOOKUP(C39, 'S21 Routing Clustered'!$B$2:$I$18, A39+1, 0), "")</f>
        <v/>
      </c>
      <c r="E39" s="391" t="str">
        <f t="shared" si="0"/>
        <v/>
      </c>
      <c r="F39" s="3" t="str">
        <f>IF(E39="", "", VLOOKUP(B39, 'S14 ABC Output'!$A$3:$C$18, 3, 0))</f>
        <v/>
      </c>
      <c r="I39" s="392" t="s">
        <v>1101</v>
      </c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</row>
    <row r="40" spans="1:53">
      <c r="A40" s="3">
        <v>1</v>
      </c>
      <c r="B40" s="125" t="str">
        <f>IFERROR(INDEX('S21 Routing Clustered'!$A$3:$A$18, A40), "")</f>
        <v>I-004</v>
      </c>
      <c r="C40" s="3">
        <v>390</v>
      </c>
      <c r="D40" s="391" t="str">
        <f>IFERROR(HLOOKUP(C40, 'S21 Routing Clustered'!$B$2:$I$18, A40+1, 0), "")</f>
        <v/>
      </c>
      <c r="E40" s="391" t="str">
        <f t="shared" si="0"/>
        <v/>
      </c>
      <c r="F40" s="3" t="str">
        <f>IF(E40="", "", VLOOKUP(B40, 'S14 ABC Output'!$A$3:$C$18, 3, 0))</f>
        <v/>
      </c>
      <c r="I40" s="392" t="s">
        <v>1103</v>
      </c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</row>
    <row r="41" spans="1:53">
      <c r="A41" s="3">
        <v>1</v>
      </c>
      <c r="B41" s="125" t="str">
        <f>IFERROR(INDEX('S21 Routing Clustered'!$A$3:$A$18, A41), "")</f>
        <v>I-004</v>
      </c>
      <c r="C41" s="3">
        <v>400</v>
      </c>
      <c r="D41" s="391" t="str">
        <f>IFERROR(HLOOKUP(C41, 'S21 Routing Clustered'!$B$2:$I$18, A41+1, 0), "")</f>
        <v/>
      </c>
      <c r="E41" s="391" t="str">
        <f t="shared" si="0"/>
        <v/>
      </c>
      <c r="F41" s="3" t="str">
        <f>IF(E41="", "", VLOOKUP(B41, 'S14 ABC Output'!$A$3:$C$18, 3, 0))</f>
        <v/>
      </c>
      <c r="I41" s="392" t="s">
        <v>1105</v>
      </c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</row>
    <row r="42" spans="1:53">
      <c r="A42" s="3">
        <v>1</v>
      </c>
      <c r="B42" s="125" t="str">
        <f>IFERROR(INDEX('S21 Routing Clustered'!$A$3:$A$18, A42), "")</f>
        <v>I-004</v>
      </c>
      <c r="C42" s="3">
        <v>410</v>
      </c>
      <c r="D42" s="391" t="str">
        <f>IFERROR(HLOOKUP(C42, 'S21 Routing Clustered'!$B$2:$I$18, A42+1, 0), "")</f>
        <v/>
      </c>
      <c r="E42" s="391" t="str">
        <f t="shared" si="0"/>
        <v/>
      </c>
      <c r="F42" s="3" t="str">
        <f>IF(E42="", "", VLOOKUP(B42, 'S14 ABC Output'!$A$3:$C$18, 3, 0))</f>
        <v/>
      </c>
      <c r="I42" s="392" t="s">
        <v>1107</v>
      </c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</row>
    <row r="43" spans="1:53">
      <c r="A43" s="3">
        <v>1</v>
      </c>
      <c r="B43" s="125" t="str">
        <f>IFERROR(INDEX('S21 Routing Clustered'!$A$3:$A$18, A43), "")</f>
        <v>I-004</v>
      </c>
      <c r="C43" s="3">
        <v>420</v>
      </c>
      <c r="D43" s="391" t="str">
        <f>IFERROR(HLOOKUP(C43, 'S21 Routing Clustered'!$B$2:$I$18, A43+1, 0), "")</f>
        <v/>
      </c>
      <c r="E43" s="391" t="str">
        <f t="shared" si="0"/>
        <v/>
      </c>
      <c r="F43" s="3" t="str">
        <f>IF(E43="", "", VLOOKUP(B43, 'S14 ABC Output'!$A$3:$C$18, 3, 0))</f>
        <v/>
      </c>
      <c r="I43" s="392" t="s">
        <v>1109</v>
      </c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</row>
    <row r="44" spans="1:53">
      <c r="A44" s="3">
        <v>1</v>
      </c>
      <c r="B44" s="125" t="str">
        <f>IFERROR(INDEX('S21 Routing Clustered'!$A$3:$A$18, A44), "")</f>
        <v>I-004</v>
      </c>
      <c r="C44" s="3">
        <v>430</v>
      </c>
      <c r="D44" s="391" t="str">
        <f>IFERROR(HLOOKUP(C44, 'S21 Routing Clustered'!$B$2:$I$18, A44+1, 0), "")</f>
        <v/>
      </c>
      <c r="E44" s="391" t="str">
        <f t="shared" si="0"/>
        <v/>
      </c>
      <c r="F44" s="3" t="str">
        <f>IF(E44="", "", VLOOKUP(B44, 'S14 ABC Output'!$A$3:$C$18, 3, 0))</f>
        <v/>
      </c>
      <c r="I44" s="392" t="s">
        <v>1111</v>
      </c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</row>
    <row r="45" spans="1:53">
      <c r="A45" s="3">
        <v>1</v>
      </c>
      <c r="B45" s="125" t="str">
        <f>IFERROR(INDEX('S21 Routing Clustered'!$A$3:$A$18, A45), "")</f>
        <v>I-004</v>
      </c>
      <c r="C45" s="3">
        <v>440</v>
      </c>
      <c r="D45" s="391" t="str">
        <f>IFERROR(HLOOKUP(C45, 'S21 Routing Clustered'!$B$2:$I$18, A45+1, 0), "")</f>
        <v/>
      </c>
      <c r="E45" s="391" t="str">
        <f t="shared" si="0"/>
        <v/>
      </c>
      <c r="F45" s="3" t="str">
        <f>IF(E45="", "", VLOOKUP(B45, 'S14 ABC Output'!$A$3:$C$18, 3, 0))</f>
        <v/>
      </c>
      <c r="I45" s="392" t="s">
        <v>1112</v>
      </c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>
        <v>215425</v>
      </c>
      <c r="AT45" s="3"/>
      <c r="AU45" s="3"/>
      <c r="AV45" s="3"/>
      <c r="AW45" s="3"/>
      <c r="AX45" s="3"/>
      <c r="AY45" s="3"/>
      <c r="AZ45" s="3"/>
      <c r="BA45" s="3"/>
    </row>
    <row r="46" spans="1:53">
      <c r="A46" s="3">
        <v>1</v>
      </c>
      <c r="B46" s="125" t="str">
        <f>IFERROR(INDEX('S21 Routing Clustered'!$A$3:$A$18, A46), "")</f>
        <v>I-004</v>
      </c>
      <c r="C46" s="3">
        <v>450</v>
      </c>
      <c r="D46" s="391" t="str">
        <f>IFERROR(HLOOKUP(C46, 'S21 Routing Clustered'!$B$2:$I$18, A46+1, 0), "")</f>
        <v/>
      </c>
      <c r="E46" s="391" t="str">
        <f t="shared" si="0"/>
        <v/>
      </c>
      <c r="F46" s="3" t="str">
        <f>IF(E46="", "", VLOOKUP(B46, 'S14 ABC Output'!$A$3:$C$18, 3, 0))</f>
        <v/>
      </c>
      <c r="I46" s="392" t="s">
        <v>1113</v>
      </c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</row>
    <row r="47" spans="1:53">
      <c r="B47" s="125" t="str">
        <f>IFERROR(INDEX('S21 Routing Clustered'!$A$3:$A$18, A47), "")</f>
        <v/>
      </c>
      <c r="D47" s="391" t="str">
        <f>IFERROR(HLOOKUP(C47, 'S21 Routing Clustered'!$B$2:$I$18, A47+1, 0), "")</f>
        <v/>
      </c>
      <c r="E47" s="391" t="str">
        <f t="shared" si="0"/>
        <v/>
      </c>
      <c r="F47" s="3" t="str">
        <f>IF(E47="", "", VLOOKUP(B47, 'S14 ABC Output'!$A$3:$C$18, 3, 0))</f>
        <v/>
      </c>
    </row>
    <row r="48" spans="1:53">
      <c r="B48" s="125" t="str">
        <f>IFERROR(INDEX('S21 Routing Clustered'!$A$3:$A$18, A48), "")</f>
        <v/>
      </c>
      <c r="D48" s="391" t="str">
        <f>IFERROR(HLOOKUP(C48, 'S21 Routing Clustered'!$B$2:$I$18, A48+1, 0), "")</f>
        <v/>
      </c>
      <c r="E48" s="391" t="str">
        <f t="shared" si="0"/>
        <v/>
      </c>
      <c r="F48" s="3" t="str">
        <f>IF(E48="", "", VLOOKUP(B48, 'S14 ABC Output'!$A$3:$C$18, 3, 0))</f>
        <v/>
      </c>
    </row>
    <row r="49" spans="1:53">
      <c r="A49" s="3">
        <v>2</v>
      </c>
      <c r="B49" s="125" t="str">
        <f>IFERROR(INDEX('S21 Routing Clustered'!$A$3:$A$18, A49), "")</f>
        <v>I-066</v>
      </c>
      <c r="C49" s="3">
        <v>10</v>
      </c>
      <c r="D49" s="391" t="str">
        <f>IFERROR(HLOOKUP(C49, 'S21 Routing Clustered'!$B$2:$I$18, A49+1, 0), "")</f>
        <v>WS-43</v>
      </c>
      <c r="E49" s="391" t="str">
        <f t="shared" si="0"/>
        <v>WS-36</v>
      </c>
      <c r="F49" s="3">
        <f>IF(E49="", "", VLOOKUP(B49, 'S14 ABC Output'!$A$3:$C$18, 3, 0))</f>
        <v>45896</v>
      </c>
      <c r="I49" s="392"/>
      <c r="J49" s="392" t="str">
        <f>J2</f>
        <v>WS-01</v>
      </c>
      <c r="K49" s="392" t="str">
        <f t="shared" ref="K49:BA49" si="1">K2</f>
        <v>WS-02</v>
      </c>
      <c r="L49" s="392" t="str">
        <f t="shared" si="1"/>
        <v>WS-03</v>
      </c>
      <c r="M49" s="392" t="str">
        <f t="shared" si="1"/>
        <v>WS-04</v>
      </c>
      <c r="N49" s="392" t="str">
        <f t="shared" si="1"/>
        <v>WS-05</v>
      </c>
      <c r="O49" s="392" t="str">
        <f t="shared" si="1"/>
        <v>WS-06</v>
      </c>
      <c r="P49" s="392" t="str">
        <f t="shared" si="1"/>
        <v>WS-07</v>
      </c>
      <c r="Q49" s="392" t="str">
        <f t="shared" si="1"/>
        <v>WS-08</v>
      </c>
      <c r="R49" s="392" t="str">
        <f t="shared" si="1"/>
        <v>WS-09</v>
      </c>
      <c r="S49" s="392" t="str">
        <f t="shared" si="1"/>
        <v>WS-10</v>
      </c>
      <c r="T49" s="392" t="str">
        <f t="shared" si="1"/>
        <v>WS-11</v>
      </c>
      <c r="U49" s="392" t="str">
        <f t="shared" si="1"/>
        <v>WS-12</v>
      </c>
      <c r="V49" s="392" t="str">
        <f t="shared" si="1"/>
        <v>WS-13</v>
      </c>
      <c r="W49" s="392" t="str">
        <f t="shared" si="1"/>
        <v>WS-14</v>
      </c>
      <c r="X49" s="392" t="str">
        <f t="shared" si="1"/>
        <v>WS-15</v>
      </c>
      <c r="Y49" s="392" t="str">
        <f t="shared" si="1"/>
        <v>WS-16</v>
      </c>
      <c r="Z49" s="392" t="str">
        <f t="shared" si="1"/>
        <v>WS-17</v>
      </c>
      <c r="AA49" s="392" t="str">
        <f t="shared" si="1"/>
        <v>WS-18</v>
      </c>
      <c r="AB49" s="392" t="str">
        <f t="shared" si="1"/>
        <v>WS-19</v>
      </c>
      <c r="AC49" s="392" t="str">
        <f t="shared" si="1"/>
        <v>WS-20</v>
      </c>
      <c r="AD49" s="392" t="str">
        <f t="shared" si="1"/>
        <v>WS-21</v>
      </c>
      <c r="AE49" s="392" t="str">
        <f t="shared" si="1"/>
        <v>WS-22</v>
      </c>
      <c r="AF49" s="392" t="str">
        <f t="shared" si="1"/>
        <v>WS-23</v>
      </c>
      <c r="AG49" s="392" t="str">
        <f t="shared" si="1"/>
        <v>WS-24</v>
      </c>
      <c r="AH49" s="392" t="str">
        <f t="shared" si="1"/>
        <v>WS-25</v>
      </c>
      <c r="AI49" s="392" t="str">
        <f t="shared" si="1"/>
        <v>WS-26</v>
      </c>
      <c r="AJ49" s="392" t="str">
        <f t="shared" si="1"/>
        <v>WS-27</v>
      </c>
      <c r="AK49" s="392" t="str">
        <f t="shared" si="1"/>
        <v>WS-28</v>
      </c>
      <c r="AL49" s="392" t="str">
        <f t="shared" si="1"/>
        <v>WS-29</v>
      </c>
      <c r="AM49" s="392" t="str">
        <f t="shared" si="1"/>
        <v>WS-30</v>
      </c>
      <c r="AN49" s="392" t="str">
        <f t="shared" si="1"/>
        <v>WS-31</v>
      </c>
      <c r="AO49" s="392" t="str">
        <f t="shared" si="1"/>
        <v>WS-32</v>
      </c>
      <c r="AP49" s="392" t="str">
        <f t="shared" si="1"/>
        <v>WS-33</v>
      </c>
      <c r="AQ49" s="392" t="str">
        <f t="shared" si="1"/>
        <v>WS-34</v>
      </c>
      <c r="AR49" s="392" t="str">
        <f t="shared" si="1"/>
        <v>WS-35</v>
      </c>
      <c r="AS49" s="392" t="str">
        <f t="shared" si="1"/>
        <v>WS-36</v>
      </c>
      <c r="AT49" s="392" t="str">
        <f t="shared" si="1"/>
        <v>WS-37</v>
      </c>
      <c r="AU49" s="392" t="str">
        <f t="shared" si="1"/>
        <v>WS-38</v>
      </c>
      <c r="AV49" s="392" t="str">
        <f t="shared" si="1"/>
        <v>WS-39</v>
      </c>
      <c r="AW49" s="392" t="str">
        <f t="shared" si="1"/>
        <v>WS-40</v>
      </c>
      <c r="AX49" s="392" t="str">
        <f t="shared" si="1"/>
        <v>WS-41</v>
      </c>
      <c r="AY49" s="392" t="str">
        <f t="shared" si="1"/>
        <v>WS-42</v>
      </c>
      <c r="AZ49" s="392" t="str">
        <f t="shared" si="1"/>
        <v>WS-43</v>
      </c>
      <c r="BA49" s="392" t="str">
        <f t="shared" si="1"/>
        <v>WS-44</v>
      </c>
    </row>
    <row r="50" spans="1:53">
      <c r="A50" s="3">
        <v>2</v>
      </c>
      <c r="B50" s="125" t="str">
        <f>IFERROR(INDEX('S21 Routing Clustered'!$A$3:$A$18, A50), "")</f>
        <v>I-066</v>
      </c>
      <c r="C50" s="3">
        <v>20</v>
      </c>
      <c r="D50" s="391" t="str">
        <f>IFERROR(HLOOKUP(C50, 'S21 Routing Clustered'!$B$2:$I$18, A50+1, 0), "")</f>
        <v>WS-36</v>
      </c>
      <c r="E50" s="391" t="str">
        <f t="shared" si="0"/>
        <v>WS-05</v>
      </c>
      <c r="F50" s="3">
        <f>IF(E50="", "", VLOOKUP(B50, 'S14 ABC Output'!$A$3:$C$18, 3, 0))</f>
        <v>45896</v>
      </c>
      <c r="I50" s="392" t="str">
        <f>I3</f>
        <v>WS-01</v>
      </c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</row>
    <row r="51" spans="1:53">
      <c r="A51" s="3">
        <v>2</v>
      </c>
      <c r="B51" s="125" t="str">
        <f>IFERROR(INDEX('S21 Routing Clustered'!$A$3:$A$18, A51), "")</f>
        <v>I-066</v>
      </c>
      <c r="C51" s="3">
        <v>30</v>
      </c>
      <c r="D51" s="391" t="str">
        <f>IFERROR(HLOOKUP(C51, 'S21 Routing Clustered'!$B$2:$I$18, A51+1, 0), "")</f>
        <v>WS-05</v>
      </c>
      <c r="E51" s="391" t="str">
        <f t="shared" si="0"/>
        <v>WS-25</v>
      </c>
      <c r="F51" s="3">
        <f>IF(E51="", "", VLOOKUP(B51, 'S14 ABC Output'!$A$3:$C$18, 3, 0))</f>
        <v>45896</v>
      </c>
      <c r="I51" s="392" t="str">
        <f t="shared" ref="I51:I93" si="2">I4</f>
        <v>WS-02</v>
      </c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</row>
    <row r="52" spans="1:53">
      <c r="A52" s="3">
        <v>2</v>
      </c>
      <c r="B52" s="125" t="str">
        <f>IFERROR(INDEX('S21 Routing Clustered'!$A$3:$A$18, A52), "")</f>
        <v>I-066</v>
      </c>
      <c r="C52" s="3">
        <v>40</v>
      </c>
      <c r="D52" s="391" t="str">
        <f>IFERROR(HLOOKUP(C52, 'S21 Routing Clustered'!$B$2:$I$18, A52+1, 0), "")</f>
        <v>WS-25</v>
      </c>
      <c r="E52" s="391" t="str">
        <f t="shared" si="0"/>
        <v>WS-34</v>
      </c>
      <c r="F52" s="3">
        <f>IF(E52="", "", VLOOKUP(B52, 'S14 ABC Output'!$A$3:$C$18, 3, 0))</f>
        <v>45896</v>
      </c>
      <c r="I52" s="392" t="str">
        <f t="shared" si="2"/>
        <v>WS-03</v>
      </c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</row>
    <row r="53" spans="1:53">
      <c r="A53" s="3">
        <v>2</v>
      </c>
      <c r="B53" s="125" t="str">
        <f>IFERROR(INDEX('S21 Routing Clustered'!$A$3:$A$18, A53), "")</f>
        <v>I-066</v>
      </c>
      <c r="C53" s="3">
        <v>50</v>
      </c>
      <c r="D53" s="391" t="str">
        <f>IFERROR(HLOOKUP(C53, 'S21 Routing Clustered'!$B$2:$I$18, A53+1, 0), "")</f>
        <v>WS-34</v>
      </c>
      <c r="E53" s="391" t="str">
        <f t="shared" si="0"/>
        <v>WS-44</v>
      </c>
      <c r="F53" s="3">
        <f>IF(E53="", "", VLOOKUP(B53, 'S14 ABC Output'!$A$3:$C$18, 3, 0))</f>
        <v>45896</v>
      </c>
      <c r="I53" s="392" t="str">
        <f t="shared" si="2"/>
        <v>WS-04</v>
      </c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</row>
    <row r="54" spans="1:53">
      <c r="A54" s="3">
        <v>2</v>
      </c>
      <c r="B54" s="125" t="str">
        <f>IFERROR(INDEX('S21 Routing Clustered'!$A$3:$A$18, A54), "")</f>
        <v>I-066</v>
      </c>
      <c r="C54" s="3">
        <v>60</v>
      </c>
      <c r="D54" s="391" t="str">
        <f>IFERROR(HLOOKUP(C54, 'S21 Routing Clustered'!$B$2:$I$18, A54+1, 0), "")</f>
        <v>WS-44</v>
      </c>
      <c r="E54" s="391" t="str">
        <f t="shared" si="0"/>
        <v/>
      </c>
      <c r="F54" s="3" t="str">
        <f>IF(E54="", "", VLOOKUP(B54, 'S14 ABC Output'!$A$3:$C$18, 3, 0))</f>
        <v/>
      </c>
      <c r="I54" s="392" t="str">
        <f t="shared" si="2"/>
        <v>WS-05</v>
      </c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>
        <v>45896</v>
      </c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</row>
    <row r="55" spans="1:53">
      <c r="A55" s="3">
        <v>2</v>
      </c>
      <c r="B55" s="125" t="str">
        <f>IFERROR(INDEX('S21 Routing Clustered'!$A$3:$A$18, A55), "")</f>
        <v>I-066</v>
      </c>
      <c r="C55" s="3">
        <v>70</v>
      </c>
      <c r="D55" s="391" t="str">
        <f>IFERROR(HLOOKUP(C55, 'S21 Routing Clustered'!$B$2:$I$18, A55+1, 0), "")</f>
        <v/>
      </c>
      <c r="E55" s="391" t="str">
        <f t="shared" si="0"/>
        <v/>
      </c>
      <c r="F55" s="3" t="str">
        <f>IF(E55="", "", VLOOKUP(B55, 'S14 ABC Output'!$A$3:$C$18, 3, 0))</f>
        <v/>
      </c>
      <c r="I55" s="392" t="str">
        <f t="shared" si="2"/>
        <v>WS-06</v>
      </c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</row>
    <row r="56" spans="1:53">
      <c r="A56" s="3">
        <v>2</v>
      </c>
      <c r="B56" s="125" t="str">
        <f>IFERROR(INDEX('S21 Routing Clustered'!$A$3:$A$18, A56), "")</f>
        <v>I-066</v>
      </c>
      <c r="C56" s="3">
        <v>80</v>
      </c>
      <c r="D56" s="391" t="str">
        <f>IFERROR(HLOOKUP(C56, 'S21 Routing Clustered'!$B$2:$I$18, A56+1, 0), "")</f>
        <v/>
      </c>
      <c r="E56" s="391" t="str">
        <f t="shared" si="0"/>
        <v/>
      </c>
      <c r="F56" s="3" t="str">
        <f>IF(E56="", "", VLOOKUP(B56, 'S14 ABC Output'!$A$3:$C$18, 3, 0))</f>
        <v/>
      </c>
      <c r="I56" s="392" t="str">
        <f t="shared" si="2"/>
        <v>WS-07</v>
      </c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</row>
    <row r="57" spans="1:53">
      <c r="A57" s="3">
        <v>2</v>
      </c>
      <c r="B57" s="125" t="str">
        <f>IFERROR(INDEX('S21 Routing Clustered'!$A$3:$A$18, A57), "")</f>
        <v>I-066</v>
      </c>
      <c r="C57" s="3">
        <v>90</v>
      </c>
      <c r="D57" s="391" t="str">
        <f>IFERROR(HLOOKUP(C57, 'S21 Routing Clustered'!$B$2:$I$18, A57+1, 0), "")</f>
        <v/>
      </c>
      <c r="E57" s="391" t="str">
        <f t="shared" si="0"/>
        <v/>
      </c>
      <c r="F57" s="3" t="str">
        <f>IF(E57="", "", VLOOKUP(B57, 'S14 ABC Output'!$A$3:$C$18, 3, 0))</f>
        <v/>
      </c>
      <c r="I57" s="392" t="str">
        <f t="shared" si="2"/>
        <v>WS-08</v>
      </c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</row>
    <row r="58" spans="1:53">
      <c r="A58" s="3">
        <v>2</v>
      </c>
      <c r="B58" s="125" t="str">
        <f>IFERROR(INDEX('S21 Routing Clustered'!$A$3:$A$18, A58), "")</f>
        <v>I-066</v>
      </c>
      <c r="C58" s="3">
        <v>100</v>
      </c>
      <c r="D58" s="391" t="str">
        <f>IFERROR(HLOOKUP(C58, 'S21 Routing Clustered'!$B$2:$I$18, A58+1, 0), "")</f>
        <v/>
      </c>
      <c r="E58" s="391" t="str">
        <f t="shared" si="0"/>
        <v/>
      </c>
      <c r="F58" s="3" t="str">
        <f>IF(E58="", "", VLOOKUP(B58, 'S14 ABC Output'!$A$3:$C$18, 3, 0))</f>
        <v/>
      </c>
      <c r="I58" s="392" t="str">
        <f t="shared" si="2"/>
        <v>WS-09</v>
      </c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</row>
    <row r="59" spans="1:53">
      <c r="A59" s="3">
        <v>2</v>
      </c>
      <c r="B59" s="125" t="str">
        <f>IFERROR(INDEX('S21 Routing Clustered'!$A$3:$A$18, A59), "")</f>
        <v>I-066</v>
      </c>
      <c r="C59" s="3">
        <v>110</v>
      </c>
      <c r="D59" s="391" t="str">
        <f>IFERROR(HLOOKUP(C59, 'S21 Routing Clustered'!$B$2:$I$18, A59+1, 0), "")</f>
        <v/>
      </c>
      <c r="E59" s="391" t="str">
        <f t="shared" si="0"/>
        <v/>
      </c>
      <c r="F59" s="3" t="str">
        <f>IF(E59="", "", VLOOKUP(B59, 'S14 ABC Output'!$A$3:$C$18, 3, 0))</f>
        <v/>
      </c>
      <c r="I59" s="392" t="str">
        <f t="shared" si="2"/>
        <v>WS-10</v>
      </c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</row>
    <row r="60" spans="1:53">
      <c r="A60" s="3">
        <v>2</v>
      </c>
      <c r="B60" s="125" t="str">
        <f>IFERROR(INDEX('S21 Routing Clustered'!$A$3:$A$18, A60), "")</f>
        <v>I-066</v>
      </c>
      <c r="C60" s="3">
        <v>120</v>
      </c>
      <c r="D60" s="391" t="str">
        <f>IFERROR(HLOOKUP(C60, 'S21 Routing Clustered'!$B$2:$I$18, A60+1, 0), "")</f>
        <v/>
      </c>
      <c r="E60" s="391" t="str">
        <f t="shared" si="0"/>
        <v/>
      </c>
      <c r="F60" s="3" t="str">
        <f>IF(E60="", "", VLOOKUP(B60, 'S14 ABC Output'!$A$3:$C$18, 3, 0))</f>
        <v/>
      </c>
      <c r="I60" s="392" t="str">
        <f t="shared" si="2"/>
        <v>WS-11</v>
      </c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</row>
    <row r="61" spans="1:53">
      <c r="A61" s="3">
        <v>2</v>
      </c>
      <c r="B61" s="125" t="str">
        <f>IFERROR(INDEX('S21 Routing Clustered'!$A$3:$A$18, A61), "")</f>
        <v>I-066</v>
      </c>
      <c r="C61" s="3">
        <v>130</v>
      </c>
      <c r="D61" s="391" t="str">
        <f>IFERROR(HLOOKUP(C61, 'S21 Routing Clustered'!$B$2:$I$18, A61+1, 0), "")</f>
        <v/>
      </c>
      <c r="E61" s="391" t="str">
        <f t="shared" si="0"/>
        <v/>
      </c>
      <c r="F61" s="3" t="str">
        <f>IF(E61="", "", VLOOKUP(B61, 'S14 ABC Output'!$A$3:$C$18, 3, 0))</f>
        <v/>
      </c>
      <c r="I61" s="392" t="str">
        <f t="shared" si="2"/>
        <v>WS-12</v>
      </c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</row>
    <row r="62" spans="1:53">
      <c r="A62" s="3">
        <v>2</v>
      </c>
      <c r="B62" s="125" t="str">
        <f>IFERROR(INDEX('S21 Routing Clustered'!$A$3:$A$18, A62), "")</f>
        <v>I-066</v>
      </c>
      <c r="C62" s="3">
        <v>140</v>
      </c>
      <c r="D62" s="391" t="str">
        <f>IFERROR(HLOOKUP(C62, 'S21 Routing Clustered'!$B$2:$I$18, A62+1, 0), "")</f>
        <v/>
      </c>
      <c r="E62" s="391" t="str">
        <f t="shared" si="0"/>
        <v/>
      </c>
      <c r="F62" s="3" t="str">
        <f>IF(E62="", "", VLOOKUP(B62, 'S14 ABC Output'!$A$3:$C$18, 3, 0))</f>
        <v/>
      </c>
      <c r="I62" s="392" t="str">
        <f t="shared" si="2"/>
        <v>WS-13</v>
      </c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</row>
    <row r="63" spans="1:53">
      <c r="A63" s="3">
        <v>2</v>
      </c>
      <c r="B63" s="125" t="str">
        <f>IFERROR(INDEX('S21 Routing Clustered'!$A$3:$A$18, A63), "")</f>
        <v>I-066</v>
      </c>
      <c r="C63" s="3">
        <v>150</v>
      </c>
      <c r="D63" s="391" t="str">
        <f>IFERROR(HLOOKUP(C63, 'S21 Routing Clustered'!$B$2:$I$18, A63+1, 0), "")</f>
        <v/>
      </c>
      <c r="E63" s="391" t="str">
        <f t="shared" si="0"/>
        <v/>
      </c>
      <c r="F63" s="3" t="str">
        <f>IF(E63="", "", VLOOKUP(B63, 'S14 ABC Output'!$A$3:$C$18, 3, 0))</f>
        <v/>
      </c>
      <c r="I63" s="392" t="str">
        <f t="shared" si="2"/>
        <v>WS-14</v>
      </c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</row>
    <row r="64" spans="1:53">
      <c r="A64" s="3">
        <v>2</v>
      </c>
      <c r="B64" s="125" t="str">
        <f>IFERROR(INDEX('S21 Routing Clustered'!$A$3:$A$18, A64), "")</f>
        <v>I-066</v>
      </c>
      <c r="C64" s="3">
        <v>160</v>
      </c>
      <c r="D64" s="391" t="str">
        <f>IFERROR(HLOOKUP(C64, 'S21 Routing Clustered'!$B$2:$I$18, A64+1, 0), "")</f>
        <v/>
      </c>
      <c r="E64" s="391" t="str">
        <f t="shared" si="0"/>
        <v/>
      </c>
      <c r="F64" s="3" t="str">
        <f>IF(E64="", "", VLOOKUP(B64, 'S14 ABC Output'!$A$3:$C$18, 3, 0))</f>
        <v/>
      </c>
      <c r="I64" s="392" t="str">
        <f t="shared" si="2"/>
        <v>WS-15</v>
      </c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</row>
    <row r="65" spans="1:53">
      <c r="A65" s="3">
        <v>2</v>
      </c>
      <c r="B65" s="125" t="str">
        <f>IFERROR(INDEX('S21 Routing Clustered'!$A$3:$A$18, A65), "")</f>
        <v>I-066</v>
      </c>
      <c r="C65" s="3">
        <v>170</v>
      </c>
      <c r="D65" s="391" t="str">
        <f>IFERROR(HLOOKUP(C65, 'S21 Routing Clustered'!$B$2:$I$18, A65+1, 0), "")</f>
        <v/>
      </c>
      <c r="E65" s="391" t="str">
        <f t="shared" si="0"/>
        <v/>
      </c>
      <c r="F65" s="3" t="str">
        <f>IF(E65="", "", VLOOKUP(B65, 'S14 ABC Output'!$A$3:$C$18, 3, 0))</f>
        <v/>
      </c>
      <c r="I65" s="392" t="str">
        <f t="shared" si="2"/>
        <v>WS-16</v>
      </c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</row>
    <row r="66" spans="1:53">
      <c r="A66" s="3">
        <v>2</v>
      </c>
      <c r="B66" s="125" t="str">
        <f>IFERROR(INDEX('S21 Routing Clustered'!$A$3:$A$18, A66), "")</f>
        <v>I-066</v>
      </c>
      <c r="C66" s="3">
        <v>180</v>
      </c>
      <c r="D66" s="391" t="str">
        <f>IFERROR(HLOOKUP(C66, 'S21 Routing Clustered'!$B$2:$I$18, A66+1, 0), "")</f>
        <v/>
      </c>
      <c r="E66" s="391" t="str">
        <f t="shared" si="0"/>
        <v/>
      </c>
      <c r="F66" s="3" t="str">
        <f>IF(E66="", "", VLOOKUP(B66, 'S14 ABC Output'!$A$3:$C$18, 3, 0))</f>
        <v/>
      </c>
      <c r="I66" s="392" t="str">
        <f t="shared" si="2"/>
        <v>WS-17</v>
      </c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</row>
    <row r="67" spans="1:53">
      <c r="A67" s="3">
        <v>2</v>
      </c>
      <c r="B67" s="125" t="str">
        <f>IFERROR(INDEX('S21 Routing Clustered'!$A$3:$A$18, A67), "")</f>
        <v>I-066</v>
      </c>
      <c r="C67" s="3">
        <v>190</v>
      </c>
      <c r="D67" s="391" t="str">
        <f>IFERROR(HLOOKUP(C67, 'S21 Routing Clustered'!$B$2:$I$18, A67+1, 0), "")</f>
        <v/>
      </c>
      <c r="E67" s="391" t="str">
        <f t="shared" ref="E67:E130" si="3">IF(D67="", "", D68)</f>
        <v/>
      </c>
      <c r="F67" s="3" t="str">
        <f>IF(E67="", "", VLOOKUP(B67, 'S14 ABC Output'!$A$3:$C$18, 3, 0))</f>
        <v/>
      </c>
      <c r="I67" s="392" t="str">
        <f t="shared" si="2"/>
        <v>WS-18</v>
      </c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</row>
    <row r="68" spans="1:53">
      <c r="A68" s="3">
        <v>2</v>
      </c>
      <c r="B68" s="125" t="str">
        <f>IFERROR(INDEX('S21 Routing Clustered'!$A$3:$A$18, A68), "")</f>
        <v>I-066</v>
      </c>
      <c r="C68" s="3">
        <v>200</v>
      </c>
      <c r="D68" s="391" t="str">
        <f>IFERROR(HLOOKUP(C68, 'S21 Routing Clustered'!$B$2:$I$18, A68+1, 0), "")</f>
        <v/>
      </c>
      <c r="E68" s="391" t="str">
        <f t="shared" si="3"/>
        <v/>
      </c>
      <c r="F68" s="3" t="str">
        <f>IF(E68="", "", VLOOKUP(B68, 'S14 ABC Output'!$A$3:$C$18, 3, 0))</f>
        <v/>
      </c>
      <c r="I68" s="392" t="str">
        <f t="shared" si="2"/>
        <v>WS-19</v>
      </c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</row>
    <row r="69" spans="1:53">
      <c r="A69" s="3">
        <v>2</v>
      </c>
      <c r="B69" s="125" t="str">
        <f>IFERROR(INDEX('S21 Routing Clustered'!$A$3:$A$18, A69), "")</f>
        <v>I-066</v>
      </c>
      <c r="C69" s="3">
        <v>210</v>
      </c>
      <c r="D69" s="391" t="str">
        <f>IFERROR(HLOOKUP(C69, 'S21 Routing Clustered'!$B$2:$I$18, A69+1, 0), "")</f>
        <v/>
      </c>
      <c r="E69" s="391" t="str">
        <f t="shared" si="3"/>
        <v/>
      </c>
      <c r="F69" s="3" t="str">
        <f>IF(E69="", "", VLOOKUP(B69, 'S14 ABC Output'!$A$3:$C$18, 3, 0))</f>
        <v/>
      </c>
      <c r="I69" s="392" t="str">
        <f t="shared" si="2"/>
        <v>WS-20</v>
      </c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</row>
    <row r="70" spans="1:53">
      <c r="A70" s="3">
        <v>2</v>
      </c>
      <c r="B70" s="125" t="str">
        <f>IFERROR(INDEX('S21 Routing Clustered'!$A$3:$A$18, A70), "")</f>
        <v>I-066</v>
      </c>
      <c r="C70" s="3">
        <v>220</v>
      </c>
      <c r="D70" s="391" t="str">
        <f>IFERROR(HLOOKUP(C70, 'S21 Routing Clustered'!$B$2:$I$18, A70+1, 0), "")</f>
        <v/>
      </c>
      <c r="E70" s="391" t="str">
        <f t="shared" si="3"/>
        <v/>
      </c>
      <c r="F70" s="3" t="str">
        <f>IF(E70="", "", VLOOKUP(B70, 'S14 ABC Output'!$A$3:$C$18, 3, 0))</f>
        <v/>
      </c>
      <c r="I70" s="392" t="str">
        <f t="shared" si="2"/>
        <v>WS-21</v>
      </c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</row>
    <row r="71" spans="1:53">
      <c r="A71" s="3">
        <v>2</v>
      </c>
      <c r="B71" s="125" t="str">
        <f>IFERROR(INDEX('S21 Routing Clustered'!$A$3:$A$18, A71), "")</f>
        <v>I-066</v>
      </c>
      <c r="C71" s="3">
        <v>230</v>
      </c>
      <c r="D71" s="391" t="str">
        <f>IFERROR(HLOOKUP(C71, 'S21 Routing Clustered'!$B$2:$I$18, A71+1, 0), "")</f>
        <v/>
      </c>
      <c r="E71" s="391" t="str">
        <f t="shared" si="3"/>
        <v/>
      </c>
      <c r="F71" s="3" t="str">
        <f>IF(E71="", "", VLOOKUP(B71, 'S14 ABC Output'!$A$3:$C$18, 3, 0))</f>
        <v/>
      </c>
      <c r="I71" s="392" t="str">
        <f t="shared" si="2"/>
        <v>WS-22</v>
      </c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</row>
    <row r="72" spans="1:53">
      <c r="A72" s="3">
        <v>2</v>
      </c>
      <c r="B72" s="125" t="str">
        <f>IFERROR(INDEX('S21 Routing Clustered'!$A$3:$A$18, A72), "")</f>
        <v>I-066</v>
      </c>
      <c r="C72" s="3">
        <v>240</v>
      </c>
      <c r="D72" s="391" t="str">
        <f>IFERROR(HLOOKUP(C72, 'S21 Routing Clustered'!$B$2:$I$18, A72+1, 0), "")</f>
        <v/>
      </c>
      <c r="E72" s="391" t="str">
        <f t="shared" si="3"/>
        <v/>
      </c>
      <c r="F72" s="3" t="str">
        <f>IF(E72="", "", VLOOKUP(B72, 'S14 ABC Output'!$A$3:$C$18, 3, 0))</f>
        <v/>
      </c>
      <c r="I72" s="392" t="str">
        <f t="shared" si="2"/>
        <v>WS-23</v>
      </c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</row>
    <row r="73" spans="1:53">
      <c r="A73" s="3">
        <v>2</v>
      </c>
      <c r="B73" s="125" t="str">
        <f>IFERROR(INDEX('S21 Routing Clustered'!$A$3:$A$18, A73), "")</f>
        <v>I-066</v>
      </c>
      <c r="C73" s="3">
        <v>250</v>
      </c>
      <c r="D73" s="391" t="str">
        <f>IFERROR(HLOOKUP(C73, 'S21 Routing Clustered'!$B$2:$I$18, A73+1, 0), "")</f>
        <v/>
      </c>
      <c r="E73" s="391" t="str">
        <f t="shared" si="3"/>
        <v/>
      </c>
      <c r="F73" s="3" t="str">
        <f>IF(E73="", "", VLOOKUP(B73, 'S14 ABC Output'!$A$3:$C$18, 3, 0))</f>
        <v/>
      </c>
      <c r="I73" s="392" t="str">
        <f t="shared" si="2"/>
        <v>WS-24</v>
      </c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</row>
    <row r="74" spans="1:53">
      <c r="A74" s="3">
        <v>2</v>
      </c>
      <c r="B74" s="125" t="str">
        <f>IFERROR(INDEX('S21 Routing Clustered'!$A$3:$A$18, A74), "")</f>
        <v>I-066</v>
      </c>
      <c r="C74" s="3">
        <v>260</v>
      </c>
      <c r="D74" s="391" t="str">
        <f>IFERROR(HLOOKUP(C74, 'S21 Routing Clustered'!$B$2:$I$18, A74+1, 0), "")</f>
        <v/>
      </c>
      <c r="E74" s="391" t="str">
        <f t="shared" si="3"/>
        <v/>
      </c>
      <c r="F74" s="3" t="str">
        <f>IF(E74="", "", VLOOKUP(B74, 'S14 ABC Output'!$A$3:$C$18, 3, 0))</f>
        <v/>
      </c>
      <c r="I74" s="392" t="str">
        <f t="shared" si="2"/>
        <v>WS-25</v>
      </c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>
        <v>45896</v>
      </c>
      <c r="AR74" s="3"/>
      <c r="AS74" s="3"/>
      <c r="AT74" s="3"/>
      <c r="AU74" s="3"/>
      <c r="AV74" s="3"/>
      <c r="AW74" s="3"/>
      <c r="AX74" s="3"/>
      <c r="AY74" s="3"/>
      <c r="AZ74" s="3"/>
      <c r="BA74" s="3"/>
    </row>
    <row r="75" spans="1:53">
      <c r="A75" s="3">
        <v>2</v>
      </c>
      <c r="B75" s="125" t="str">
        <f>IFERROR(INDEX('S21 Routing Clustered'!$A$3:$A$18, A75), "")</f>
        <v>I-066</v>
      </c>
      <c r="C75" s="3">
        <v>270</v>
      </c>
      <c r="D75" s="391" t="str">
        <f>IFERROR(HLOOKUP(C75, 'S21 Routing Clustered'!$B$2:$I$18, A75+1, 0), "")</f>
        <v/>
      </c>
      <c r="E75" s="391" t="str">
        <f t="shared" si="3"/>
        <v/>
      </c>
      <c r="F75" s="3" t="str">
        <f>IF(E75="", "", VLOOKUP(B75, 'S14 ABC Output'!$A$3:$C$18, 3, 0))</f>
        <v/>
      </c>
      <c r="I75" s="392" t="str">
        <f t="shared" si="2"/>
        <v>WS-26</v>
      </c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</row>
    <row r="76" spans="1:53">
      <c r="A76" s="3">
        <v>2</v>
      </c>
      <c r="B76" s="125" t="str">
        <f>IFERROR(INDEX('S21 Routing Clustered'!$A$3:$A$18, A76), "")</f>
        <v>I-066</v>
      </c>
      <c r="C76" s="3">
        <v>280</v>
      </c>
      <c r="D76" s="391" t="str">
        <f>IFERROR(HLOOKUP(C76, 'S21 Routing Clustered'!$B$2:$I$18, A76+1, 0), "")</f>
        <v/>
      </c>
      <c r="E76" s="391" t="str">
        <f t="shared" si="3"/>
        <v/>
      </c>
      <c r="F76" s="3" t="str">
        <f>IF(E76="", "", VLOOKUP(B76, 'S14 ABC Output'!$A$3:$C$18, 3, 0))</f>
        <v/>
      </c>
      <c r="I76" s="392" t="str">
        <f t="shared" si="2"/>
        <v>WS-27</v>
      </c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</row>
    <row r="77" spans="1:53">
      <c r="A77" s="3">
        <v>2</v>
      </c>
      <c r="B77" s="125" t="str">
        <f>IFERROR(INDEX('S21 Routing Clustered'!$A$3:$A$18, A77), "")</f>
        <v>I-066</v>
      </c>
      <c r="C77" s="3">
        <v>290</v>
      </c>
      <c r="D77" s="391" t="str">
        <f>IFERROR(HLOOKUP(C77, 'S21 Routing Clustered'!$B$2:$I$18, A77+1, 0), "")</f>
        <v/>
      </c>
      <c r="E77" s="391" t="str">
        <f t="shared" si="3"/>
        <v/>
      </c>
      <c r="F77" s="3" t="str">
        <f>IF(E77="", "", VLOOKUP(B77, 'S14 ABC Output'!$A$3:$C$18, 3, 0))</f>
        <v/>
      </c>
      <c r="I77" s="392" t="str">
        <f t="shared" si="2"/>
        <v>WS-28</v>
      </c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</row>
    <row r="78" spans="1:53">
      <c r="A78" s="3">
        <v>2</v>
      </c>
      <c r="B78" s="125" t="str">
        <f>IFERROR(INDEX('S21 Routing Clustered'!$A$3:$A$18, A78), "")</f>
        <v>I-066</v>
      </c>
      <c r="C78" s="3">
        <v>300</v>
      </c>
      <c r="D78" s="391" t="str">
        <f>IFERROR(HLOOKUP(C78, 'S21 Routing Clustered'!$B$2:$I$18, A78+1, 0), "")</f>
        <v/>
      </c>
      <c r="E78" s="391" t="str">
        <f t="shared" si="3"/>
        <v/>
      </c>
      <c r="F78" s="3" t="str">
        <f>IF(E78="", "", VLOOKUP(B78, 'S14 ABC Output'!$A$3:$C$18, 3, 0))</f>
        <v/>
      </c>
      <c r="I78" s="392" t="str">
        <f t="shared" si="2"/>
        <v>WS-29</v>
      </c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</row>
    <row r="79" spans="1:53">
      <c r="A79" s="3">
        <v>2</v>
      </c>
      <c r="B79" s="125" t="str">
        <f>IFERROR(INDEX('S21 Routing Clustered'!$A$3:$A$18, A79), "")</f>
        <v>I-066</v>
      </c>
      <c r="C79" s="3">
        <v>310</v>
      </c>
      <c r="D79" s="391" t="str">
        <f>IFERROR(HLOOKUP(C79, 'S21 Routing Clustered'!$B$2:$I$18, A79+1, 0), "")</f>
        <v/>
      </c>
      <c r="E79" s="391" t="str">
        <f t="shared" si="3"/>
        <v/>
      </c>
      <c r="F79" s="3" t="str">
        <f>IF(E79="", "", VLOOKUP(B79, 'S14 ABC Output'!$A$3:$C$18, 3, 0))</f>
        <v/>
      </c>
      <c r="I79" s="392" t="str">
        <f t="shared" si="2"/>
        <v>WS-30</v>
      </c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</row>
    <row r="80" spans="1:53">
      <c r="A80" s="3">
        <v>2</v>
      </c>
      <c r="B80" s="125" t="str">
        <f>IFERROR(INDEX('S21 Routing Clustered'!$A$3:$A$18, A80), "")</f>
        <v>I-066</v>
      </c>
      <c r="C80" s="3">
        <v>320</v>
      </c>
      <c r="D80" s="391" t="str">
        <f>IFERROR(HLOOKUP(C80, 'S21 Routing Clustered'!$B$2:$I$18, A80+1, 0), "")</f>
        <v/>
      </c>
      <c r="E80" s="391" t="str">
        <f t="shared" si="3"/>
        <v/>
      </c>
      <c r="F80" s="3" t="str">
        <f>IF(E80="", "", VLOOKUP(B80, 'S14 ABC Output'!$A$3:$C$18, 3, 0))</f>
        <v/>
      </c>
      <c r="I80" s="392" t="str">
        <f t="shared" si="2"/>
        <v>WS-31</v>
      </c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</row>
    <row r="81" spans="1:53">
      <c r="A81" s="3">
        <v>2</v>
      </c>
      <c r="B81" s="125" t="str">
        <f>IFERROR(INDEX('S21 Routing Clustered'!$A$3:$A$18, A81), "")</f>
        <v>I-066</v>
      </c>
      <c r="C81" s="3">
        <v>330</v>
      </c>
      <c r="D81" s="391" t="str">
        <f>IFERROR(HLOOKUP(C81, 'S21 Routing Clustered'!$B$2:$I$18, A81+1, 0), "")</f>
        <v/>
      </c>
      <c r="E81" s="391" t="str">
        <f t="shared" si="3"/>
        <v/>
      </c>
      <c r="F81" s="3" t="str">
        <f>IF(E81="", "", VLOOKUP(B81, 'S14 ABC Output'!$A$3:$C$18, 3, 0))</f>
        <v/>
      </c>
      <c r="I81" s="392" t="str">
        <f t="shared" si="2"/>
        <v>WS-32</v>
      </c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</row>
    <row r="82" spans="1:53">
      <c r="A82" s="3">
        <v>2</v>
      </c>
      <c r="B82" s="125" t="str">
        <f>IFERROR(INDEX('S21 Routing Clustered'!$A$3:$A$18, A82), "")</f>
        <v>I-066</v>
      </c>
      <c r="C82" s="3">
        <v>340</v>
      </c>
      <c r="D82" s="391" t="str">
        <f>IFERROR(HLOOKUP(C82, 'S21 Routing Clustered'!$B$2:$I$18, A82+1, 0), "")</f>
        <v/>
      </c>
      <c r="E82" s="391" t="str">
        <f t="shared" si="3"/>
        <v/>
      </c>
      <c r="F82" s="3" t="str">
        <f>IF(E82="", "", VLOOKUP(B82, 'S14 ABC Output'!$A$3:$C$18, 3, 0))</f>
        <v/>
      </c>
      <c r="I82" s="392" t="str">
        <f t="shared" si="2"/>
        <v>WS-33</v>
      </c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</row>
    <row r="83" spans="1:53">
      <c r="A83" s="3">
        <v>2</v>
      </c>
      <c r="B83" s="125" t="str">
        <f>IFERROR(INDEX('S21 Routing Clustered'!$A$3:$A$18, A83), "")</f>
        <v>I-066</v>
      </c>
      <c r="C83" s="3">
        <v>350</v>
      </c>
      <c r="D83" s="391" t="str">
        <f>IFERROR(HLOOKUP(C83, 'S21 Routing Clustered'!$B$2:$I$18, A83+1, 0), "")</f>
        <v/>
      </c>
      <c r="E83" s="391" t="str">
        <f t="shared" si="3"/>
        <v/>
      </c>
      <c r="F83" s="3" t="str">
        <f>IF(E83="", "", VLOOKUP(B83, 'S14 ABC Output'!$A$3:$C$18, 3, 0))</f>
        <v/>
      </c>
      <c r="I83" s="392" t="str">
        <f t="shared" si="2"/>
        <v>WS-34</v>
      </c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>
        <v>45896</v>
      </c>
    </row>
    <row r="84" spans="1:53">
      <c r="A84" s="3">
        <v>2</v>
      </c>
      <c r="B84" s="125" t="str">
        <f>IFERROR(INDEX('S21 Routing Clustered'!$A$3:$A$18, A84), "")</f>
        <v>I-066</v>
      </c>
      <c r="C84" s="3">
        <v>360</v>
      </c>
      <c r="D84" s="391" t="str">
        <f>IFERROR(HLOOKUP(C84, 'S21 Routing Clustered'!$B$2:$I$18, A84+1, 0), "")</f>
        <v/>
      </c>
      <c r="E84" s="391" t="str">
        <f t="shared" si="3"/>
        <v/>
      </c>
      <c r="F84" s="3" t="str">
        <f>IF(E84="", "", VLOOKUP(B84, 'S14 ABC Output'!$A$3:$C$18, 3, 0))</f>
        <v/>
      </c>
      <c r="I84" s="392" t="str">
        <f t="shared" si="2"/>
        <v>WS-35</v>
      </c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</row>
    <row r="85" spans="1:53">
      <c r="A85" s="3">
        <v>2</v>
      </c>
      <c r="B85" s="125" t="str">
        <f>IFERROR(INDEX('S21 Routing Clustered'!$A$3:$A$18, A85), "")</f>
        <v>I-066</v>
      </c>
      <c r="C85" s="3">
        <v>370</v>
      </c>
      <c r="D85" s="391" t="str">
        <f>IFERROR(HLOOKUP(C85, 'S21 Routing Clustered'!$B$2:$I$18, A85+1, 0), "")</f>
        <v/>
      </c>
      <c r="E85" s="391" t="str">
        <f t="shared" si="3"/>
        <v/>
      </c>
      <c r="F85" s="3" t="str">
        <f>IF(E85="", "", VLOOKUP(B85, 'S14 ABC Output'!$A$3:$C$18, 3, 0))</f>
        <v/>
      </c>
      <c r="I85" s="392" t="str">
        <f t="shared" si="2"/>
        <v>WS-36</v>
      </c>
      <c r="J85" s="3"/>
      <c r="K85" s="3"/>
      <c r="L85" s="3"/>
      <c r="M85" s="3"/>
      <c r="N85" s="3">
        <v>45896</v>
      </c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</row>
    <row r="86" spans="1:53">
      <c r="A86" s="3">
        <v>2</v>
      </c>
      <c r="B86" s="125" t="str">
        <f>IFERROR(INDEX('S21 Routing Clustered'!$A$3:$A$18, A86), "")</f>
        <v>I-066</v>
      </c>
      <c r="C86" s="3">
        <v>380</v>
      </c>
      <c r="D86" s="391" t="str">
        <f>IFERROR(HLOOKUP(C86, 'S21 Routing Clustered'!$B$2:$I$18, A86+1, 0), "")</f>
        <v/>
      </c>
      <c r="E86" s="391" t="str">
        <f t="shared" si="3"/>
        <v/>
      </c>
      <c r="F86" s="3" t="str">
        <f>IF(E86="", "", VLOOKUP(B86, 'S14 ABC Output'!$A$3:$C$18, 3, 0))</f>
        <v/>
      </c>
      <c r="I86" s="392" t="str">
        <f t="shared" si="2"/>
        <v>WS-37</v>
      </c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</row>
    <row r="87" spans="1:53">
      <c r="A87" s="3">
        <v>2</v>
      </c>
      <c r="B87" s="125" t="str">
        <f>IFERROR(INDEX('S21 Routing Clustered'!$A$3:$A$18, A87), "")</f>
        <v>I-066</v>
      </c>
      <c r="C87" s="3">
        <v>390</v>
      </c>
      <c r="D87" s="391" t="str">
        <f>IFERROR(HLOOKUP(C87, 'S21 Routing Clustered'!$B$2:$I$18, A87+1, 0), "")</f>
        <v/>
      </c>
      <c r="E87" s="391" t="str">
        <f t="shared" si="3"/>
        <v/>
      </c>
      <c r="F87" s="3" t="str">
        <f>IF(E87="", "", VLOOKUP(B87, 'S14 ABC Output'!$A$3:$C$18, 3, 0))</f>
        <v/>
      </c>
      <c r="I87" s="392" t="str">
        <f t="shared" si="2"/>
        <v>WS-38</v>
      </c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</row>
    <row r="88" spans="1:53">
      <c r="A88" s="3">
        <v>2</v>
      </c>
      <c r="B88" s="125" t="str">
        <f>IFERROR(INDEX('S21 Routing Clustered'!$A$3:$A$18, A88), "")</f>
        <v>I-066</v>
      </c>
      <c r="C88" s="3">
        <v>400</v>
      </c>
      <c r="D88" s="391" t="str">
        <f>IFERROR(HLOOKUP(C88, 'S21 Routing Clustered'!$B$2:$I$18, A88+1, 0), "")</f>
        <v/>
      </c>
      <c r="E88" s="391" t="str">
        <f t="shared" si="3"/>
        <v/>
      </c>
      <c r="F88" s="3" t="str">
        <f>IF(E88="", "", VLOOKUP(B88, 'S14 ABC Output'!$A$3:$C$18, 3, 0))</f>
        <v/>
      </c>
      <c r="I88" s="392" t="str">
        <f t="shared" si="2"/>
        <v>WS-39</v>
      </c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</row>
    <row r="89" spans="1:53">
      <c r="A89" s="3">
        <v>2</v>
      </c>
      <c r="B89" s="125" t="str">
        <f>IFERROR(INDEX('S21 Routing Clustered'!$A$3:$A$18, A89), "")</f>
        <v>I-066</v>
      </c>
      <c r="C89" s="3">
        <v>410</v>
      </c>
      <c r="D89" s="391" t="str">
        <f>IFERROR(HLOOKUP(C89, 'S21 Routing Clustered'!$B$2:$I$18, A89+1, 0), "")</f>
        <v/>
      </c>
      <c r="E89" s="391" t="str">
        <f t="shared" si="3"/>
        <v/>
      </c>
      <c r="F89" s="3" t="str">
        <f>IF(E89="", "", VLOOKUP(B89, 'S14 ABC Output'!$A$3:$C$18, 3, 0))</f>
        <v/>
      </c>
      <c r="I89" s="392" t="str">
        <f t="shared" si="2"/>
        <v>WS-40</v>
      </c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</row>
    <row r="90" spans="1:53">
      <c r="A90" s="3">
        <v>2</v>
      </c>
      <c r="B90" s="125" t="str">
        <f>IFERROR(INDEX('S21 Routing Clustered'!$A$3:$A$18, A90), "")</f>
        <v>I-066</v>
      </c>
      <c r="C90" s="3">
        <v>420</v>
      </c>
      <c r="D90" s="391" t="str">
        <f>IFERROR(HLOOKUP(C90, 'S21 Routing Clustered'!$B$2:$I$18, A90+1, 0), "")</f>
        <v/>
      </c>
      <c r="E90" s="391" t="str">
        <f t="shared" si="3"/>
        <v/>
      </c>
      <c r="F90" s="3" t="str">
        <f>IF(E90="", "", VLOOKUP(B90, 'S14 ABC Output'!$A$3:$C$18, 3, 0))</f>
        <v/>
      </c>
      <c r="I90" s="392" t="str">
        <f t="shared" si="2"/>
        <v>WS-41</v>
      </c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</row>
    <row r="91" spans="1:53">
      <c r="A91" s="3">
        <v>2</v>
      </c>
      <c r="B91" s="125" t="str">
        <f>IFERROR(INDEX('S21 Routing Clustered'!$A$3:$A$18, A91), "")</f>
        <v>I-066</v>
      </c>
      <c r="C91" s="3">
        <v>430</v>
      </c>
      <c r="D91" s="391" t="str">
        <f>IFERROR(HLOOKUP(C91, 'S21 Routing Clustered'!$B$2:$I$18, A91+1, 0), "")</f>
        <v/>
      </c>
      <c r="E91" s="391" t="str">
        <f t="shared" si="3"/>
        <v/>
      </c>
      <c r="F91" s="3" t="str">
        <f>IF(E91="", "", VLOOKUP(B91, 'S14 ABC Output'!$A$3:$C$18, 3, 0))</f>
        <v/>
      </c>
      <c r="I91" s="392" t="str">
        <f t="shared" si="2"/>
        <v>WS-42</v>
      </c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</row>
    <row r="92" spans="1:53">
      <c r="A92" s="3">
        <v>2</v>
      </c>
      <c r="B92" s="125" t="str">
        <f>IFERROR(INDEX('S21 Routing Clustered'!$A$3:$A$18, A92), "")</f>
        <v>I-066</v>
      </c>
      <c r="C92" s="3">
        <v>440</v>
      </c>
      <c r="D92" s="391" t="str">
        <f>IFERROR(HLOOKUP(C92, 'S21 Routing Clustered'!$B$2:$I$18, A92+1, 0), "")</f>
        <v/>
      </c>
      <c r="E92" s="391" t="str">
        <f t="shared" si="3"/>
        <v/>
      </c>
      <c r="F92" s="3" t="str">
        <f>IF(E92="", "", VLOOKUP(B92, 'S14 ABC Output'!$A$3:$C$18, 3, 0))</f>
        <v/>
      </c>
      <c r="I92" s="392" t="str">
        <f t="shared" si="2"/>
        <v>WS-43</v>
      </c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>
        <v>45896</v>
      </c>
      <c r="AT92" s="3"/>
      <c r="AU92" s="3"/>
      <c r="AV92" s="3"/>
      <c r="AW92" s="3"/>
      <c r="AX92" s="3"/>
      <c r="AY92" s="3"/>
      <c r="AZ92" s="3"/>
      <c r="BA92" s="3"/>
    </row>
    <row r="93" spans="1:53">
      <c r="A93" s="3">
        <v>2</v>
      </c>
      <c r="B93" s="125" t="str">
        <f>IFERROR(INDEX('S21 Routing Clustered'!$A$3:$A$18, A93), "")</f>
        <v>I-066</v>
      </c>
      <c r="C93" s="3">
        <v>450</v>
      </c>
      <c r="D93" s="391" t="str">
        <f>IFERROR(HLOOKUP(C93, 'S21 Routing Clustered'!$B$2:$I$18, A93+1, 0), "")</f>
        <v/>
      </c>
      <c r="E93" s="391" t="str">
        <f t="shared" si="3"/>
        <v/>
      </c>
      <c r="F93" s="3" t="str">
        <f>IF(E93="", "", VLOOKUP(B93, 'S14 ABC Output'!$A$3:$C$18, 3, 0))</f>
        <v/>
      </c>
      <c r="I93" s="392" t="str">
        <f t="shared" si="2"/>
        <v>WS-44</v>
      </c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</row>
    <row r="94" spans="1:53">
      <c r="B94" s="125" t="str">
        <f>IFERROR(INDEX('S21 Routing Clustered'!$A$3:$A$18, A94), "")</f>
        <v/>
      </c>
      <c r="D94" s="391" t="str">
        <f>IFERROR(HLOOKUP(C94, 'S21 Routing Clustered'!$B$2:$I$18, A94+1, 0), "")</f>
        <v/>
      </c>
      <c r="E94" s="391" t="str">
        <f t="shared" si="3"/>
        <v/>
      </c>
      <c r="F94" s="3" t="str">
        <f>IF(E94="", "", VLOOKUP(B94, 'S14 ABC Output'!$A$3:$C$18, 3, 0))</f>
        <v/>
      </c>
      <c r="I94" s="392"/>
    </row>
    <row r="95" spans="1:53">
      <c r="B95" s="125" t="str">
        <f>IFERROR(INDEX('S21 Routing Clustered'!$A$3:$A$18, A95), "")</f>
        <v/>
      </c>
      <c r="D95" s="391" t="str">
        <f>IFERROR(HLOOKUP(C95, 'S21 Routing Clustered'!$B$2:$I$18, A95+1, 0), "")</f>
        <v/>
      </c>
      <c r="E95" s="391" t="str">
        <f t="shared" si="3"/>
        <v/>
      </c>
      <c r="F95" s="3" t="str">
        <f>IF(E95="", "", VLOOKUP(B95, 'S14 ABC Output'!$A$3:$C$18, 3, 0))</f>
        <v/>
      </c>
      <c r="I95" s="392"/>
    </row>
    <row r="96" spans="1:53">
      <c r="A96" s="3">
        <v>3</v>
      </c>
      <c r="B96" s="125" t="str">
        <f>IFERROR(INDEX('S21 Routing Clustered'!$A$3:$A$18, A96), "")</f>
        <v>I-068</v>
      </c>
      <c r="C96" s="3">
        <v>10</v>
      </c>
      <c r="D96" s="391" t="str">
        <f>IFERROR(HLOOKUP(C96, 'S21 Routing Clustered'!$B$2:$I$18, A96+1, 0), "")</f>
        <v>WS-43</v>
      </c>
      <c r="E96" s="391" t="str">
        <f t="shared" si="3"/>
        <v>WS-36</v>
      </c>
      <c r="F96" s="3">
        <f>IF(E96="", "", VLOOKUP(B96, 'S14 ABC Output'!$A$3:$C$18, 3, 0))</f>
        <v>65248</v>
      </c>
      <c r="I96" s="392"/>
      <c r="J96" s="392" t="str">
        <f>J49</f>
        <v>WS-01</v>
      </c>
      <c r="K96" s="392" t="str">
        <f t="shared" ref="K96:BA96" si="4">K49</f>
        <v>WS-02</v>
      </c>
      <c r="L96" s="392" t="str">
        <f t="shared" si="4"/>
        <v>WS-03</v>
      </c>
      <c r="M96" s="392" t="str">
        <f t="shared" si="4"/>
        <v>WS-04</v>
      </c>
      <c r="N96" s="392" t="str">
        <f t="shared" si="4"/>
        <v>WS-05</v>
      </c>
      <c r="O96" s="392" t="str">
        <f t="shared" si="4"/>
        <v>WS-06</v>
      </c>
      <c r="P96" s="392" t="str">
        <f t="shared" si="4"/>
        <v>WS-07</v>
      </c>
      <c r="Q96" s="392" t="str">
        <f t="shared" si="4"/>
        <v>WS-08</v>
      </c>
      <c r="R96" s="392" t="str">
        <f t="shared" si="4"/>
        <v>WS-09</v>
      </c>
      <c r="S96" s="392" t="str">
        <f t="shared" si="4"/>
        <v>WS-10</v>
      </c>
      <c r="T96" s="392" t="str">
        <f t="shared" si="4"/>
        <v>WS-11</v>
      </c>
      <c r="U96" s="392" t="str">
        <f t="shared" si="4"/>
        <v>WS-12</v>
      </c>
      <c r="V96" s="392" t="str">
        <f t="shared" si="4"/>
        <v>WS-13</v>
      </c>
      <c r="W96" s="392" t="str">
        <f t="shared" si="4"/>
        <v>WS-14</v>
      </c>
      <c r="X96" s="392" t="str">
        <f t="shared" si="4"/>
        <v>WS-15</v>
      </c>
      <c r="Y96" s="392" t="str">
        <f t="shared" si="4"/>
        <v>WS-16</v>
      </c>
      <c r="Z96" s="392" t="str">
        <f t="shared" si="4"/>
        <v>WS-17</v>
      </c>
      <c r="AA96" s="392" t="str">
        <f t="shared" si="4"/>
        <v>WS-18</v>
      </c>
      <c r="AB96" s="392" t="str">
        <f t="shared" si="4"/>
        <v>WS-19</v>
      </c>
      <c r="AC96" s="392" t="str">
        <f t="shared" si="4"/>
        <v>WS-20</v>
      </c>
      <c r="AD96" s="392" t="str">
        <f t="shared" si="4"/>
        <v>WS-21</v>
      </c>
      <c r="AE96" s="392" t="str">
        <f t="shared" si="4"/>
        <v>WS-22</v>
      </c>
      <c r="AF96" s="392" t="str">
        <f t="shared" si="4"/>
        <v>WS-23</v>
      </c>
      <c r="AG96" s="392" t="str">
        <f t="shared" si="4"/>
        <v>WS-24</v>
      </c>
      <c r="AH96" s="392" t="str">
        <f t="shared" si="4"/>
        <v>WS-25</v>
      </c>
      <c r="AI96" s="392" t="str">
        <f t="shared" si="4"/>
        <v>WS-26</v>
      </c>
      <c r="AJ96" s="392" t="str">
        <f t="shared" si="4"/>
        <v>WS-27</v>
      </c>
      <c r="AK96" s="392" t="str">
        <f t="shared" si="4"/>
        <v>WS-28</v>
      </c>
      <c r="AL96" s="392" t="str">
        <f t="shared" si="4"/>
        <v>WS-29</v>
      </c>
      <c r="AM96" s="392" t="str">
        <f t="shared" si="4"/>
        <v>WS-30</v>
      </c>
      <c r="AN96" s="392" t="str">
        <f t="shared" si="4"/>
        <v>WS-31</v>
      </c>
      <c r="AO96" s="392" t="str">
        <f t="shared" si="4"/>
        <v>WS-32</v>
      </c>
      <c r="AP96" s="392" t="str">
        <f t="shared" si="4"/>
        <v>WS-33</v>
      </c>
      <c r="AQ96" s="392" t="str">
        <f t="shared" si="4"/>
        <v>WS-34</v>
      </c>
      <c r="AR96" s="392" t="str">
        <f t="shared" si="4"/>
        <v>WS-35</v>
      </c>
      <c r="AS96" s="392" t="str">
        <f t="shared" si="4"/>
        <v>WS-36</v>
      </c>
      <c r="AT96" s="392" t="str">
        <f t="shared" si="4"/>
        <v>WS-37</v>
      </c>
      <c r="AU96" s="392" t="str">
        <f t="shared" si="4"/>
        <v>WS-38</v>
      </c>
      <c r="AV96" s="392" t="str">
        <f t="shared" si="4"/>
        <v>WS-39</v>
      </c>
      <c r="AW96" s="392" t="str">
        <f t="shared" si="4"/>
        <v>WS-40</v>
      </c>
      <c r="AX96" s="392" t="str">
        <f t="shared" si="4"/>
        <v>WS-41</v>
      </c>
      <c r="AY96" s="392" t="str">
        <f t="shared" si="4"/>
        <v>WS-42</v>
      </c>
      <c r="AZ96" s="392" t="str">
        <f t="shared" si="4"/>
        <v>WS-43</v>
      </c>
      <c r="BA96" s="392" t="str">
        <f t="shared" si="4"/>
        <v>WS-44</v>
      </c>
    </row>
    <row r="97" spans="1:53">
      <c r="A97" s="3">
        <v>3</v>
      </c>
      <c r="B97" s="125" t="str">
        <f>IFERROR(INDEX('S21 Routing Clustered'!$A$3:$A$18, A97), "")</f>
        <v>I-068</v>
      </c>
      <c r="C97" s="3">
        <v>20</v>
      </c>
      <c r="D97" s="391" t="str">
        <f>IFERROR(HLOOKUP(C97, 'S21 Routing Clustered'!$B$2:$I$18, A97+1, 0), "")</f>
        <v>WS-36</v>
      </c>
      <c r="E97" s="391" t="str">
        <f t="shared" si="3"/>
        <v>WS-05</v>
      </c>
      <c r="F97" s="3">
        <f>IF(E97="", "", VLOOKUP(B97, 'S14 ABC Output'!$A$3:$C$18, 3, 0))</f>
        <v>65248</v>
      </c>
      <c r="I97" s="392" t="str">
        <f t="shared" ref="I97:I140" si="5">I50</f>
        <v>WS-01</v>
      </c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</row>
    <row r="98" spans="1:53">
      <c r="A98" s="3">
        <v>3</v>
      </c>
      <c r="B98" s="125" t="str">
        <f>IFERROR(INDEX('S21 Routing Clustered'!$A$3:$A$18, A98), "")</f>
        <v>I-068</v>
      </c>
      <c r="C98" s="3">
        <v>30</v>
      </c>
      <c r="D98" s="391" t="str">
        <f>IFERROR(HLOOKUP(C98, 'S21 Routing Clustered'!$B$2:$I$18, A98+1, 0), "")</f>
        <v>WS-05</v>
      </c>
      <c r="E98" s="391" t="str">
        <f t="shared" si="3"/>
        <v>WS-25</v>
      </c>
      <c r="F98" s="3">
        <f>IF(E98="", "", VLOOKUP(B98, 'S14 ABC Output'!$A$3:$C$18, 3, 0))</f>
        <v>65248</v>
      </c>
      <c r="I98" s="392" t="str">
        <f t="shared" si="5"/>
        <v>WS-02</v>
      </c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</row>
    <row r="99" spans="1:53">
      <c r="A99" s="3">
        <v>3</v>
      </c>
      <c r="B99" s="125" t="str">
        <f>IFERROR(INDEX('S21 Routing Clustered'!$A$3:$A$18, A99), "")</f>
        <v>I-068</v>
      </c>
      <c r="C99" s="3">
        <v>40</v>
      </c>
      <c r="D99" s="391" t="str">
        <f>IFERROR(HLOOKUP(C99, 'S21 Routing Clustered'!$B$2:$I$18, A99+1, 0), "")</f>
        <v>WS-25</v>
      </c>
      <c r="E99" s="391" t="str">
        <f t="shared" si="3"/>
        <v>WS-34</v>
      </c>
      <c r="F99" s="3">
        <f>IF(E99="", "", VLOOKUP(B99, 'S14 ABC Output'!$A$3:$C$18, 3, 0))</f>
        <v>65248</v>
      </c>
      <c r="I99" s="392" t="str">
        <f t="shared" si="5"/>
        <v>WS-03</v>
      </c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</row>
    <row r="100" spans="1:53">
      <c r="A100" s="3">
        <v>3</v>
      </c>
      <c r="B100" s="125" t="str">
        <f>IFERROR(INDEX('S21 Routing Clustered'!$A$3:$A$18, A100), "")</f>
        <v>I-068</v>
      </c>
      <c r="C100" s="3">
        <v>50</v>
      </c>
      <c r="D100" s="391" t="str">
        <f>IFERROR(HLOOKUP(C100, 'S21 Routing Clustered'!$B$2:$I$18, A100+1, 0), "")</f>
        <v>WS-34</v>
      </c>
      <c r="E100" s="391" t="str">
        <f t="shared" si="3"/>
        <v>WS-44</v>
      </c>
      <c r="F100" s="3">
        <f>IF(E100="", "", VLOOKUP(B100, 'S14 ABC Output'!$A$3:$C$18, 3, 0))</f>
        <v>65248</v>
      </c>
      <c r="I100" s="392" t="str">
        <f t="shared" si="5"/>
        <v>WS-04</v>
      </c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</row>
    <row r="101" spans="1:53">
      <c r="A101" s="3">
        <v>3</v>
      </c>
      <c r="B101" s="125" t="str">
        <f>IFERROR(INDEX('S21 Routing Clustered'!$A$3:$A$18, A101), "")</f>
        <v>I-068</v>
      </c>
      <c r="C101" s="3">
        <v>60</v>
      </c>
      <c r="D101" s="391" t="str">
        <f>IFERROR(HLOOKUP(C101, 'S21 Routing Clustered'!$B$2:$I$18, A101+1, 0), "")</f>
        <v>WS-44</v>
      </c>
      <c r="E101" s="391" t="str">
        <f t="shared" si="3"/>
        <v/>
      </c>
      <c r="F101" s="3" t="str">
        <f>IF(E101="", "", VLOOKUP(B101, 'S14 ABC Output'!$A$3:$C$18, 3, 0))</f>
        <v/>
      </c>
      <c r="I101" s="392" t="str">
        <f t="shared" si="5"/>
        <v>WS-05</v>
      </c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>
        <v>65248</v>
      </c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</row>
    <row r="102" spans="1:53">
      <c r="A102" s="3">
        <v>3</v>
      </c>
      <c r="B102" s="125" t="str">
        <f>IFERROR(INDEX('S21 Routing Clustered'!$A$3:$A$18, A102), "")</f>
        <v>I-068</v>
      </c>
      <c r="C102" s="3">
        <v>70</v>
      </c>
      <c r="D102" s="391" t="str">
        <f>IFERROR(HLOOKUP(C102, 'S21 Routing Clustered'!$B$2:$I$18, A102+1, 0), "")</f>
        <v/>
      </c>
      <c r="E102" s="391" t="str">
        <f t="shared" si="3"/>
        <v/>
      </c>
      <c r="F102" s="3" t="str">
        <f>IF(E102="", "", VLOOKUP(B102, 'S14 ABC Output'!$A$3:$C$18, 3, 0))</f>
        <v/>
      </c>
      <c r="I102" s="392" t="str">
        <f t="shared" si="5"/>
        <v>WS-06</v>
      </c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</row>
    <row r="103" spans="1:53">
      <c r="A103" s="3">
        <v>3</v>
      </c>
      <c r="B103" s="125" t="str">
        <f>IFERROR(INDEX('S21 Routing Clustered'!$A$3:$A$18, A103), "")</f>
        <v>I-068</v>
      </c>
      <c r="C103" s="3">
        <v>80</v>
      </c>
      <c r="D103" s="391" t="str">
        <f>IFERROR(HLOOKUP(C103, 'S21 Routing Clustered'!$B$2:$I$18, A103+1, 0), "")</f>
        <v/>
      </c>
      <c r="E103" s="391" t="str">
        <f t="shared" si="3"/>
        <v/>
      </c>
      <c r="F103" s="3" t="str">
        <f>IF(E103="", "", VLOOKUP(B103, 'S14 ABC Output'!$A$3:$C$18, 3, 0))</f>
        <v/>
      </c>
      <c r="I103" s="392" t="str">
        <f t="shared" si="5"/>
        <v>WS-07</v>
      </c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</row>
    <row r="104" spans="1:53">
      <c r="A104" s="3">
        <v>3</v>
      </c>
      <c r="B104" s="125" t="str">
        <f>IFERROR(INDEX('S21 Routing Clustered'!$A$3:$A$18, A104), "")</f>
        <v>I-068</v>
      </c>
      <c r="C104" s="3">
        <v>90</v>
      </c>
      <c r="D104" s="391" t="str">
        <f>IFERROR(HLOOKUP(C104, 'S21 Routing Clustered'!$B$2:$I$18, A104+1, 0), "")</f>
        <v/>
      </c>
      <c r="E104" s="391" t="str">
        <f t="shared" si="3"/>
        <v/>
      </c>
      <c r="F104" s="3" t="str">
        <f>IF(E104="", "", VLOOKUP(B104, 'S14 ABC Output'!$A$3:$C$18, 3, 0))</f>
        <v/>
      </c>
      <c r="I104" s="392" t="str">
        <f t="shared" si="5"/>
        <v>WS-08</v>
      </c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</row>
    <row r="105" spans="1:53">
      <c r="A105" s="3">
        <v>3</v>
      </c>
      <c r="B105" s="125" t="str">
        <f>IFERROR(INDEX('S21 Routing Clustered'!$A$3:$A$18, A105), "")</f>
        <v>I-068</v>
      </c>
      <c r="C105" s="3">
        <v>100</v>
      </c>
      <c r="D105" s="391" t="str">
        <f>IFERROR(HLOOKUP(C105, 'S21 Routing Clustered'!$B$2:$I$18, A105+1, 0), "")</f>
        <v/>
      </c>
      <c r="E105" s="391" t="str">
        <f t="shared" si="3"/>
        <v/>
      </c>
      <c r="F105" s="3" t="str">
        <f>IF(E105="", "", VLOOKUP(B105, 'S14 ABC Output'!$A$3:$C$18, 3, 0))</f>
        <v/>
      </c>
      <c r="I105" s="392" t="str">
        <f t="shared" si="5"/>
        <v>WS-09</v>
      </c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</row>
    <row r="106" spans="1:53">
      <c r="A106" s="3">
        <v>3</v>
      </c>
      <c r="B106" s="125" t="str">
        <f>IFERROR(INDEX('S21 Routing Clustered'!$A$3:$A$18, A106), "")</f>
        <v>I-068</v>
      </c>
      <c r="C106" s="3">
        <v>110</v>
      </c>
      <c r="D106" s="391" t="str">
        <f>IFERROR(HLOOKUP(C106, 'S21 Routing Clustered'!$B$2:$I$18, A106+1, 0), "")</f>
        <v/>
      </c>
      <c r="E106" s="391" t="str">
        <f t="shared" si="3"/>
        <v/>
      </c>
      <c r="F106" s="3" t="str">
        <f>IF(E106="", "", VLOOKUP(B106, 'S14 ABC Output'!$A$3:$C$18, 3, 0))</f>
        <v/>
      </c>
      <c r="I106" s="392" t="str">
        <f t="shared" si="5"/>
        <v>WS-10</v>
      </c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</row>
    <row r="107" spans="1:53">
      <c r="A107" s="3">
        <v>3</v>
      </c>
      <c r="B107" s="125" t="str">
        <f>IFERROR(INDEX('S21 Routing Clustered'!$A$3:$A$18, A107), "")</f>
        <v>I-068</v>
      </c>
      <c r="C107" s="3">
        <v>120</v>
      </c>
      <c r="D107" s="391" t="str">
        <f>IFERROR(HLOOKUP(C107, 'S21 Routing Clustered'!$B$2:$I$18, A107+1, 0), "")</f>
        <v/>
      </c>
      <c r="E107" s="391" t="str">
        <f t="shared" si="3"/>
        <v/>
      </c>
      <c r="F107" s="3" t="str">
        <f>IF(E107="", "", VLOOKUP(B107, 'S14 ABC Output'!$A$3:$C$18, 3, 0))</f>
        <v/>
      </c>
      <c r="I107" s="392" t="str">
        <f t="shared" si="5"/>
        <v>WS-11</v>
      </c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</row>
    <row r="108" spans="1:53">
      <c r="A108" s="3">
        <v>3</v>
      </c>
      <c r="B108" s="125" t="str">
        <f>IFERROR(INDEX('S21 Routing Clustered'!$A$3:$A$18, A108), "")</f>
        <v>I-068</v>
      </c>
      <c r="C108" s="3">
        <v>130</v>
      </c>
      <c r="D108" s="391" t="str">
        <f>IFERROR(HLOOKUP(C108, 'S21 Routing Clustered'!$B$2:$I$18, A108+1, 0), "")</f>
        <v/>
      </c>
      <c r="E108" s="391" t="str">
        <f t="shared" si="3"/>
        <v/>
      </c>
      <c r="F108" s="3" t="str">
        <f>IF(E108="", "", VLOOKUP(B108, 'S14 ABC Output'!$A$3:$C$18, 3, 0))</f>
        <v/>
      </c>
      <c r="I108" s="392" t="str">
        <f t="shared" si="5"/>
        <v>WS-12</v>
      </c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</row>
    <row r="109" spans="1:53">
      <c r="A109" s="3">
        <v>3</v>
      </c>
      <c r="B109" s="125" t="str">
        <f>IFERROR(INDEX('S21 Routing Clustered'!$A$3:$A$18, A109), "")</f>
        <v>I-068</v>
      </c>
      <c r="C109" s="3">
        <v>140</v>
      </c>
      <c r="D109" s="391" t="str">
        <f>IFERROR(HLOOKUP(C109, 'S21 Routing Clustered'!$B$2:$I$18, A109+1, 0), "")</f>
        <v/>
      </c>
      <c r="E109" s="391" t="str">
        <f t="shared" si="3"/>
        <v/>
      </c>
      <c r="F109" s="3" t="str">
        <f>IF(E109="", "", VLOOKUP(B109, 'S14 ABC Output'!$A$3:$C$18, 3, 0))</f>
        <v/>
      </c>
      <c r="I109" s="392" t="str">
        <f t="shared" si="5"/>
        <v>WS-13</v>
      </c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</row>
    <row r="110" spans="1:53">
      <c r="A110" s="3">
        <v>3</v>
      </c>
      <c r="B110" s="125" t="str">
        <f>IFERROR(INDEX('S21 Routing Clustered'!$A$3:$A$18, A110), "")</f>
        <v>I-068</v>
      </c>
      <c r="C110" s="3">
        <v>150</v>
      </c>
      <c r="D110" s="391" t="str">
        <f>IFERROR(HLOOKUP(C110, 'S21 Routing Clustered'!$B$2:$I$18, A110+1, 0), "")</f>
        <v/>
      </c>
      <c r="E110" s="391" t="str">
        <f t="shared" si="3"/>
        <v/>
      </c>
      <c r="F110" s="3" t="str">
        <f>IF(E110="", "", VLOOKUP(B110, 'S14 ABC Output'!$A$3:$C$18, 3, 0))</f>
        <v/>
      </c>
      <c r="I110" s="392" t="str">
        <f t="shared" si="5"/>
        <v>WS-14</v>
      </c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</row>
    <row r="111" spans="1:53">
      <c r="A111" s="3">
        <v>3</v>
      </c>
      <c r="B111" s="125" t="str">
        <f>IFERROR(INDEX('S21 Routing Clustered'!$A$3:$A$18, A111), "")</f>
        <v>I-068</v>
      </c>
      <c r="C111" s="3">
        <v>160</v>
      </c>
      <c r="D111" s="391" t="str">
        <f>IFERROR(HLOOKUP(C111, 'S21 Routing Clustered'!$B$2:$I$18, A111+1, 0), "")</f>
        <v/>
      </c>
      <c r="E111" s="391" t="str">
        <f t="shared" si="3"/>
        <v/>
      </c>
      <c r="F111" s="3" t="str">
        <f>IF(E111="", "", VLOOKUP(B111, 'S14 ABC Output'!$A$3:$C$18, 3, 0))</f>
        <v/>
      </c>
      <c r="I111" s="392" t="str">
        <f t="shared" si="5"/>
        <v>WS-15</v>
      </c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</row>
    <row r="112" spans="1:53">
      <c r="A112" s="3">
        <v>3</v>
      </c>
      <c r="B112" s="125" t="str">
        <f>IFERROR(INDEX('S21 Routing Clustered'!$A$3:$A$18, A112), "")</f>
        <v>I-068</v>
      </c>
      <c r="C112" s="3">
        <v>170</v>
      </c>
      <c r="D112" s="391" t="str">
        <f>IFERROR(HLOOKUP(C112, 'S21 Routing Clustered'!$B$2:$I$18, A112+1, 0), "")</f>
        <v/>
      </c>
      <c r="E112" s="391" t="str">
        <f t="shared" si="3"/>
        <v/>
      </c>
      <c r="F112" s="3" t="str">
        <f>IF(E112="", "", VLOOKUP(B112, 'S14 ABC Output'!$A$3:$C$18, 3, 0))</f>
        <v/>
      </c>
      <c r="I112" s="392" t="str">
        <f t="shared" si="5"/>
        <v>WS-16</v>
      </c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</row>
    <row r="113" spans="1:53">
      <c r="A113" s="3">
        <v>3</v>
      </c>
      <c r="B113" s="125" t="str">
        <f>IFERROR(INDEX('S21 Routing Clustered'!$A$3:$A$18, A113), "")</f>
        <v>I-068</v>
      </c>
      <c r="C113" s="3">
        <v>180</v>
      </c>
      <c r="D113" s="391" t="str">
        <f>IFERROR(HLOOKUP(C113, 'S21 Routing Clustered'!$B$2:$I$18, A113+1, 0), "")</f>
        <v/>
      </c>
      <c r="E113" s="391" t="str">
        <f t="shared" si="3"/>
        <v/>
      </c>
      <c r="F113" s="3" t="str">
        <f>IF(E113="", "", VLOOKUP(B113, 'S14 ABC Output'!$A$3:$C$18, 3, 0))</f>
        <v/>
      </c>
      <c r="I113" s="392" t="str">
        <f t="shared" si="5"/>
        <v>WS-17</v>
      </c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</row>
    <row r="114" spans="1:53">
      <c r="A114" s="3">
        <v>3</v>
      </c>
      <c r="B114" s="125" t="str">
        <f>IFERROR(INDEX('S21 Routing Clustered'!$A$3:$A$18, A114), "")</f>
        <v>I-068</v>
      </c>
      <c r="C114" s="3">
        <v>190</v>
      </c>
      <c r="D114" s="391" t="str">
        <f>IFERROR(HLOOKUP(C114, 'S21 Routing Clustered'!$B$2:$I$18, A114+1, 0), "")</f>
        <v/>
      </c>
      <c r="E114" s="391" t="str">
        <f t="shared" si="3"/>
        <v/>
      </c>
      <c r="F114" s="3" t="str">
        <f>IF(E114="", "", VLOOKUP(B114, 'S14 ABC Output'!$A$3:$C$18, 3, 0))</f>
        <v/>
      </c>
      <c r="I114" s="392" t="str">
        <f t="shared" si="5"/>
        <v>WS-18</v>
      </c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</row>
    <row r="115" spans="1:53">
      <c r="A115" s="3">
        <v>3</v>
      </c>
      <c r="B115" s="125" t="str">
        <f>IFERROR(INDEX('S21 Routing Clustered'!$A$3:$A$18, A115), "")</f>
        <v>I-068</v>
      </c>
      <c r="C115" s="3">
        <v>200</v>
      </c>
      <c r="D115" s="391" t="str">
        <f>IFERROR(HLOOKUP(C115, 'S21 Routing Clustered'!$B$2:$I$18, A115+1, 0), "")</f>
        <v/>
      </c>
      <c r="E115" s="391" t="str">
        <f t="shared" si="3"/>
        <v/>
      </c>
      <c r="F115" s="3" t="str">
        <f>IF(E115="", "", VLOOKUP(B115, 'S14 ABC Output'!$A$3:$C$18, 3, 0))</f>
        <v/>
      </c>
      <c r="I115" s="392" t="str">
        <f t="shared" si="5"/>
        <v>WS-19</v>
      </c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</row>
    <row r="116" spans="1:53">
      <c r="A116" s="3">
        <v>3</v>
      </c>
      <c r="B116" s="125" t="str">
        <f>IFERROR(INDEX('S21 Routing Clustered'!$A$3:$A$18, A116), "")</f>
        <v>I-068</v>
      </c>
      <c r="C116" s="3">
        <v>210</v>
      </c>
      <c r="D116" s="391" t="str">
        <f>IFERROR(HLOOKUP(C116, 'S21 Routing Clustered'!$B$2:$I$18, A116+1, 0), "")</f>
        <v/>
      </c>
      <c r="E116" s="391" t="str">
        <f t="shared" si="3"/>
        <v/>
      </c>
      <c r="F116" s="3" t="str">
        <f>IF(E116="", "", VLOOKUP(B116, 'S14 ABC Output'!$A$3:$C$18, 3, 0))</f>
        <v/>
      </c>
      <c r="I116" s="392" t="str">
        <f t="shared" si="5"/>
        <v>WS-20</v>
      </c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</row>
    <row r="117" spans="1:53">
      <c r="A117" s="3">
        <v>3</v>
      </c>
      <c r="B117" s="125" t="str">
        <f>IFERROR(INDEX('S21 Routing Clustered'!$A$3:$A$18, A117), "")</f>
        <v>I-068</v>
      </c>
      <c r="C117" s="3">
        <v>220</v>
      </c>
      <c r="D117" s="391" t="str">
        <f>IFERROR(HLOOKUP(C117, 'S21 Routing Clustered'!$B$2:$I$18, A117+1, 0), "")</f>
        <v/>
      </c>
      <c r="E117" s="391" t="str">
        <f t="shared" si="3"/>
        <v/>
      </c>
      <c r="F117" s="3" t="str">
        <f>IF(E117="", "", VLOOKUP(B117, 'S14 ABC Output'!$A$3:$C$18, 3, 0))</f>
        <v/>
      </c>
      <c r="I117" s="392" t="str">
        <f t="shared" si="5"/>
        <v>WS-21</v>
      </c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</row>
    <row r="118" spans="1:53">
      <c r="A118" s="3">
        <v>3</v>
      </c>
      <c r="B118" s="125" t="str">
        <f>IFERROR(INDEX('S21 Routing Clustered'!$A$3:$A$18, A118), "")</f>
        <v>I-068</v>
      </c>
      <c r="C118" s="3">
        <v>230</v>
      </c>
      <c r="D118" s="391" t="str">
        <f>IFERROR(HLOOKUP(C118, 'S21 Routing Clustered'!$B$2:$I$18, A118+1, 0), "")</f>
        <v/>
      </c>
      <c r="E118" s="391" t="str">
        <f t="shared" si="3"/>
        <v/>
      </c>
      <c r="F118" s="3" t="str">
        <f>IF(E118="", "", VLOOKUP(B118, 'S14 ABC Output'!$A$3:$C$18, 3, 0))</f>
        <v/>
      </c>
      <c r="I118" s="392" t="str">
        <f t="shared" si="5"/>
        <v>WS-22</v>
      </c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</row>
    <row r="119" spans="1:53">
      <c r="A119" s="3">
        <v>3</v>
      </c>
      <c r="B119" s="125" t="str">
        <f>IFERROR(INDEX('S21 Routing Clustered'!$A$3:$A$18, A119), "")</f>
        <v>I-068</v>
      </c>
      <c r="C119" s="3">
        <v>240</v>
      </c>
      <c r="D119" s="391" t="str">
        <f>IFERROR(HLOOKUP(C119, 'S21 Routing Clustered'!$B$2:$I$18, A119+1, 0), "")</f>
        <v/>
      </c>
      <c r="E119" s="391" t="str">
        <f t="shared" si="3"/>
        <v/>
      </c>
      <c r="F119" s="3" t="str">
        <f>IF(E119="", "", VLOOKUP(B119, 'S14 ABC Output'!$A$3:$C$18, 3, 0))</f>
        <v/>
      </c>
      <c r="I119" s="392" t="str">
        <f t="shared" si="5"/>
        <v>WS-23</v>
      </c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</row>
    <row r="120" spans="1:53">
      <c r="A120" s="3">
        <v>3</v>
      </c>
      <c r="B120" s="125" t="str">
        <f>IFERROR(INDEX('S21 Routing Clustered'!$A$3:$A$18, A120), "")</f>
        <v>I-068</v>
      </c>
      <c r="C120" s="3">
        <v>250</v>
      </c>
      <c r="D120" s="391" t="str">
        <f>IFERROR(HLOOKUP(C120, 'S21 Routing Clustered'!$B$2:$I$18, A120+1, 0), "")</f>
        <v/>
      </c>
      <c r="E120" s="391" t="str">
        <f t="shared" si="3"/>
        <v/>
      </c>
      <c r="F120" s="3" t="str">
        <f>IF(E120="", "", VLOOKUP(B120, 'S14 ABC Output'!$A$3:$C$18, 3, 0))</f>
        <v/>
      </c>
      <c r="I120" s="392" t="str">
        <f t="shared" si="5"/>
        <v>WS-24</v>
      </c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</row>
    <row r="121" spans="1:53">
      <c r="A121" s="3">
        <v>3</v>
      </c>
      <c r="B121" s="125" t="str">
        <f>IFERROR(INDEX('S21 Routing Clustered'!$A$3:$A$18, A121), "")</f>
        <v>I-068</v>
      </c>
      <c r="C121" s="3">
        <v>260</v>
      </c>
      <c r="D121" s="391" t="str">
        <f>IFERROR(HLOOKUP(C121, 'S21 Routing Clustered'!$B$2:$I$18, A121+1, 0), "")</f>
        <v/>
      </c>
      <c r="E121" s="391" t="str">
        <f t="shared" si="3"/>
        <v/>
      </c>
      <c r="F121" s="3" t="str">
        <f>IF(E121="", "", VLOOKUP(B121, 'S14 ABC Output'!$A$3:$C$18, 3, 0))</f>
        <v/>
      </c>
      <c r="I121" s="392" t="str">
        <f t="shared" si="5"/>
        <v>WS-25</v>
      </c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>
        <v>65248</v>
      </c>
      <c r="AR121" s="3"/>
      <c r="AS121" s="3"/>
      <c r="AT121" s="3"/>
      <c r="AU121" s="3"/>
      <c r="AV121" s="3"/>
      <c r="AW121" s="3"/>
      <c r="AX121" s="3"/>
      <c r="AY121" s="3"/>
      <c r="AZ121" s="3"/>
      <c r="BA121" s="3"/>
    </row>
    <row r="122" spans="1:53">
      <c r="A122" s="3">
        <v>3</v>
      </c>
      <c r="B122" s="125" t="str">
        <f>IFERROR(INDEX('S21 Routing Clustered'!$A$3:$A$18, A122), "")</f>
        <v>I-068</v>
      </c>
      <c r="C122" s="3">
        <v>270</v>
      </c>
      <c r="D122" s="391" t="str">
        <f>IFERROR(HLOOKUP(C122, 'S21 Routing Clustered'!$B$2:$I$18, A122+1, 0), "")</f>
        <v/>
      </c>
      <c r="E122" s="391" t="str">
        <f t="shared" si="3"/>
        <v/>
      </c>
      <c r="F122" s="3" t="str">
        <f>IF(E122="", "", VLOOKUP(B122, 'S14 ABC Output'!$A$3:$C$18, 3, 0))</f>
        <v/>
      </c>
      <c r="I122" s="392" t="str">
        <f t="shared" si="5"/>
        <v>WS-26</v>
      </c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</row>
    <row r="123" spans="1:53">
      <c r="A123" s="3">
        <v>3</v>
      </c>
      <c r="B123" s="125" t="str">
        <f>IFERROR(INDEX('S21 Routing Clustered'!$A$3:$A$18, A123), "")</f>
        <v>I-068</v>
      </c>
      <c r="C123" s="3">
        <v>280</v>
      </c>
      <c r="D123" s="391" t="str">
        <f>IFERROR(HLOOKUP(C123, 'S21 Routing Clustered'!$B$2:$I$18, A123+1, 0), "")</f>
        <v/>
      </c>
      <c r="E123" s="391" t="str">
        <f t="shared" si="3"/>
        <v/>
      </c>
      <c r="F123" s="3" t="str">
        <f>IF(E123="", "", VLOOKUP(B123, 'S14 ABC Output'!$A$3:$C$18, 3, 0))</f>
        <v/>
      </c>
      <c r="I123" s="392" t="str">
        <f t="shared" si="5"/>
        <v>WS-27</v>
      </c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</row>
    <row r="124" spans="1:53">
      <c r="A124" s="3">
        <v>3</v>
      </c>
      <c r="B124" s="125" t="str">
        <f>IFERROR(INDEX('S21 Routing Clustered'!$A$3:$A$18, A124), "")</f>
        <v>I-068</v>
      </c>
      <c r="C124" s="3">
        <v>290</v>
      </c>
      <c r="D124" s="391" t="str">
        <f>IFERROR(HLOOKUP(C124, 'S21 Routing Clustered'!$B$2:$I$18, A124+1, 0), "")</f>
        <v/>
      </c>
      <c r="E124" s="391" t="str">
        <f t="shared" si="3"/>
        <v/>
      </c>
      <c r="F124" s="3" t="str">
        <f>IF(E124="", "", VLOOKUP(B124, 'S14 ABC Output'!$A$3:$C$18, 3, 0))</f>
        <v/>
      </c>
      <c r="I124" s="392" t="str">
        <f t="shared" si="5"/>
        <v>WS-28</v>
      </c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</row>
    <row r="125" spans="1:53">
      <c r="A125" s="3">
        <v>3</v>
      </c>
      <c r="B125" s="125" t="str">
        <f>IFERROR(INDEX('S21 Routing Clustered'!$A$3:$A$18, A125), "")</f>
        <v>I-068</v>
      </c>
      <c r="C125" s="3">
        <v>300</v>
      </c>
      <c r="D125" s="391" t="str">
        <f>IFERROR(HLOOKUP(C125, 'S21 Routing Clustered'!$B$2:$I$18, A125+1, 0), "")</f>
        <v/>
      </c>
      <c r="E125" s="391" t="str">
        <f t="shared" si="3"/>
        <v/>
      </c>
      <c r="F125" s="3" t="str">
        <f>IF(E125="", "", VLOOKUP(B125, 'S14 ABC Output'!$A$3:$C$18, 3, 0))</f>
        <v/>
      </c>
      <c r="I125" s="392" t="str">
        <f t="shared" si="5"/>
        <v>WS-29</v>
      </c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</row>
    <row r="126" spans="1:53">
      <c r="A126" s="3">
        <v>3</v>
      </c>
      <c r="B126" s="125" t="str">
        <f>IFERROR(INDEX('S21 Routing Clustered'!$A$3:$A$18, A126), "")</f>
        <v>I-068</v>
      </c>
      <c r="C126" s="3">
        <v>310</v>
      </c>
      <c r="D126" s="391" t="str">
        <f>IFERROR(HLOOKUP(C126, 'S21 Routing Clustered'!$B$2:$I$18, A126+1, 0), "")</f>
        <v/>
      </c>
      <c r="E126" s="391" t="str">
        <f t="shared" si="3"/>
        <v/>
      </c>
      <c r="F126" s="3" t="str">
        <f>IF(E126="", "", VLOOKUP(B126, 'S14 ABC Output'!$A$3:$C$18, 3, 0))</f>
        <v/>
      </c>
      <c r="I126" s="392" t="str">
        <f t="shared" si="5"/>
        <v>WS-30</v>
      </c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</row>
    <row r="127" spans="1:53">
      <c r="A127" s="3">
        <v>3</v>
      </c>
      <c r="B127" s="125" t="str">
        <f>IFERROR(INDEX('S21 Routing Clustered'!$A$3:$A$18, A127), "")</f>
        <v>I-068</v>
      </c>
      <c r="C127" s="3">
        <v>320</v>
      </c>
      <c r="D127" s="391" t="str">
        <f>IFERROR(HLOOKUP(C127, 'S21 Routing Clustered'!$B$2:$I$18, A127+1, 0), "")</f>
        <v/>
      </c>
      <c r="E127" s="391" t="str">
        <f t="shared" si="3"/>
        <v/>
      </c>
      <c r="F127" s="3" t="str">
        <f>IF(E127="", "", VLOOKUP(B127, 'S14 ABC Output'!$A$3:$C$18, 3, 0))</f>
        <v/>
      </c>
      <c r="I127" s="392" t="str">
        <f t="shared" si="5"/>
        <v>WS-31</v>
      </c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</row>
    <row r="128" spans="1:53">
      <c r="A128" s="3">
        <v>3</v>
      </c>
      <c r="B128" s="125" t="str">
        <f>IFERROR(INDEX('S21 Routing Clustered'!$A$3:$A$18, A128), "")</f>
        <v>I-068</v>
      </c>
      <c r="C128" s="3">
        <v>330</v>
      </c>
      <c r="D128" s="391" t="str">
        <f>IFERROR(HLOOKUP(C128, 'S21 Routing Clustered'!$B$2:$I$18, A128+1, 0), "")</f>
        <v/>
      </c>
      <c r="E128" s="391" t="str">
        <f t="shared" si="3"/>
        <v/>
      </c>
      <c r="F128" s="3" t="str">
        <f>IF(E128="", "", VLOOKUP(B128, 'S14 ABC Output'!$A$3:$C$18, 3, 0))</f>
        <v/>
      </c>
      <c r="I128" s="392" t="str">
        <f t="shared" si="5"/>
        <v>WS-32</v>
      </c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</row>
    <row r="129" spans="1:53">
      <c r="A129" s="3">
        <v>3</v>
      </c>
      <c r="B129" s="125" t="str">
        <f>IFERROR(INDEX('S21 Routing Clustered'!$A$3:$A$18, A129), "")</f>
        <v>I-068</v>
      </c>
      <c r="C129" s="3">
        <v>340</v>
      </c>
      <c r="D129" s="391" t="str">
        <f>IFERROR(HLOOKUP(C129, 'S21 Routing Clustered'!$B$2:$I$18, A129+1, 0), "")</f>
        <v/>
      </c>
      <c r="E129" s="391" t="str">
        <f t="shared" si="3"/>
        <v/>
      </c>
      <c r="F129" s="3" t="str">
        <f>IF(E129="", "", VLOOKUP(B129, 'S14 ABC Output'!$A$3:$C$18, 3, 0))</f>
        <v/>
      </c>
      <c r="I129" s="392" t="str">
        <f t="shared" si="5"/>
        <v>WS-33</v>
      </c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</row>
    <row r="130" spans="1:53">
      <c r="A130" s="3">
        <v>3</v>
      </c>
      <c r="B130" s="125" t="str">
        <f>IFERROR(INDEX('S21 Routing Clustered'!$A$3:$A$18, A130), "")</f>
        <v>I-068</v>
      </c>
      <c r="C130" s="3">
        <v>350</v>
      </c>
      <c r="D130" s="391" t="str">
        <f>IFERROR(HLOOKUP(C130, 'S21 Routing Clustered'!$B$2:$I$18, A130+1, 0), "")</f>
        <v/>
      </c>
      <c r="E130" s="391" t="str">
        <f t="shared" si="3"/>
        <v/>
      </c>
      <c r="F130" s="3" t="str">
        <f>IF(E130="", "", VLOOKUP(B130, 'S14 ABC Output'!$A$3:$C$18, 3, 0))</f>
        <v/>
      </c>
      <c r="I130" s="392" t="str">
        <f t="shared" si="5"/>
        <v>WS-34</v>
      </c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>
        <v>65248</v>
      </c>
    </row>
    <row r="131" spans="1:53">
      <c r="A131" s="3">
        <v>3</v>
      </c>
      <c r="B131" s="125" t="str">
        <f>IFERROR(INDEX('S21 Routing Clustered'!$A$3:$A$18, A131), "")</f>
        <v>I-068</v>
      </c>
      <c r="C131" s="3">
        <v>360</v>
      </c>
      <c r="D131" s="391" t="str">
        <f>IFERROR(HLOOKUP(C131, 'S21 Routing Clustered'!$B$2:$I$18, A131+1, 0), "")</f>
        <v/>
      </c>
      <c r="E131" s="391" t="str">
        <f t="shared" ref="E131:E194" si="6">IF(D131="", "", D132)</f>
        <v/>
      </c>
      <c r="F131" s="3" t="str">
        <f>IF(E131="", "", VLOOKUP(B131, 'S14 ABC Output'!$A$3:$C$18, 3, 0))</f>
        <v/>
      </c>
      <c r="I131" s="392" t="str">
        <f t="shared" si="5"/>
        <v>WS-35</v>
      </c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</row>
    <row r="132" spans="1:53">
      <c r="A132" s="3">
        <v>3</v>
      </c>
      <c r="B132" s="125" t="str">
        <f>IFERROR(INDEX('S21 Routing Clustered'!$A$3:$A$18, A132), "")</f>
        <v>I-068</v>
      </c>
      <c r="C132" s="3">
        <v>370</v>
      </c>
      <c r="D132" s="391" t="str">
        <f>IFERROR(HLOOKUP(C132, 'S21 Routing Clustered'!$B$2:$I$18, A132+1, 0), "")</f>
        <v/>
      </c>
      <c r="E132" s="391" t="str">
        <f t="shared" si="6"/>
        <v/>
      </c>
      <c r="F132" s="3" t="str">
        <f>IF(E132="", "", VLOOKUP(B132, 'S14 ABC Output'!$A$3:$C$18, 3, 0))</f>
        <v/>
      </c>
      <c r="I132" s="392" t="str">
        <f t="shared" si="5"/>
        <v>WS-36</v>
      </c>
      <c r="J132" s="3"/>
      <c r="K132" s="3"/>
      <c r="L132" s="3"/>
      <c r="M132" s="3"/>
      <c r="N132" s="3">
        <v>65248</v>
      </c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</row>
    <row r="133" spans="1:53">
      <c r="A133" s="3">
        <v>3</v>
      </c>
      <c r="B133" s="125" t="str">
        <f>IFERROR(INDEX('S21 Routing Clustered'!$A$3:$A$18, A133), "")</f>
        <v>I-068</v>
      </c>
      <c r="C133" s="3">
        <v>380</v>
      </c>
      <c r="D133" s="391" t="str">
        <f>IFERROR(HLOOKUP(C133, 'S21 Routing Clustered'!$B$2:$I$18, A133+1, 0), "")</f>
        <v/>
      </c>
      <c r="E133" s="391" t="str">
        <f t="shared" si="6"/>
        <v/>
      </c>
      <c r="F133" s="3" t="str">
        <f>IF(E133="", "", VLOOKUP(B133, 'S14 ABC Output'!$A$3:$C$18, 3, 0))</f>
        <v/>
      </c>
      <c r="I133" s="392" t="str">
        <f t="shared" si="5"/>
        <v>WS-37</v>
      </c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</row>
    <row r="134" spans="1:53">
      <c r="A134" s="3">
        <v>3</v>
      </c>
      <c r="B134" s="125" t="str">
        <f>IFERROR(INDEX('S21 Routing Clustered'!$A$3:$A$18, A134), "")</f>
        <v>I-068</v>
      </c>
      <c r="C134" s="3">
        <v>390</v>
      </c>
      <c r="D134" s="391" t="str">
        <f>IFERROR(HLOOKUP(C134, 'S21 Routing Clustered'!$B$2:$I$18, A134+1, 0), "")</f>
        <v/>
      </c>
      <c r="E134" s="391" t="str">
        <f t="shared" si="6"/>
        <v/>
      </c>
      <c r="F134" s="3" t="str">
        <f>IF(E134="", "", VLOOKUP(B134, 'S14 ABC Output'!$A$3:$C$18, 3, 0))</f>
        <v/>
      </c>
      <c r="I134" s="392" t="str">
        <f t="shared" si="5"/>
        <v>WS-38</v>
      </c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</row>
    <row r="135" spans="1:53">
      <c r="A135" s="3">
        <v>3</v>
      </c>
      <c r="B135" s="125" t="str">
        <f>IFERROR(INDEX('S21 Routing Clustered'!$A$3:$A$18, A135), "")</f>
        <v>I-068</v>
      </c>
      <c r="C135" s="3">
        <v>400</v>
      </c>
      <c r="D135" s="391" t="str">
        <f>IFERROR(HLOOKUP(C135, 'S21 Routing Clustered'!$B$2:$I$18, A135+1, 0), "")</f>
        <v/>
      </c>
      <c r="E135" s="391" t="str">
        <f t="shared" si="6"/>
        <v/>
      </c>
      <c r="F135" s="3" t="str">
        <f>IF(E135="", "", VLOOKUP(B135, 'S14 ABC Output'!$A$3:$C$18, 3, 0))</f>
        <v/>
      </c>
      <c r="I135" s="392" t="str">
        <f t="shared" si="5"/>
        <v>WS-39</v>
      </c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</row>
    <row r="136" spans="1:53">
      <c r="A136" s="3">
        <v>3</v>
      </c>
      <c r="B136" s="125" t="str">
        <f>IFERROR(INDEX('S21 Routing Clustered'!$A$3:$A$18, A136), "")</f>
        <v>I-068</v>
      </c>
      <c r="C136" s="3">
        <v>410</v>
      </c>
      <c r="D136" s="391" t="str">
        <f>IFERROR(HLOOKUP(C136, 'S21 Routing Clustered'!$B$2:$I$18, A136+1, 0), "")</f>
        <v/>
      </c>
      <c r="E136" s="391" t="str">
        <f t="shared" si="6"/>
        <v/>
      </c>
      <c r="F136" s="3" t="str">
        <f>IF(E136="", "", VLOOKUP(B136, 'S14 ABC Output'!$A$3:$C$18, 3, 0))</f>
        <v/>
      </c>
      <c r="I136" s="392" t="str">
        <f t="shared" si="5"/>
        <v>WS-40</v>
      </c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</row>
    <row r="137" spans="1:53">
      <c r="A137" s="3">
        <v>3</v>
      </c>
      <c r="B137" s="125" t="str">
        <f>IFERROR(INDEX('S21 Routing Clustered'!$A$3:$A$18, A137), "")</f>
        <v>I-068</v>
      </c>
      <c r="C137" s="3">
        <v>420</v>
      </c>
      <c r="D137" s="391" t="str">
        <f>IFERROR(HLOOKUP(C137, 'S21 Routing Clustered'!$B$2:$I$18, A137+1, 0), "")</f>
        <v/>
      </c>
      <c r="E137" s="391" t="str">
        <f t="shared" si="6"/>
        <v/>
      </c>
      <c r="F137" s="3" t="str">
        <f>IF(E137="", "", VLOOKUP(B137, 'S14 ABC Output'!$A$3:$C$18, 3, 0))</f>
        <v/>
      </c>
      <c r="I137" s="392" t="str">
        <f t="shared" si="5"/>
        <v>WS-41</v>
      </c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</row>
    <row r="138" spans="1:53">
      <c r="A138" s="3">
        <v>3</v>
      </c>
      <c r="B138" s="125" t="str">
        <f>IFERROR(INDEX('S21 Routing Clustered'!$A$3:$A$18, A138), "")</f>
        <v>I-068</v>
      </c>
      <c r="C138" s="3">
        <v>430</v>
      </c>
      <c r="D138" s="391" t="str">
        <f>IFERROR(HLOOKUP(C138, 'S21 Routing Clustered'!$B$2:$I$18, A138+1, 0), "")</f>
        <v/>
      </c>
      <c r="E138" s="391" t="str">
        <f t="shared" si="6"/>
        <v/>
      </c>
      <c r="F138" s="3" t="str">
        <f>IF(E138="", "", VLOOKUP(B138, 'S14 ABC Output'!$A$3:$C$18, 3, 0))</f>
        <v/>
      </c>
      <c r="I138" s="392" t="str">
        <f t="shared" si="5"/>
        <v>WS-42</v>
      </c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</row>
    <row r="139" spans="1:53">
      <c r="A139" s="3">
        <v>3</v>
      </c>
      <c r="B139" s="125" t="str">
        <f>IFERROR(INDEX('S21 Routing Clustered'!$A$3:$A$18, A139), "")</f>
        <v>I-068</v>
      </c>
      <c r="C139" s="3">
        <v>440</v>
      </c>
      <c r="D139" s="391" t="str">
        <f>IFERROR(HLOOKUP(C139, 'S21 Routing Clustered'!$B$2:$I$18, A139+1, 0), "")</f>
        <v/>
      </c>
      <c r="E139" s="391" t="str">
        <f t="shared" si="6"/>
        <v/>
      </c>
      <c r="F139" s="3" t="str">
        <f>IF(E139="", "", VLOOKUP(B139, 'S14 ABC Output'!$A$3:$C$18, 3, 0))</f>
        <v/>
      </c>
      <c r="I139" s="392" t="str">
        <f t="shared" si="5"/>
        <v>WS-43</v>
      </c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>
        <v>65248</v>
      </c>
      <c r="AT139" s="3"/>
      <c r="AU139" s="3"/>
      <c r="AV139" s="3"/>
      <c r="AW139" s="3"/>
      <c r="AX139" s="3"/>
      <c r="AY139" s="3"/>
      <c r="AZ139" s="3"/>
      <c r="BA139" s="3"/>
    </row>
    <row r="140" spans="1:53">
      <c r="A140" s="3">
        <v>3</v>
      </c>
      <c r="B140" s="125" t="str">
        <f>IFERROR(INDEX('S21 Routing Clustered'!$A$3:$A$18, A140), "")</f>
        <v>I-068</v>
      </c>
      <c r="C140" s="3">
        <v>450</v>
      </c>
      <c r="D140" s="391" t="str">
        <f>IFERROR(HLOOKUP(C140, 'S21 Routing Clustered'!$B$2:$I$18, A140+1, 0), "")</f>
        <v/>
      </c>
      <c r="E140" s="391" t="str">
        <f t="shared" si="6"/>
        <v/>
      </c>
      <c r="F140" s="3" t="str">
        <f>IF(E140="", "", VLOOKUP(B140, 'S14 ABC Output'!$A$3:$C$18, 3, 0))</f>
        <v/>
      </c>
      <c r="I140" s="392" t="str">
        <f t="shared" si="5"/>
        <v>WS-44</v>
      </c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</row>
    <row r="141" spans="1:53">
      <c r="B141" s="125" t="str">
        <f>IFERROR(INDEX('S21 Routing Clustered'!$A$3:$A$18, A141), "")</f>
        <v/>
      </c>
      <c r="D141" s="391" t="str">
        <f>IFERROR(HLOOKUP(C141, 'S21 Routing Clustered'!$B$2:$I$18, A141+1, 0), "")</f>
        <v/>
      </c>
      <c r="E141" s="391" t="str">
        <f t="shared" si="6"/>
        <v/>
      </c>
      <c r="F141" s="3" t="str">
        <f>IF(E141="", "", VLOOKUP(B141, 'S14 ABC Output'!$A$3:$C$18, 3, 0))</f>
        <v/>
      </c>
      <c r="I141" s="392"/>
    </row>
    <row r="142" spans="1:53">
      <c r="B142" s="125" t="str">
        <f>IFERROR(INDEX('S21 Routing Clustered'!$A$3:$A$18, A142), "")</f>
        <v/>
      </c>
      <c r="D142" s="391" t="str">
        <f>IFERROR(HLOOKUP(C142, 'S21 Routing Clustered'!$B$2:$I$18, A142+1, 0), "")</f>
        <v/>
      </c>
      <c r="E142" s="391" t="str">
        <f t="shared" si="6"/>
        <v/>
      </c>
      <c r="F142" s="3" t="str">
        <f>IF(E142="", "", VLOOKUP(B142, 'S14 ABC Output'!$A$3:$C$18, 3, 0))</f>
        <v/>
      </c>
      <c r="I142" s="392"/>
    </row>
    <row r="143" spans="1:53">
      <c r="A143" s="3">
        <v>4</v>
      </c>
      <c r="B143" s="125" t="str">
        <f>IFERROR(INDEX('S21 Routing Clustered'!$A$3:$A$18, A143), "")</f>
        <v>I-069</v>
      </c>
      <c r="C143" s="3">
        <v>10</v>
      </c>
      <c r="D143" s="391" t="str">
        <f>IFERROR(HLOOKUP(C143, 'S21 Routing Clustered'!$B$2:$I$18, A143+1, 0), "")</f>
        <v>WS-43</v>
      </c>
      <c r="E143" s="391" t="str">
        <f t="shared" si="6"/>
        <v>WS-36</v>
      </c>
      <c r="F143" s="3">
        <f>IF(E143="", "", VLOOKUP(B143, 'S14 ABC Output'!$A$3:$C$18, 3, 0))</f>
        <v>36524</v>
      </c>
      <c r="I143" s="392"/>
      <c r="J143" s="392" t="str">
        <f>J96</f>
        <v>WS-01</v>
      </c>
      <c r="K143" s="392" t="str">
        <f t="shared" ref="K143:BA143" si="7">K96</f>
        <v>WS-02</v>
      </c>
      <c r="L143" s="392" t="str">
        <f t="shared" si="7"/>
        <v>WS-03</v>
      </c>
      <c r="M143" s="392" t="str">
        <f t="shared" si="7"/>
        <v>WS-04</v>
      </c>
      <c r="N143" s="392" t="str">
        <f t="shared" si="7"/>
        <v>WS-05</v>
      </c>
      <c r="O143" s="392" t="str">
        <f t="shared" si="7"/>
        <v>WS-06</v>
      </c>
      <c r="P143" s="392" t="str">
        <f t="shared" si="7"/>
        <v>WS-07</v>
      </c>
      <c r="Q143" s="392" t="str">
        <f t="shared" si="7"/>
        <v>WS-08</v>
      </c>
      <c r="R143" s="392" t="str">
        <f t="shared" si="7"/>
        <v>WS-09</v>
      </c>
      <c r="S143" s="392" t="str">
        <f t="shared" si="7"/>
        <v>WS-10</v>
      </c>
      <c r="T143" s="392" t="str">
        <f t="shared" si="7"/>
        <v>WS-11</v>
      </c>
      <c r="U143" s="392" t="str">
        <f t="shared" si="7"/>
        <v>WS-12</v>
      </c>
      <c r="V143" s="392" t="str">
        <f t="shared" si="7"/>
        <v>WS-13</v>
      </c>
      <c r="W143" s="392" t="str">
        <f t="shared" si="7"/>
        <v>WS-14</v>
      </c>
      <c r="X143" s="392" t="str">
        <f t="shared" si="7"/>
        <v>WS-15</v>
      </c>
      <c r="Y143" s="392" t="str">
        <f t="shared" si="7"/>
        <v>WS-16</v>
      </c>
      <c r="Z143" s="392" t="str">
        <f t="shared" si="7"/>
        <v>WS-17</v>
      </c>
      <c r="AA143" s="392" t="str">
        <f t="shared" si="7"/>
        <v>WS-18</v>
      </c>
      <c r="AB143" s="392" t="str">
        <f t="shared" si="7"/>
        <v>WS-19</v>
      </c>
      <c r="AC143" s="392" t="str">
        <f t="shared" si="7"/>
        <v>WS-20</v>
      </c>
      <c r="AD143" s="392" t="str">
        <f t="shared" si="7"/>
        <v>WS-21</v>
      </c>
      <c r="AE143" s="392" t="str">
        <f t="shared" si="7"/>
        <v>WS-22</v>
      </c>
      <c r="AF143" s="392" t="str">
        <f t="shared" si="7"/>
        <v>WS-23</v>
      </c>
      <c r="AG143" s="392" t="str">
        <f t="shared" si="7"/>
        <v>WS-24</v>
      </c>
      <c r="AH143" s="392" t="str">
        <f t="shared" si="7"/>
        <v>WS-25</v>
      </c>
      <c r="AI143" s="392" t="str">
        <f t="shared" si="7"/>
        <v>WS-26</v>
      </c>
      <c r="AJ143" s="392" t="str">
        <f t="shared" si="7"/>
        <v>WS-27</v>
      </c>
      <c r="AK143" s="392" t="str">
        <f t="shared" si="7"/>
        <v>WS-28</v>
      </c>
      <c r="AL143" s="392" t="str">
        <f t="shared" si="7"/>
        <v>WS-29</v>
      </c>
      <c r="AM143" s="392" t="str">
        <f t="shared" si="7"/>
        <v>WS-30</v>
      </c>
      <c r="AN143" s="392" t="str">
        <f t="shared" si="7"/>
        <v>WS-31</v>
      </c>
      <c r="AO143" s="392" t="str">
        <f t="shared" si="7"/>
        <v>WS-32</v>
      </c>
      <c r="AP143" s="392" t="str">
        <f t="shared" si="7"/>
        <v>WS-33</v>
      </c>
      <c r="AQ143" s="392" t="str">
        <f t="shared" si="7"/>
        <v>WS-34</v>
      </c>
      <c r="AR143" s="392" t="str">
        <f t="shared" si="7"/>
        <v>WS-35</v>
      </c>
      <c r="AS143" s="392" t="str">
        <f t="shared" si="7"/>
        <v>WS-36</v>
      </c>
      <c r="AT143" s="392" t="str">
        <f t="shared" si="7"/>
        <v>WS-37</v>
      </c>
      <c r="AU143" s="392" t="str">
        <f t="shared" si="7"/>
        <v>WS-38</v>
      </c>
      <c r="AV143" s="392" t="str">
        <f t="shared" si="7"/>
        <v>WS-39</v>
      </c>
      <c r="AW143" s="392" t="str">
        <f t="shared" si="7"/>
        <v>WS-40</v>
      </c>
      <c r="AX143" s="392" t="str">
        <f t="shared" si="7"/>
        <v>WS-41</v>
      </c>
      <c r="AY143" s="392" t="str">
        <f t="shared" si="7"/>
        <v>WS-42</v>
      </c>
      <c r="AZ143" s="392" t="str">
        <f t="shared" si="7"/>
        <v>WS-43</v>
      </c>
      <c r="BA143" s="392" t="str">
        <f t="shared" si="7"/>
        <v>WS-44</v>
      </c>
    </row>
    <row r="144" spans="1:53">
      <c r="A144" s="3">
        <v>4</v>
      </c>
      <c r="B144" s="125" t="str">
        <f>IFERROR(INDEX('S21 Routing Clustered'!$A$3:$A$18, A144), "")</f>
        <v>I-069</v>
      </c>
      <c r="C144" s="3">
        <v>20</v>
      </c>
      <c r="D144" s="391" t="str">
        <f>IFERROR(HLOOKUP(C144, 'S21 Routing Clustered'!$B$2:$I$18, A144+1, 0), "")</f>
        <v>WS-36</v>
      </c>
      <c r="E144" s="391" t="str">
        <f t="shared" si="6"/>
        <v>WS-05</v>
      </c>
      <c r="F144" s="3">
        <f>IF(E144="", "", VLOOKUP(B144, 'S14 ABC Output'!$A$3:$C$18, 3, 0))</f>
        <v>36524</v>
      </c>
      <c r="I144" s="392" t="str">
        <f>I97</f>
        <v>WS-01</v>
      </c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</row>
    <row r="145" spans="1:53">
      <c r="A145" s="3">
        <v>4</v>
      </c>
      <c r="B145" s="125" t="str">
        <f>IFERROR(INDEX('S21 Routing Clustered'!$A$3:$A$18, A145), "")</f>
        <v>I-069</v>
      </c>
      <c r="C145" s="3">
        <v>30</v>
      </c>
      <c r="D145" s="391" t="str">
        <f>IFERROR(HLOOKUP(C145, 'S21 Routing Clustered'!$B$2:$I$18, A145+1, 0), "")</f>
        <v>WS-05</v>
      </c>
      <c r="E145" s="391" t="str">
        <f t="shared" si="6"/>
        <v>WS-25</v>
      </c>
      <c r="F145" s="3">
        <f>IF(E145="", "", VLOOKUP(B145, 'S14 ABC Output'!$A$3:$C$18, 3, 0))</f>
        <v>36524</v>
      </c>
      <c r="I145" s="392" t="str">
        <f t="shared" ref="I145:I187" si="8">I98</f>
        <v>WS-02</v>
      </c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</row>
    <row r="146" spans="1:53">
      <c r="A146" s="3">
        <v>4</v>
      </c>
      <c r="B146" s="125" t="str">
        <f>IFERROR(INDEX('S21 Routing Clustered'!$A$3:$A$18, A146), "")</f>
        <v>I-069</v>
      </c>
      <c r="C146" s="3">
        <v>40</v>
      </c>
      <c r="D146" s="391" t="str">
        <f>IFERROR(HLOOKUP(C146, 'S21 Routing Clustered'!$B$2:$I$18, A146+1, 0), "")</f>
        <v>WS-25</v>
      </c>
      <c r="E146" s="391" t="str">
        <f t="shared" si="6"/>
        <v>WS-34</v>
      </c>
      <c r="F146" s="3">
        <f>IF(E146="", "", VLOOKUP(B146, 'S14 ABC Output'!$A$3:$C$18, 3, 0))</f>
        <v>36524</v>
      </c>
      <c r="I146" s="392" t="str">
        <f t="shared" si="8"/>
        <v>WS-03</v>
      </c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</row>
    <row r="147" spans="1:53">
      <c r="A147" s="3">
        <v>4</v>
      </c>
      <c r="B147" s="125" t="str">
        <f>IFERROR(INDEX('S21 Routing Clustered'!$A$3:$A$18, A147), "")</f>
        <v>I-069</v>
      </c>
      <c r="C147" s="3">
        <v>50</v>
      </c>
      <c r="D147" s="391" t="str">
        <f>IFERROR(HLOOKUP(C147, 'S21 Routing Clustered'!$B$2:$I$18, A147+1, 0), "")</f>
        <v>WS-34</v>
      </c>
      <c r="E147" s="391" t="str">
        <f t="shared" si="6"/>
        <v>WS-44</v>
      </c>
      <c r="F147" s="3">
        <f>IF(E147="", "", VLOOKUP(B147, 'S14 ABC Output'!$A$3:$C$18, 3, 0))</f>
        <v>36524</v>
      </c>
      <c r="I147" s="392" t="str">
        <f t="shared" si="8"/>
        <v>WS-04</v>
      </c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</row>
    <row r="148" spans="1:53">
      <c r="A148" s="3">
        <v>4</v>
      </c>
      <c r="B148" s="125" t="str">
        <f>IFERROR(INDEX('S21 Routing Clustered'!$A$3:$A$18, A148), "")</f>
        <v>I-069</v>
      </c>
      <c r="C148" s="3">
        <v>60</v>
      </c>
      <c r="D148" s="391" t="str">
        <f>IFERROR(HLOOKUP(C148, 'S21 Routing Clustered'!$B$2:$I$18, A148+1, 0), "")</f>
        <v>WS-44</v>
      </c>
      <c r="E148" s="391" t="str">
        <f t="shared" si="6"/>
        <v/>
      </c>
      <c r="F148" s="3" t="str">
        <f>IF(E148="", "", VLOOKUP(B148, 'S14 ABC Output'!$A$3:$C$18, 3, 0))</f>
        <v/>
      </c>
      <c r="I148" s="392" t="str">
        <f t="shared" si="8"/>
        <v>WS-05</v>
      </c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>
        <v>36524</v>
      </c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</row>
    <row r="149" spans="1:53">
      <c r="A149" s="3">
        <v>4</v>
      </c>
      <c r="B149" s="125" t="str">
        <f>IFERROR(INDEX('S21 Routing Clustered'!$A$3:$A$18, A149), "")</f>
        <v>I-069</v>
      </c>
      <c r="C149" s="3">
        <v>70</v>
      </c>
      <c r="D149" s="391" t="str">
        <f>IFERROR(HLOOKUP(C149, 'S21 Routing Clustered'!$B$2:$I$18, A149+1, 0), "")</f>
        <v/>
      </c>
      <c r="E149" s="391" t="str">
        <f t="shared" si="6"/>
        <v/>
      </c>
      <c r="F149" s="3" t="str">
        <f>IF(E149="", "", VLOOKUP(B149, 'S14 ABC Output'!$A$3:$C$18, 3, 0))</f>
        <v/>
      </c>
      <c r="I149" s="392" t="str">
        <f t="shared" si="8"/>
        <v>WS-06</v>
      </c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</row>
    <row r="150" spans="1:53">
      <c r="A150" s="3">
        <v>4</v>
      </c>
      <c r="B150" s="125" t="str">
        <f>IFERROR(INDEX('S21 Routing Clustered'!$A$3:$A$18, A150), "")</f>
        <v>I-069</v>
      </c>
      <c r="C150" s="3">
        <v>80</v>
      </c>
      <c r="D150" s="391" t="str">
        <f>IFERROR(HLOOKUP(C150, 'S21 Routing Clustered'!$B$2:$I$18, A150+1, 0), "")</f>
        <v/>
      </c>
      <c r="E150" s="391" t="str">
        <f t="shared" si="6"/>
        <v/>
      </c>
      <c r="F150" s="3" t="str">
        <f>IF(E150="", "", VLOOKUP(B150, 'S14 ABC Output'!$A$3:$C$18, 3, 0))</f>
        <v/>
      </c>
      <c r="I150" s="392" t="str">
        <f t="shared" si="8"/>
        <v>WS-07</v>
      </c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</row>
    <row r="151" spans="1:53">
      <c r="A151" s="3">
        <v>4</v>
      </c>
      <c r="B151" s="125" t="str">
        <f>IFERROR(INDEX('S21 Routing Clustered'!$A$3:$A$18, A151), "")</f>
        <v>I-069</v>
      </c>
      <c r="C151" s="3">
        <v>90</v>
      </c>
      <c r="D151" s="391" t="str">
        <f>IFERROR(HLOOKUP(C151, 'S21 Routing Clustered'!$B$2:$I$18, A151+1, 0), "")</f>
        <v/>
      </c>
      <c r="E151" s="391" t="str">
        <f t="shared" si="6"/>
        <v/>
      </c>
      <c r="F151" s="3" t="str">
        <f>IF(E151="", "", VLOOKUP(B151, 'S14 ABC Output'!$A$3:$C$18, 3, 0))</f>
        <v/>
      </c>
      <c r="I151" s="392" t="str">
        <f t="shared" si="8"/>
        <v>WS-08</v>
      </c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</row>
    <row r="152" spans="1:53">
      <c r="A152" s="3">
        <v>4</v>
      </c>
      <c r="B152" s="125" t="str">
        <f>IFERROR(INDEX('S21 Routing Clustered'!$A$3:$A$18, A152), "")</f>
        <v>I-069</v>
      </c>
      <c r="C152" s="3">
        <v>100</v>
      </c>
      <c r="D152" s="391" t="str">
        <f>IFERROR(HLOOKUP(C152, 'S21 Routing Clustered'!$B$2:$I$18, A152+1, 0), "")</f>
        <v/>
      </c>
      <c r="E152" s="391" t="str">
        <f t="shared" si="6"/>
        <v/>
      </c>
      <c r="F152" s="3" t="str">
        <f>IF(E152="", "", VLOOKUP(B152, 'S14 ABC Output'!$A$3:$C$18, 3, 0))</f>
        <v/>
      </c>
      <c r="I152" s="392" t="str">
        <f t="shared" si="8"/>
        <v>WS-09</v>
      </c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</row>
    <row r="153" spans="1:53">
      <c r="A153" s="3">
        <v>4</v>
      </c>
      <c r="B153" s="125" t="str">
        <f>IFERROR(INDEX('S21 Routing Clustered'!$A$3:$A$18, A153), "")</f>
        <v>I-069</v>
      </c>
      <c r="C153" s="3">
        <v>110</v>
      </c>
      <c r="D153" s="391" t="str">
        <f>IFERROR(HLOOKUP(C153, 'S21 Routing Clustered'!$B$2:$I$18, A153+1, 0), "")</f>
        <v/>
      </c>
      <c r="E153" s="391" t="str">
        <f t="shared" si="6"/>
        <v/>
      </c>
      <c r="F153" s="3" t="str">
        <f>IF(E153="", "", VLOOKUP(B153, 'S14 ABC Output'!$A$3:$C$18, 3, 0))</f>
        <v/>
      </c>
      <c r="I153" s="392" t="str">
        <f t="shared" si="8"/>
        <v>WS-10</v>
      </c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</row>
    <row r="154" spans="1:53">
      <c r="A154" s="3">
        <v>4</v>
      </c>
      <c r="B154" s="125" t="str">
        <f>IFERROR(INDEX('S21 Routing Clustered'!$A$3:$A$18, A154), "")</f>
        <v>I-069</v>
      </c>
      <c r="C154" s="3">
        <v>120</v>
      </c>
      <c r="D154" s="391" t="str">
        <f>IFERROR(HLOOKUP(C154, 'S21 Routing Clustered'!$B$2:$I$18, A154+1, 0), "")</f>
        <v/>
      </c>
      <c r="E154" s="391" t="str">
        <f t="shared" si="6"/>
        <v/>
      </c>
      <c r="F154" s="3" t="str">
        <f>IF(E154="", "", VLOOKUP(B154, 'S14 ABC Output'!$A$3:$C$18, 3, 0))</f>
        <v/>
      </c>
      <c r="I154" s="392" t="str">
        <f t="shared" si="8"/>
        <v>WS-11</v>
      </c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</row>
    <row r="155" spans="1:53">
      <c r="A155" s="3">
        <v>4</v>
      </c>
      <c r="B155" s="125" t="str">
        <f>IFERROR(INDEX('S21 Routing Clustered'!$A$3:$A$18, A155), "")</f>
        <v>I-069</v>
      </c>
      <c r="C155" s="3">
        <v>130</v>
      </c>
      <c r="D155" s="391" t="str">
        <f>IFERROR(HLOOKUP(C155, 'S21 Routing Clustered'!$B$2:$I$18, A155+1, 0), "")</f>
        <v/>
      </c>
      <c r="E155" s="391" t="str">
        <f t="shared" si="6"/>
        <v/>
      </c>
      <c r="F155" s="3" t="str">
        <f>IF(E155="", "", VLOOKUP(B155, 'S14 ABC Output'!$A$3:$C$18, 3, 0))</f>
        <v/>
      </c>
      <c r="I155" s="392" t="str">
        <f t="shared" si="8"/>
        <v>WS-12</v>
      </c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</row>
    <row r="156" spans="1:53">
      <c r="A156" s="3">
        <v>4</v>
      </c>
      <c r="B156" s="125" t="str">
        <f>IFERROR(INDEX('S21 Routing Clustered'!$A$3:$A$18, A156), "")</f>
        <v>I-069</v>
      </c>
      <c r="C156" s="3">
        <v>140</v>
      </c>
      <c r="D156" s="391" t="str">
        <f>IFERROR(HLOOKUP(C156, 'S21 Routing Clustered'!$B$2:$I$18, A156+1, 0), "")</f>
        <v/>
      </c>
      <c r="E156" s="391" t="str">
        <f t="shared" si="6"/>
        <v/>
      </c>
      <c r="F156" s="3" t="str">
        <f>IF(E156="", "", VLOOKUP(B156, 'S14 ABC Output'!$A$3:$C$18, 3, 0))</f>
        <v/>
      </c>
      <c r="I156" s="392" t="str">
        <f t="shared" si="8"/>
        <v>WS-13</v>
      </c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</row>
    <row r="157" spans="1:53">
      <c r="A157" s="3">
        <v>4</v>
      </c>
      <c r="B157" s="125" t="str">
        <f>IFERROR(INDEX('S21 Routing Clustered'!$A$3:$A$18, A157), "")</f>
        <v>I-069</v>
      </c>
      <c r="C157" s="3">
        <v>150</v>
      </c>
      <c r="D157" s="391" t="str">
        <f>IFERROR(HLOOKUP(C157, 'S21 Routing Clustered'!$B$2:$I$18, A157+1, 0), "")</f>
        <v/>
      </c>
      <c r="E157" s="391" t="str">
        <f t="shared" si="6"/>
        <v/>
      </c>
      <c r="F157" s="3" t="str">
        <f>IF(E157="", "", VLOOKUP(B157, 'S14 ABC Output'!$A$3:$C$18, 3, 0))</f>
        <v/>
      </c>
      <c r="I157" s="392" t="str">
        <f t="shared" si="8"/>
        <v>WS-14</v>
      </c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</row>
    <row r="158" spans="1:53">
      <c r="A158" s="3">
        <v>4</v>
      </c>
      <c r="B158" s="125" t="str">
        <f>IFERROR(INDEX('S21 Routing Clustered'!$A$3:$A$18, A158), "")</f>
        <v>I-069</v>
      </c>
      <c r="C158" s="3">
        <v>160</v>
      </c>
      <c r="D158" s="391" t="str">
        <f>IFERROR(HLOOKUP(C158, 'S21 Routing Clustered'!$B$2:$I$18, A158+1, 0), "")</f>
        <v/>
      </c>
      <c r="E158" s="391" t="str">
        <f t="shared" si="6"/>
        <v/>
      </c>
      <c r="F158" s="3" t="str">
        <f>IF(E158="", "", VLOOKUP(B158, 'S14 ABC Output'!$A$3:$C$18, 3, 0))</f>
        <v/>
      </c>
      <c r="I158" s="392" t="str">
        <f t="shared" si="8"/>
        <v>WS-15</v>
      </c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</row>
    <row r="159" spans="1:53">
      <c r="A159" s="3">
        <v>4</v>
      </c>
      <c r="B159" s="125" t="str">
        <f>IFERROR(INDEX('S21 Routing Clustered'!$A$3:$A$18, A159), "")</f>
        <v>I-069</v>
      </c>
      <c r="C159" s="3">
        <v>170</v>
      </c>
      <c r="D159" s="391" t="str">
        <f>IFERROR(HLOOKUP(C159, 'S21 Routing Clustered'!$B$2:$I$18, A159+1, 0), "")</f>
        <v/>
      </c>
      <c r="E159" s="391" t="str">
        <f t="shared" si="6"/>
        <v/>
      </c>
      <c r="F159" s="3" t="str">
        <f>IF(E159="", "", VLOOKUP(B159, 'S14 ABC Output'!$A$3:$C$18, 3, 0))</f>
        <v/>
      </c>
      <c r="I159" s="392" t="str">
        <f t="shared" si="8"/>
        <v>WS-16</v>
      </c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</row>
    <row r="160" spans="1:53">
      <c r="A160" s="3">
        <v>4</v>
      </c>
      <c r="B160" s="125" t="str">
        <f>IFERROR(INDEX('S21 Routing Clustered'!$A$3:$A$18, A160), "")</f>
        <v>I-069</v>
      </c>
      <c r="C160" s="3">
        <v>180</v>
      </c>
      <c r="D160" s="391" t="str">
        <f>IFERROR(HLOOKUP(C160, 'S21 Routing Clustered'!$B$2:$I$18, A160+1, 0), "")</f>
        <v/>
      </c>
      <c r="E160" s="391" t="str">
        <f t="shared" si="6"/>
        <v/>
      </c>
      <c r="F160" s="3" t="str">
        <f>IF(E160="", "", VLOOKUP(B160, 'S14 ABC Output'!$A$3:$C$18, 3, 0))</f>
        <v/>
      </c>
      <c r="I160" s="392" t="str">
        <f t="shared" si="8"/>
        <v>WS-17</v>
      </c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</row>
    <row r="161" spans="1:53">
      <c r="A161" s="3">
        <v>4</v>
      </c>
      <c r="B161" s="125" t="str">
        <f>IFERROR(INDEX('S21 Routing Clustered'!$A$3:$A$18, A161), "")</f>
        <v>I-069</v>
      </c>
      <c r="C161" s="3">
        <v>190</v>
      </c>
      <c r="D161" s="391" t="str">
        <f>IFERROR(HLOOKUP(C161, 'S21 Routing Clustered'!$B$2:$I$18, A161+1, 0), "")</f>
        <v/>
      </c>
      <c r="E161" s="391" t="str">
        <f t="shared" si="6"/>
        <v/>
      </c>
      <c r="F161" s="3" t="str">
        <f>IF(E161="", "", VLOOKUP(B161, 'S14 ABC Output'!$A$3:$C$18, 3, 0))</f>
        <v/>
      </c>
      <c r="I161" s="392" t="str">
        <f t="shared" si="8"/>
        <v>WS-18</v>
      </c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</row>
    <row r="162" spans="1:53">
      <c r="A162" s="3">
        <v>4</v>
      </c>
      <c r="B162" s="125" t="str">
        <f>IFERROR(INDEX('S21 Routing Clustered'!$A$3:$A$18, A162), "")</f>
        <v>I-069</v>
      </c>
      <c r="C162" s="3">
        <v>200</v>
      </c>
      <c r="D162" s="391" t="str">
        <f>IFERROR(HLOOKUP(C162, 'S21 Routing Clustered'!$B$2:$I$18, A162+1, 0), "")</f>
        <v/>
      </c>
      <c r="E162" s="391" t="str">
        <f t="shared" si="6"/>
        <v/>
      </c>
      <c r="F162" s="3" t="str">
        <f>IF(E162="", "", VLOOKUP(B162, 'S14 ABC Output'!$A$3:$C$18, 3, 0))</f>
        <v/>
      </c>
      <c r="I162" s="392" t="str">
        <f t="shared" si="8"/>
        <v>WS-19</v>
      </c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</row>
    <row r="163" spans="1:53">
      <c r="A163" s="3">
        <v>4</v>
      </c>
      <c r="B163" s="125" t="str">
        <f>IFERROR(INDEX('S21 Routing Clustered'!$A$3:$A$18, A163), "")</f>
        <v>I-069</v>
      </c>
      <c r="C163" s="3">
        <v>210</v>
      </c>
      <c r="D163" s="391" t="str">
        <f>IFERROR(HLOOKUP(C163, 'S21 Routing Clustered'!$B$2:$I$18, A163+1, 0), "")</f>
        <v/>
      </c>
      <c r="E163" s="391" t="str">
        <f t="shared" si="6"/>
        <v/>
      </c>
      <c r="F163" s="3" t="str">
        <f>IF(E163="", "", VLOOKUP(B163, 'S14 ABC Output'!$A$3:$C$18, 3, 0))</f>
        <v/>
      </c>
      <c r="I163" s="392" t="str">
        <f t="shared" si="8"/>
        <v>WS-20</v>
      </c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</row>
    <row r="164" spans="1:53">
      <c r="A164" s="3">
        <v>4</v>
      </c>
      <c r="B164" s="125" t="str">
        <f>IFERROR(INDEX('S21 Routing Clustered'!$A$3:$A$18, A164), "")</f>
        <v>I-069</v>
      </c>
      <c r="C164" s="3">
        <v>220</v>
      </c>
      <c r="D164" s="391" t="str">
        <f>IFERROR(HLOOKUP(C164, 'S21 Routing Clustered'!$B$2:$I$18, A164+1, 0), "")</f>
        <v/>
      </c>
      <c r="E164" s="391" t="str">
        <f t="shared" si="6"/>
        <v/>
      </c>
      <c r="F164" s="3" t="str">
        <f>IF(E164="", "", VLOOKUP(B164, 'S14 ABC Output'!$A$3:$C$18, 3, 0))</f>
        <v/>
      </c>
      <c r="I164" s="392" t="str">
        <f t="shared" si="8"/>
        <v>WS-21</v>
      </c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</row>
    <row r="165" spans="1:53">
      <c r="A165" s="3">
        <v>4</v>
      </c>
      <c r="B165" s="125" t="str">
        <f>IFERROR(INDEX('S21 Routing Clustered'!$A$3:$A$18, A165), "")</f>
        <v>I-069</v>
      </c>
      <c r="C165" s="3">
        <v>230</v>
      </c>
      <c r="D165" s="391" t="str">
        <f>IFERROR(HLOOKUP(C165, 'S21 Routing Clustered'!$B$2:$I$18, A165+1, 0), "")</f>
        <v/>
      </c>
      <c r="E165" s="391" t="str">
        <f t="shared" si="6"/>
        <v/>
      </c>
      <c r="F165" s="3" t="str">
        <f>IF(E165="", "", VLOOKUP(B165, 'S14 ABC Output'!$A$3:$C$18, 3, 0))</f>
        <v/>
      </c>
      <c r="I165" s="392" t="str">
        <f t="shared" si="8"/>
        <v>WS-22</v>
      </c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</row>
    <row r="166" spans="1:53">
      <c r="A166" s="3">
        <v>4</v>
      </c>
      <c r="B166" s="125" t="str">
        <f>IFERROR(INDEX('S21 Routing Clustered'!$A$3:$A$18, A166), "")</f>
        <v>I-069</v>
      </c>
      <c r="C166" s="3">
        <v>240</v>
      </c>
      <c r="D166" s="391" t="str">
        <f>IFERROR(HLOOKUP(C166, 'S21 Routing Clustered'!$B$2:$I$18, A166+1, 0), "")</f>
        <v/>
      </c>
      <c r="E166" s="391" t="str">
        <f t="shared" si="6"/>
        <v/>
      </c>
      <c r="F166" s="3" t="str">
        <f>IF(E166="", "", VLOOKUP(B166, 'S14 ABC Output'!$A$3:$C$18, 3, 0))</f>
        <v/>
      </c>
      <c r="I166" s="392" t="str">
        <f t="shared" si="8"/>
        <v>WS-23</v>
      </c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</row>
    <row r="167" spans="1:53">
      <c r="A167" s="3">
        <v>4</v>
      </c>
      <c r="B167" s="125" t="str">
        <f>IFERROR(INDEX('S21 Routing Clustered'!$A$3:$A$18, A167), "")</f>
        <v>I-069</v>
      </c>
      <c r="C167" s="3">
        <v>250</v>
      </c>
      <c r="D167" s="391" t="str">
        <f>IFERROR(HLOOKUP(C167, 'S21 Routing Clustered'!$B$2:$I$18, A167+1, 0), "")</f>
        <v/>
      </c>
      <c r="E167" s="391" t="str">
        <f t="shared" si="6"/>
        <v/>
      </c>
      <c r="F167" s="3" t="str">
        <f>IF(E167="", "", VLOOKUP(B167, 'S14 ABC Output'!$A$3:$C$18, 3, 0))</f>
        <v/>
      </c>
      <c r="I167" s="392" t="str">
        <f t="shared" si="8"/>
        <v>WS-24</v>
      </c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</row>
    <row r="168" spans="1:53">
      <c r="A168" s="3">
        <v>4</v>
      </c>
      <c r="B168" s="125" t="str">
        <f>IFERROR(INDEX('S21 Routing Clustered'!$A$3:$A$18, A168), "")</f>
        <v>I-069</v>
      </c>
      <c r="C168" s="3">
        <v>260</v>
      </c>
      <c r="D168" s="391" t="str">
        <f>IFERROR(HLOOKUP(C168, 'S21 Routing Clustered'!$B$2:$I$18, A168+1, 0), "")</f>
        <v/>
      </c>
      <c r="E168" s="391" t="str">
        <f t="shared" si="6"/>
        <v/>
      </c>
      <c r="F168" s="3" t="str">
        <f>IF(E168="", "", VLOOKUP(B168, 'S14 ABC Output'!$A$3:$C$18, 3, 0))</f>
        <v/>
      </c>
      <c r="I168" s="392" t="str">
        <f t="shared" si="8"/>
        <v>WS-25</v>
      </c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>
        <v>36524</v>
      </c>
      <c r="AR168" s="3"/>
      <c r="AS168" s="3"/>
      <c r="AT168" s="3"/>
      <c r="AU168" s="3"/>
      <c r="AV168" s="3"/>
      <c r="AW168" s="3"/>
      <c r="AX168" s="3"/>
      <c r="AY168" s="3"/>
      <c r="AZ168" s="3"/>
      <c r="BA168" s="3"/>
    </row>
    <row r="169" spans="1:53">
      <c r="A169" s="3">
        <v>4</v>
      </c>
      <c r="B169" s="125" t="str">
        <f>IFERROR(INDEX('S21 Routing Clustered'!$A$3:$A$18, A169), "")</f>
        <v>I-069</v>
      </c>
      <c r="C169" s="3">
        <v>270</v>
      </c>
      <c r="D169" s="391" t="str">
        <f>IFERROR(HLOOKUP(C169, 'S21 Routing Clustered'!$B$2:$I$18, A169+1, 0), "")</f>
        <v/>
      </c>
      <c r="E169" s="391" t="str">
        <f t="shared" si="6"/>
        <v/>
      </c>
      <c r="F169" s="3" t="str">
        <f>IF(E169="", "", VLOOKUP(B169, 'S14 ABC Output'!$A$3:$C$18, 3, 0))</f>
        <v/>
      </c>
      <c r="I169" s="392" t="str">
        <f t="shared" si="8"/>
        <v>WS-26</v>
      </c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</row>
    <row r="170" spans="1:53">
      <c r="A170" s="3">
        <v>4</v>
      </c>
      <c r="B170" s="125" t="str">
        <f>IFERROR(INDEX('S21 Routing Clustered'!$A$3:$A$18, A170), "")</f>
        <v>I-069</v>
      </c>
      <c r="C170" s="3">
        <v>280</v>
      </c>
      <c r="D170" s="391" t="str">
        <f>IFERROR(HLOOKUP(C170, 'S21 Routing Clustered'!$B$2:$I$18, A170+1, 0), "")</f>
        <v/>
      </c>
      <c r="E170" s="391" t="str">
        <f t="shared" si="6"/>
        <v/>
      </c>
      <c r="F170" s="3" t="str">
        <f>IF(E170="", "", VLOOKUP(B170, 'S14 ABC Output'!$A$3:$C$18, 3, 0))</f>
        <v/>
      </c>
      <c r="I170" s="392" t="str">
        <f t="shared" si="8"/>
        <v>WS-27</v>
      </c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</row>
    <row r="171" spans="1:53">
      <c r="A171" s="3">
        <v>4</v>
      </c>
      <c r="B171" s="125" t="str">
        <f>IFERROR(INDEX('S21 Routing Clustered'!$A$3:$A$18, A171), "")</f>
        <v>I-069</v>
      </c>
      <c r="C171" s="3">
        <v>290</v>
      </c>
      <c r="D171" s="391" t="str">
        <f>IFERROR(HLOOKUP(C171, 'S21 Routing Clustered'!$B$2:$I$18, A171+1, 0), "")</f>
        <v/>
      </c>
      <c r="E171" s="391" t="str">
        <f t="shared" si="6"/>
        <v/>
      </c>
      <c r="F171" s="3" t="str">
        <f>IF(E171="", "", VLOOKUP(B171, 'S14 ABC Output'!$A$3:$C$18, 3, 0))</f>
        <v/>
      </c>
      <c r="I171" s="392" t="str">
        <f t="shared" si="8"/>
        <v>WS-28</v>
      </c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</row>
    <row r="172" spans="1:53">
      <c r="A172" s="3">
        <v>4</v>
      </c>
      <c r="B172" s="125" t="str">
        <f>IFERROR(INDEX('S21 Routing Clustered'!$A$3:$A$18, A172), "")</f>
        <v>I-069</v>
      </c>
      <c r="C172" s="3">
        <v>300</v>
      </c>
      <c r="D172" s="391" t="str">
        <f>IFERROR(HLOOKUP(C172, 'S21 Routing Clustered'!$B$2:$I$18, A172+1, 0), "")</f>
        <v/>
      </c>
      <c r="E172" s="391" t="str">
        <f t="shared" si="6"/>
        <v/>
      </c>
      <c r="F172" s="3" t="str">
        <f>IF(E172="", "", VLOOKUP(B172, 'S14 ABC Output'!$A$3:$C$18, 3, 0))</f>
        <v/>
      </c>
      <c r="I172" s="392" t="str">
        <f t="shared" si="8"/>
        <v>WS-29</v>
      </c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</row>
    <row r="173" spans="1:53">
      <c r="A173" s="3">
        <v>4</v>
      </c>
      <c r="B173" s="125" t="str">
        <f>IFERROR(INDEX('S21 Routing Clustered'!$A$3:$A$18, A173), "")</f>
        <v>I-069</v>
      </c>
      <c r="C173" s="3">
        <v>310</v>
      </c>
      <c r="D173" s="391" t="str">
        <f>IFERROR(HLOOKUP(C173, 'S21 Routing Clustered'!$B$2:$I$18, A173+1, 0), "")</f>
        <v/>
      </c>
      <c r="E173" s="391" t="str">
        <f t="shared" si="6"/>
        <v/>
      </c>
      <c r="F173" s="3" t="str">
        <f>IF(E173="", "", VLOOKUP(B173, 'S14 ABC Output'!$A$3:$C$18, 3, 0))</f>
        <v/>
      </c>
      <c r="I173" s="392" t="str">
        <f t="shared" si="8"/>
        <v>WS-30</v>
      </c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</row>
    <row r="174" spans="1:53">
      <c r="A174" s="3">
        <v>4</v>
      </c>
      <c r="B174" s="125" t="str">
        <f>IFERROR(INDEX('S21 Routing Clustered'!$A$3:$A$18, A174), "")</f>
        <v>I-069</v>
      </c>
      <c r="C174" s="3">
        <v>320</v>
      </c>
      <c r="D174" s="391" t="str">
        <f>IFERROR(HLOOKUP(C174, 'S21 Routing Clustered'!$B$2:$I$18, A174+1, 0), "")</f>
        <v/>
      </c>
      <c r="E174" s="391" t="str">
        <f t="shared" si="6"/>
        <v/>
      </c>
      <c r="F174" s="3" t="str">
        <f>IF(E174="", "", VLOOKUP(B174, 'S14 ABC Output'!$A$3:$C$18, 3, 0))</f>
        <v/>
      </c>
      <c r="I174" s="392" t="str">
        <f t="shared" si="8"/>
        <v>WS-31</v>
      </c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</row>
    <row r="175" spans="1:53">
      <c r="A175" s="3">
        <v>4</v>
      </c>
      <c r="B175" s="125" t="str">
        <f>IFERROR(INDEX('S21 Routing Clustered'!$A$3:$A$18, A175), "")</f>
        <v>I-069</v>
      </c>
      <c r="C175" s="3">
        <v>330</v>
      </c>
      <c r="D175" s="391" t="str">
        <f>IFERROR(HLOOKUP(C175, 'S21 Routing Clustered'!$B$2:$I$18, A175+1, 0), "")</f>
        <v/>
      </c>
      <c r="E175" s="391" t="str">
        <f t="shared" si="6"/>
        <v/>
      </c>
      <c r="F175" s="3" t="str">
        <f>IF(E175="", "", VLOOKUP(B175, 'S14 ABC Output'!$A$3:$C$18, 3, 0))</f>
        <v/>
      </c>
      <c r="I175" s="392" t="str">
        <f t="shared" si="8"/>
        <v>WS-32</v>
      </c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</row>
    <row r="176" spans="1:53">
      <c r="A176" s="3">
        <v>4</v>
      </c>
      <c r="B176" s="125" t="str">
        <f>IFERROR(INDEX('S21 Routing Clustered'!$A$3:$A$18, A176), "")</f>
        <v>I-069</v>
      </c>
      <c r="C176" s="3">
        <v>340</v>
      </c>
      <c r="D176" s="391" t="str">
        <f>IFERROR(HLOOKUP(C176, 'S21 Routing Clustered'!$B$2:$I$18, A176+1, 0), "")</f>
        <v/>
      </c>
      <c r="E176" s="391" t="str">
        <f t="shared" si="6"/>
        <v/>
      </c>
      <c r="F176" s="3" t="str">
        <f>IF(E176="", "", VLOOKUP(B176, 'S14 ABC Output'!$A$3:$C$18, 3, 0))</f>
        <v/>
      </c>
      <c r="I176" s="392" t="str">
        <f t="shared" si="8"/>
        <v>WS-33</v>
      </c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</row>
    <row r="177" spans="1:53">
      <c r="A177" s="3">
        <v>4</v>
      </c>
      <c r="B177" s="125" t="str">
        <f>IFERROR(INDEX('S21 Routing Clustered'!$A$3:$A$18, A177), "")</f>
        <v>I-069</v>
      </c>
      <c r="C177" s="3">
        <v>350</v>
      </c>
      <c r="D177" s="391" t="str">
        <f>IFERROR(HLOOKUP(C177, 'S21 Routing Clustered'!$B$2:$I$18, A177+1, 0), "")</f>
        <v/>
      </c>
      <c r="E177" s="391" t="str">
        <f t="shared" si="6"/>
        <v/>
      </c>
      <c r="F177" s="3" t="str">
        <f>IF(E177="", "", VLOOKUP(B177, 'S14 ABC Output'!$A$3:$C$18, 3, 0))</f>
        <v/>
      </c>
      <c r="I177" s="392" t="str">
        <f t="shared" si="8"/>
        <v>WS-34</v>
      </c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>
        <v>36524</v>
      </c>
    </row>
    <row r="178" spans="1:53">
      <c r="A178" s="3">
        <v>4</v>
      </c>
      <c r="B178" s="125" t="str">
        <f>IFERROR(INDEX('S21 Routing Clustered'!$A$3:$A$18, A178), "")</f>
        <v>I-069</v>
      </c>
      <c r="C178" s="3">
        <v>360</v>
      </c>
      <c r="D178" s="391" t="str">
        <f>IFERROR(HLOOKUP(C178, 'S21 Routing Clustered'!$B$2:$I$18, A178+1, 0), "")</f>
        <v/>
      </c>
      <c r="E178" s="391" t="str">
        <f t="shared" si="6"/>
        <v/>
      </c>
      <c r="F178" s="3" t="str">
        <f>IF(E178="", "", VLOOKUP(B178, 'S14 ABC Output'!$A$3:$C$18, 3, 0))</f>
        <v/>
      </c>
      <c r="I178" s="392" t="str">
        <f t="shared" si="8"/>
        <v>WS-35</v>
      </c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</row>
    <row r="179" spans="1:53">
      <c r="A179" s="3">
        <v>4</v>
      </c>
      <c r="B179" s="125" t="str">
        <f>IFERROR(INDEX('S21 Routing Clustered'!$A$3:$A$18, A179), "")</f>
        <v>I-069</v>
      </c>
      <c r="C179" s="3">
        <v>370</v>
      </c>
      <c r="D179" s="391" t="str">
        <f>IFERROR(HLOOKUP(C179, 'S21 Routing Clustered'!$B$2:$I$18, A179+1, 0), "")</f>
        <v/>
      </c>
      <c r="E179" s="391" t="str">
        <f t="shared" si="6"/>
        <v/>
      </c>
      <c r="F179" s="3" t="str">
        <f>IF(E179="", "", VLOOKUP(B179, 'S14 ABC Output'!$A$3:$C$18, 3, 0))</f>
        <v/>
      </c>
      <c r="I179" s="392" t="str">
        <f t="shared" si="8"/>
        <v>WS-36</v>
      </c>
      <c r="J179" s="3"/>
      <c r="K179" s="3"/>
      <c r="L179" s="3"/>
      <c r="M179" s="3"/>
      <c r="N179" s="3">
        <v>36524</v>
      </c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</row>
    <row r="180" spans="1:53">
      <c r="A180" s="3">
        <v>4</v>
      </c>
      <c r="B180" s="125" t="str">
        <f>IFERROR(INDEX('S21 Routing Clustered'!$A$3:$A$18, A180), "")</f>
        <v>I-069</v>
      </c>
      <c r="C180" s="3">
        <v>380</v>
      </c>
      <c r="D180" s="391" t="str">
        <f>IFERROR(HLOOKUP(C180, 'S21 Routing Clustered'!$B$2:$I$18, A180+1, 0), "")</f>
        <v/>
      </c>
      <c r="E180" s="391" t="str">
        <f t="shared" si="6"/>
        <v/>
      </c>
      <c r="F180" s="3" t="str">
        <f>IF(E180="", "", VLOOKUP(B180, 'S14 ABC Output'!$A$3:$C$18, 3, 0))</f>
        <v/>
      </c>
      <c r="I180" s="392" t="str">
        <f t="shared" si="8"/>
        <v>WS-37</v>
      </c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</row>
    <row r="181" spans="1:53">
      <c r="A181" s="3">
        <v>4</v>
      </c>
      <c r="B181" s="125" t="str">
        <f>IFERROR(INDEX('S21 Routing Clustered'!$A$3:$A$18, A181), "")</f>
        <v>I-069</v>
      </c>
      <c r="C181" s="3">
        <v>390</v>
      </c>
      <c r="D181" s="391" t="str">
        <f>IFERROR(HLOOKUP(C181, 'S21 Routing Clustered'!$B$2:$I$18, A181+1, 0), "")</f>
        <v/>
      </c>
      <c r="E181" s="391" t="str">
        <f t="shared" si="6"/>
        <v/>
      </c>
      <c r="F181" s="3" t="str">
        <f>IF(E181="", "", VLOOKUP(B181, 'S14 ABC Output'!$A$3:$C$18, 3, 0))</f>
        <v/>
      </c>
      <c r="I181" s="392" t="str">
        <f t="shared" si="8"/>
        <v>WS-38</v>
      </c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</row>
    <row r="182" spans="1:53">
      <c r="A182" s="3">
        <v>4</v>
      </c>
      <c r="B182" s="125" t="str">
        <f>IFERROR(INDEX('S21 Routing Clustered'!$A$3:$A$18, A182), "")</f>
        <v>I-069</v>
      </c>
      <c r="C182" s="3">
        <v>400</v>
      </c>
      <c r="D182" s="391" t="str">
        <f>IFERROR(HLOOKUP(C182, 'S21 Routing Clustered'!$B$2:$I$18, A182+1, 0), "")</f>
        <v/>
      </c>
      <c r="E182" s="391" t="str">
        <f t="shared" si="6"/>
        <v/>
      </c>
      <c r="F182" s="3" t="str">
        <f>IF(E182="", "", VLOOKUP(B182, 'S14 ABC Output'!$A$3:$C$18, 3, 0))</f>
        <v/>
      </c>
      <c r="I182" s="392" t="str">
        <f t="shared" si="8"/>
        <v>WS-39</v>
      </c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</row>
    <row r="183" spans="1:53">
      <c r="A183" s="3">
        <v>4</v>
      </c>
      <c r="B183" s="125" t="str">
        <f>IFERROR(INDEX('S21 Routing Clustered'!$A$3:$A$18, A183), "")</f>
        <v>I-069</v>
      </c>
      <c r="C183" s="3">
        <v>410</v>
      </c>
      <c r="D183" s="391" t="str">
        <f>IFERROR(HLOOKUP(C183, 'S21 Routing Clustered'!$B$2:$I$18, A183+1, 0), "")</f>
        <v/>
      </c>
      <c r="E183" s="391" t="str">
        <f t="shared" si="6"/>
        <v/>
      </c>
      <c r="F183" s="3" t="str">
        <f>IF(E183="", "", VLOOKUP(B183, 'S14 ABC Output'!$A$3:$C$18, 3, 0))</f>
        <v/>
      </c>
      <c r="I183" s="392" t="str">
        <f t="shared" si="8"/>
        <v>WS-40</v>
      </c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</row>
    <row r="184" spans="1:53">
      <c r="A184" s="3">
        <v>4</v>
      </c>
      <c r="B184" s="125" t="str">
        <f>IFERROR(INDEX('S21 Routing Clustered'!$A$3:$A$18, A184), "")</f>
        <v>I-069</v>
      </c>
      <c r="C184" s="3">
        <v>420</v>
      </c>
      <c r="D184" s="391" t="str">
        <f>IFERROR(HLOOKUP(C184, 'S21 Routing Clustered'!$B$2:$I$18, A184+1, 0), "")</f>
        <v/>
      </c>
      <c r="E184" s="391" t="str">
        <f t="shared" si="6"/>
        <v/>
      </c>
      <c r="F184" s="3" t="str">
        <f>IF(E184="", "", VLOOKUP(B184, 'S14 ABC Output'!$A$3:$C$18, 3, 0))</f>
        <v/>
      </c>
      <c r="I184" s="392" t="str">
        <f t="shared" si="8"/>
        <v>WS-41</v>
      </c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</row>
    <row r="185" spans="1:53">
      <c r="A185" s="3">
        <v>4</v>
      </c>
      <c r="B185" s="125" t="str">
        <f>IFERROR(INDEX('S21 Routing Clustered'!$A$3:$A$18, A185), "")</f>
        <v>I-069</v>
      </c>
      <c r="C185" s="3">
        <v>430</v>
      </c>
      <c r="D185" s="391" t="str">
        <f>IFERROR(HLOOKUP(C185, 'S21 Routing Clustered'!$B$2:$I$18, A185+1, 0), "")</f>
        <v/>
      </c>
      <c r="E185" s="391" t="str">
        <f t="shared" si="6"/>
        <v/>
      </c>
      <c r="F185" s="3" t="str">
        <f>IF(E185="", "", VLOOKUP(B185, 'S14 ABC Output'!$A$3:$C$18, 3, 0))</f>
        <v/>
      </c>
      <c r="I185" s="392" t="str">
        <f t="shared" si="8"/>
        <v>WS-42</v>
      </c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</row>
    <row r="186" spans="1:53">
      <c r="A186" s="3">
        <v>4</v>
      </c>
      <c r="B186" s="125" t="str">
        <f>IFERROR(INDEX('S21 Routing Clustered'!$A$3:$A$18, A186), "")</f>
        <v>I-069</v>
      </c>
      <c r="C186" s="3">
        <v>440</v>
      </c>
      <c r="D186" s="391" t="str">
        <f>IFERROR(HLOOKUP(C186, 'S21 Routing Clustered'!$B$2:$I$18, A186+1, 0), "")</f>
        <v/>
      </c>
      <c r="E186" s="391" t="str">
        <f t="shared" si="6"/>
        <v/>
      </c>
      <c r="F186" s="3" t="str">
        <f>IF(E186="", "", VLOOKUP(B186, 'S14 ABC Output'!$A$3:$C$18, 3, 0))</f>
        <v/>
      </c>
      <c r="I186" s="392" t="str">
        <f t="shared" si="8"/>
        <v>WS-43</v>
      </c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>
        <v>36524</v>
      </c>
      <c r="AT186" s="3"/>
      <c r="AU186" s="3"/>
      <c r="AV186" s="3"/>
      <c r="AW186" s="3"/>
      <c r="AX186" s="3"/>
      <c r="AY186" s="3"/>
      <c r="AZ186" s="3"/>
      <c r="BA186" s="3"/>
    </row>
    <row r="187" spans="1:53">
      <c r="A187" s="3">
        <v>4</v>
      </c>
      <c r="B187" s="125" t="str">
        <f>IFERROR(INDEX('S21 Routing Clustered'!$A$3:$A$18, A187), "")</f>
        <v>I-069</v>
      </c>
      <c r="C187" s="3">
        <v>450</v>
      </c>
      <c r="D187" s="391" t="str">
        <f>IFERROR(HLOOKUP(C187, 'S21 Routing Clustered'!$B$2:$I$18, A187+1, 0), "")</f>
        <v/>
      </c>
      <c r="E187" s="391" t="str">
        <f t="shared" si="6"/>
        <v/>
      </c>
      <c r="F187" s="3" t="str">
        <f>IF(E187="", "", VLOOKUP(B187, 'S14 ABC Output'!$A$3:$C$18, 3, 0))</f>
        <v/>
      </c>
      <c r="I187" s="392" t="str">
        <f t="shared" si="8"/>
        <v>WS-44</v>
      </c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</row>
    <row r="188" spans="1:53">
      <c r="B188" s="125" t="str">
        <f>IFERROR(INDEX('S21 Routing Clustered'!$A$3:$A$18, A188), "")</f>
        <v/>
      </c>
      <c r="D188" s="391" t="str">
        <f>IFERROR(HLOOKUP(C188, 'S21 Routing Clustered'!$B$2:$I$18, A188+1, 0), "")</f>
        <v/>
      </c>
      <c r="E188" s="391" t="str">
        <f t="shared" si="6"/>
        <v/>
      </c>
      <c r="F188" s="3" t="str">
        <f>IF(E188="", "", VLOOKUP(B188, 'S14 ABC Output'!$A$3:$C$18, 3, 0))</f>
        <v/>
      </c>
      <c r="I188" s="392"/>
    </row>
    <row r="189" spans="1:53">
      <c r="B189" s="125" t="str">
        <f>IFERROR(INDEX('S21 Routing Clustered'!$A$3:$A$18, A189), "")</f>
        <v/>
      </c>
      <c r="D189" s="391" t="str">
        <f>IFERROR(HLOOKUP(C189, 'S21 Routing Clustered'!$B$2:$I$18, A189+1, 0), "")</f>
        <v/>
      </c>
      <c r="E189" s="391" t="str">
        <f t="shared" si="6"/>
        <v/>
      </c>
      <c r="F189" s="3" t="str">
        <f>IF(E189="", "", VLOOKUP(B189, 'S14 ABC Output'!$A$3:$C$18, 3, 0))</f>
        <v/>
      </c>
      <c r="I189" s="392"/>
    </row>
    <row r="190" spans="1:53">
      <c r="A190" s="3">
        <v>5</v>
      </c>
      <c r="B190" s="125" t="str">
        <f>IFERROR(INDEX('S21 Routing Clustered'!$A$3:$A$18, A190), "")</f>
        <v>I-070</v>
      </c>
      <c r="C190" s="3">
        <v>10</v>
      </c>
      <c r="D190" s="391" t="str">
        <f>IFERROR(HLOOKUP(C190, 'S21 Routing Clustered'!$B$2:$I$18, A190+1, 0), "")</f>
        <v>WS-43</v>
      </c>
      <c r="E190" s="391" t="str">
        <f t="shared" si="6"/>
        <v>WS-36</v>
      </c>
      <c r="F190" s="3">
        <f>IF(E190="", "", VLOOKUP(B190, 'S14 ABC Output'!$A$3:$C$18, 3, 0))</f>
        <v>36502</v>
      </c>
      <c r="I190" s="392"/>
      <c r="J190" s="392" t="str">
        <f>J143</f>
        <v>WS-01</v>
      </c>
      <c r="K190" s="392" t="str">
        <f t="shared" ref="K190:BA190" si="9">K143</f>
        <v>WS-02</v>
      </c>
      <c r="L190" s="392" t="str">
        <f t="shared" si="9"/>
        <v>WS-03</v>
      </c>
      <c r="M190" s="392" t="str">
        <f t="shared" si="9"/>
        <v>WS-04</v>
      </c>
      <c r="N190" s="392" t="str">
        <f t="shared" si="9"/>
        <v>WS-05</v>
      </c>
      <c r="O190" s="392" t="str">
        <f t="shared" si="9"/>
        <v>WS-06</v>
      </c>
      <c r="P190" s="392" t="str">
        <f t="shared" si="9"/>
        <v>WS-07</v>
      </c>
      <c r="Q190" s="392" t="str">
        <f t="shared" si="9"/>
        <v>WS-08</v>
      </c>
      <c r="R190" s="392" t="str">
        <f t="shared" si="9"/>
        <v>WS-09</v>
      </c>
      <c r="S190" s="392" t="str">
        <f t="shared" si="9"/>
        <v>WS-10</v>
      </c>
      <c r="T190" s="392" t="str">
        <f t="shared" si="9"/>
        <v>WS-11</v>
      </c>
      <c r="U190" s="392" t="str">
        <f t="shared" si="9"/>
        <v>WS-12</v>
      </c>
      <c r="V190" s="392" t="str">
        <f t="shared" si="9"/>
        <v>WS-13</v>
      </c>
      <c r="W190" s="392" t="str">
        <f t="shared" si="9"/>
        <v>WS-14</v>
      </c>
      <c r="X190" s="392" t="str">
        <f t="shared" si="9"/>
        <v>WS-15</v>
      </c>
      <c r="Y190" s="392" t="str">
        <f t="shared" si="9"/>
        <v>WS-16</v>
      </c>
      <c r="Z190" s="392" t="str">
        <f t="shared" si="9"/>
        <v>WS-17</v>
      </c>
      <c r="AA190" s="392" t="str">
        <f t="shared" si="9"/>
        <v>WS-18</v>
      </c>
      <c r="AB190" s="392" t="str">
        <f t="shared" si="9"/>
        <v>WS-19</v>
      </c>
      <c r="AC190" s="392" t="str">
        <f t="shared" si="9"/>
        <v>WS-20</v>
      </c>
      <c r="AD190" s="392" t="str">
        <f t="shared" si="9"/>
        <v>WS-21</v>
      </c>
      <c r="AE190" s="392" t="str">
        <f t="shared" si="9"/>
        <v>WS-22</v>
      </c>
      <c r="AF190" s="392" t="str">
        <f t="shared" si="9"/>
        <v>WS-23</v>
      </c>
      <c r="AG190" s="392" t="str">
        <f t="shared" si="9"/>
        <v>WS-24</v>
      </c>
      <c r="AH190" s="392" t="str">
        <f t="shared" si="9"/>
        <v>WS-25</v>
      </c>
      <c r="AI190" s="392" t="str">
        <f t="shared" si="9"/>
        <v>WS-26</v>
      </c>
      <c r="AJ190" s="392" t="str">
        <f t="shared" si="9"/>
        <v>WS-27</v>
      </c>
      <c r="AK190" s="392" t="str">
        <f t="shared" si="9"/>
        <v>WS-28</v>
      </c>
      <c r="AL190" s="392" t="str">
        <f t="shared" si="9"/>
        <v>WS-29</v>
      </c>
      <c r="AM190" s="392" t="str">
        <f t="shared" si="9"/>
        <v>WS-30</v>
      </c>
      <c r="AN190" s="392" t="str">
        <f t="shared" si="9"/>
        <v>WS-31</v>
      </c>
      <c r="AO190" s="392" t="str">
        <f t="shared" si="9"/>
        <v>WS-32</v>
      </c>
      <c r="AP190" s="392" t="str">
        <f t="shared" si="9"/>
        <v>WS-33</v>
      </c>
      <c r="AQ190" s="392" t="str">
        <f t="shared" si="9"/>
        <v>WS-34</v>
      </c>
      <c r="AR190" s="392" t="str">
        <f t="shared" si="9"/>
        <v>WS-35</v>
      </c>
      <c r="AS190" s="392" t="str">
        <f t="shared" si="9"/>
        <v>WS-36</v>
      </c>
      <c r="AT190" s="392" t="str">
        <f t="shared" si="9"/>
        <v>WS-37</v>
      </c>
      <c r="AU190" s="392" t="str">
        <f t="shared" si="9"/>
        <v>WS-38</v>
      </c>
      <c r="AV190" s="392" t="str">
        <f t="shared" si="9"/>
        <v>WS-39</v>
      </c>
      <c r="AW190" s="392" t="str">
        <f t="shared" si="9"/>
        <v>WS-40</v>
      </c>
      <c r="AX190" s="392" t="str">
        <f t="shared" si="9"/>
        <v>WS-41</v>
      </c>
      <c r="AY190" s="392" t="str">
        <f t="shared" si="9"/>
        <v>WS-42</v>
      </c>
      <c r="AZ190" s="392" t="str">
        <f t="shared" si="9"/>
        <v>WS-43</v>
      </c>
      <c r="BA190" s="392" t="str">
        <f t="shared" si="9"/>
        <v>WS-44</v>
      </c>
    </row>
    <row r="191" spans="1:53">
      <c r="A191" s="3">
        <v>5</v>
      </c>
      <c r="B191" s="125" t="str">
        <f>IFERROR(INDEX('S21 Routing Clustered'!$A$3:$A$18, A191), "")</f>
        <v>I-070</v>
      </c>
      <c r="C191" s="3">
        <v>20</v>
      </c>
      <c r="D191" s="391" t="str">
        <f>IFERROR(HLOOKUP(C191, 'S21 Routing Clustered'!$B$2:$I$18, A191+1, 0), "")</f>
        <v>WS-36</v>
      </c>
      <c r="E191" s="391" t="str">
        <f t="shared" si="6"/>
        <v>WS-05</v>
      </c>
      <c r="F191" s="3">
        <f>IF(E191="", "", VLOOKUP(B191, 'S14 ABC Output'!$A$3:$C$18, 3, 0))</f>
        <v>36502</v>
      </c>
      <c r="I191" s="392" t="str">
        <f>I144</f>
        <v>WS-01</v>
      </c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</row>
    <row r="192" spans="1:53">
      <c r="A192" s="3">
        <v>5</v>
      </c>
      <c r="B192" s="125" t="str">
        <f>IFERROR(INDEX('S21 Routing Clustered'!$A$3:$A$18, A192), "")</f>
        <v>I-070</v>
      </c>
      <c r="C192" s="3">
        <v>30</v>
      </c>
      <c r="D192" s="391" t="str">
        <f>IFERROR(HLOOKUP(C192, 'S21 Routing Clustered'!$B$2:$I$18, A192+1, 0), "")</f>
        <v>WS-05</v>
      </c>
      <c r="E192" s="391" t="str">
        <f t="shared" si="6"/>
        <v>WS-25</v>
      </c>
      <c r="F192" s="3">
        <f>IF(E192="", "", VLOOKUP(B192, 'S14 ABC Output'!$A$3:$C$18, 3, 0))</f>
        <v>36502</v>
      </c>
      <c r="I192" s="392" t="str">
        <f t="shared" ref="I192:I234" si="10">I145</f>
        <v>WS-02</v>
      </c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</row>
    <row r="193" spans="1:53">
      <c r="A193" s="3">
        <v>5</v>
      </c>
      <c r="B193" s="125" t="str">
        <f>IFERROR(INDEX('S21 Routing Clustered'!$A$3:$A$18, A193), "")</f>
        <v>I-070</v>
      </c>
      <c r="C193" s="3">
        <v>40</v>
      </c>
      <c r="D193" s="391" t="str">
        <f>IFERROR(HLOOKUP(C193, 'S21 Routing Clustered'!$B$2:$I$18, A193+1, 0), "")</f>
        <v>WS-25</v>
      </c>
      <c r="E193" s="391" t="str">
        <f t="shared" si="6"/>
        <v>WS-34</v>
      </c>
      <c r="F193" s="3">
        <f>IF(E193="", "", VLOOKUP(B193, 'S14 ABC Output'!$A$3:$C$18, 3, 0))</f>
        <v>36502</v>
      </c>
      <c r="I193" s="392" t="str">
        <f t="shared" si="10"/>
        <v>WS-03</v>
      </c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</row>
    <row r="194" spans="1:53">
      <c r="A194" s="3">
        <v>5</v>
      </c>
      <c r="B194" s="125" t="str">
        <f>IFERROR(INDEX('S21 Routing Clustered'!$A$3:$A$18, A194), "")</f>
        <v>I-070</v>
      </c>
      <c r="C194" s="3">
        <v>50</v>
      </c>
      <c r="D194" s="391" t="str">
        <f>IFERROR(HLOOKUP(C194, 'S21 Routing Clustered'!$B$2:$I$18, A194+1, 0), "")</f>
        <v>WS-34</v>
      </c>
      <c r="E194" s="391" t="str">
        <f t="shared" si="6"/>
        <v>WS-44</v>
      </c>
      <c r="F194" s="3">
        <f>IF(E194="", "", VLOOKUP(B194, 'S14 ABC Output'!$A$3:$C$18, 3, 0))</f>
        <v>36502</v>
      </c>
      <c r="I194" s="392" t="str">
        <f t="shared" si="10"/>
        <v>WS-04</v>
      </c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</row>
    <row r="195" spans="1:53">
      <c r="A195" s="3">
        <v>5</v>
      </c>
      <c r="B195" s="125" t="str">
        <f>IFERROR(INDEX('S21 Routing Clustered'!$A$3:$A$18, A195), "")</f>
        <v>I-070</v>
      </c>
      <c r="C195" s="3">
        <v>60</v>
      </c>
      <c r="D195" s="391" t="str">
        <f>IFERROR(HLOOKUP(C195, 'S21 Routing Clustered'!$B$2:$I$18, A195+1, 0), "")</f>
        <v>WS-44</v>
      </c>
      <c r="E195" s="391" t="str">
        <f t="shared" ref="E195:E258" si="11">IF(D195="", "", D196)</f>
        <v/>
      </c>
      <c r="F195" s="3" t="str">
        <f>IF(E195="", "", VLOOKUP(B195, 'S14 ABC Output'!$A$3:$C$18, 3, 0))</f>
        <v/>
      </c>
      <c r="I195" s="392" t="str">
        <f t="shared" si="10"/>
        <v>WS-05</v>
      </c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>
        <v>36502</v>
      </c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</row>
    <row r="196" spans="1:53">
      <c r="A196" s="3">
        <v>5</v>
      </c>
      <c r="B196" s="125" t="str">
        <f>IFERROR(INDEX('S21 Routing Clustered'!$A$3:$A$18, A196), "")</f>
        <v>I-070</v>
      </c>
      <c r="C196" s="3">
        <v>70</v>
      </c>
      <c r="D196" s="391" t="str">
        <f>IFERROR(HLOOKUP(C196, 'S21 Routing Clustered'!$B$2:$I$18, A196+1, 0), "")</f>
        <v/>
      </c>
      <c r="E196" s="391" t="str">
        <f t="shared" si="11"/>
        <v/>
      </c>
      <c r="F196" s="3" t="str">
        <f>IF(E196="", "", VLOOKUP(B196, 'S14 ABC Output'!$A$3:$C$18, 3, 0))</f>
        <v/>
      </c>
      <c r="I196" s="392" t="str">
        <f t="shared" si="10"/>
        <v>WS-06</v>
      </c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</row>
    <row r="197" spans="1:53">
      <c r="A197" s="3">
        <v>5</v>
      </c>
      <c r="B197" s="125" t="str">
        <f>IFERROR(INDEX('S21 Routing Clustered'!$A$3:$A$18, A197), "")</f>
        <v>I-070</v>
      </c>
      <c r="C197" s="3">
        <v>80</v>
      </c>
      <c r="D197" s="391" t="str">
        <f>IFERROR(HLOOKUP(C197, 'S21 Routing Clustered'!$B$2:$I$18, A197+1, 0), "")</f>
        <v/>
      </c>
      <c r="E197" s="391" t="str">
        <f t="shared" si="11"/>
        <v/>
      </c>
      <c r="F197" s="3" t="str">
        <f>IF(E197="", "", VLOOKUP(B197, 'S14 ABC Output'!$A$3:$C$18, 3, 0))</f>
        <v/>
      </c>
      <c r="I197" s="392" t="str">
        <f t="shared" si="10"/>
        <v>WS-07</v>
      </c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</row>
    <row r="198" spans="1:53">
      <c r="A198" s="3">
        <v>5</v>
      </c>
      <c r="B198" s="125" t="str">
        <f>IFERROR(INDEX('S21 Routing Clustered'!$A$3:$A$18, A198), "")</f>
        <v>I-070</v>
      </c>
      <c r="C198" s="3">
        <v>90</v>
      </c>
      <c r="D198" s="391" t="str">
        <f>IFERROR(HLOOKUP(C198, 'S21 Routing Clustered'!$B$2:$I$18, A198+1, 0), "")</f>
        <v/>
      </c>
      <c r="E198" s="391" t="str">
        <f t="shared" si="11"/>
        <v/>
      </c>
      <c r="F198" s="3" t="str">
        <f>IF(E198="", "", VLOOKUP(B198, 'S14 ABC Output'!$A$3:$C$18, 3, 0))</f>
        <v/>
      </c>
      <c r="I198" s="392" t="str">
        <f t="shared" si="10"/>
        <v>WS-08</v>
      </c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</row>
    <row r="199" spans="1:53">
      <c r="A199" s="3">
        <v>5</v>
      </c>
      <c r="B199" s="125" t="str">
        <f>IFERROR(INDEX('S21 Routing Clustered'!$A$3:$A$18, A199), "")</f>
        <v>I-070</v>
      </c>
      <c r="C199" s="3">
        <v>100</v>
      </c>
      <c r="D199" s="391" t="str">
        <f>IFERROR(HLOOKUP(C199, 'S21 Routing Clustered'!$B$2:$I$18, A199+1, 0), "")</f>
        <v/>
      </c>
      <c r="E199" s="391" t="str">
        <f t="shared" si="11"/>
        <v/>
      </c>
      <c r="F199" s="3" t="str">
        <f>IF(E199="", "", VLOOKUP(B199, 'S14 ABC Output'!$A$3:$C$18, 3, 0))</f>
        <v/>
      </c>
      <c r="I199" s="392" t="str">
        <f t="shared" si="10"/>
        <v>WS-09</v>
      </c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</row>
    <row r="200" spans="1:53">
      <c r="A200" s="3">
        <v>5</v>
      </c>
      <c r="B200" s="125" t="str">
        <f>IFERROR(INDEX('S21 Routing Clustered'!$A$3:$A$18, A200), "")</f>
        <v>I-070</v>
      </c>
      <c r="C200" s="3">
        <v>110</v>
      </c>
      <c r="D200" s="391" t="str">
        <f>IFERROR(HLOOKUP(C200, 'S21 Routing Clustered'!$B$2:$I$18, A200+1, 0), "")</f>
        <v/>
      </c>
      <c r="E200" s="391" t="str">
        <f t="shared" si="11"/>
        <v/>
      </c>
      <c r="F200" s="3" t="str">
        <f>IF(E200="", "", VLOOKUP(B200, 'S14 ABC Output'!$A$3:$C$18, 3, 0))</f>
        <v/>
      </c>
      <c r="I200" s="392" t="str">
        <f t="shared" si="10"/>
        <v>WS-10</v>
      </c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</row>
    <row r="201" spans="1:53">
      <c r="A201" s="3">
        <v>5</v>
      </c>
      <c r="B201" s="125" t="str">
        <f>IFERROR(INDEX('S21 Routing Clustered'!$A$3:$A$18, A201), "")</f>
        <v>I-070</v>
      </c>
      <c r="C201" s="3">
        <v>120</v>
      </c>
      <c r="D201" s="391" t="str">
        <f>IFERROR(HLOOKUP(C201, 'S21 Routing Clustered'!$B$2:$I$18, A201+1, 0), "")</f>
        <v/>
      </c>
      <c r="E201" s="391" t="str">
        <f t="shared" si="11"/>
        <v/>
      </c>
      <c r="F201" s="3" t="str">
        <f>IF(E201="", "", VLOOKUP(B201, 'S14 ABC Output'!$A$3:$C$18, 3, 0))</f>
        <v/>
      </c>
      <c r="I201" s="392" t="str">
        <f t="shared" si="10"/>
        <v>WS-11</v>
      </c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</row>
    <row r="202" spans="1:53">
      <c r="A202" s="3">
        <v>5</v>
      </c>
      <c r="B202" s="125" t="str">
        <f>IFERROR(INDEX('S21 Routing Clustered'!$A$3:$A$18, A202), "")</f>
        <v>I-070</v>
      </c>
      <c r="C202" s="3">
        <v>130</v>
      </c>
      <c r="D202" s="391" t="str">
        <f>IFERROR(HLOOKUP(C202, 'S21 Routing Clustered'!$B$2:$I$18, A202+1, 0), "")</f>
        <v/>
      </c>
      <c r="E202" s="391" t="str">
        <f t="shared" si="11"/>
        <v/>
      </c>
      <c r="F202" s="3" t="str">
        <f>IF(E202="", "", VLOOKUP(B202, 'S14 ABC Output'!$A$3:$C$18, 3, 0))</f>
        <v/>
      </c>
      <c r="I202" s="392" t="str">
        <f t="shared" si="10"/>
        <v>WS-12</v>
      </c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</row>
    <row r="203" spans="1:53">
      <c r="A203" s="3">
        <v>5</v>
      </c>
      <c r="B203" s="125" t="str">
        <f>IFERROR(INDEX('S21 Routing Clustered'!$A$3:$A$18, A203), "")</f>
        <v>I-070</v>
      </c>
      <c r="C203" s="3">
        <v>140</v>
      </c>
      <c r="D203" s="391" t="str">
        <f>IFERROR(HLOOKUP(C203, 'S21 Routing Clustered'!$B$2:$I$18, A203+1, 0), "")</f>
        <v/>
      </c>
      <c r="E203" s="391" t="str">
        <f t="shared" si="11"/>
        <v/>
      </c>
      <c r="F203" s="3" t="str">
        <f>IF(E203="", "", VLOOKUP(B203, 'S14 ABC Output'!$A$3:$C$18, 3, 0))</f>
        <v/>
      </c>
      <c r="I203" s="392" t="str">
        <f t="shared" si="10"/>
        <v>WS-13</v>
      </c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</row>
    <row r="204" spans="1:53">
      <c r="A204" s="3">
        <v>5</v>
      </c>
      <c r="B204" s="125" t="str">
        <f>IFERROR(INDEX('S21 Routing Clustered'!$A$3:$A$18, A204), "")</f>
        <v>I-070</v>
      </c>
      <c r="C204" s="3">
        <v>150</v>
      </c>
      <c r="D204" s="391" t="str">
        <f>IFERROR(HLOOKUP(C204, 'S21 Routing Clustered'!$B$2:$I$18, A204+1, 0), "")</f>
        <v/>
      </c>
      <c r="E204" s="391" t="str">
        <f t="shared" si="11"/>
        <v/>
      </c>
      <c r="F204" s="3" t="str">
        <f>IF(E204="", "", VLOOKUP(B204, 'S14 ABC Output'!$A$3:$C$18, 3, 0))</f>
        <v/>
      </c>
      <c r="I204" s="392" t="str">
        <f t="shared" si="10"/>
        <v>WS-14</v>
      </c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</row>
    <row r="205" spans="1:53">
      <c r="A205" s="3">
        <v>5</v>
      </c>
      <c r="B205" s="125" t="str">
        <f>IFERROR(INDEX('S21 Routing Clustered'!$A$3:$A$18, A205), "")</f>
        <v>I-070</v>
      </c>
      <c r="C205" s="3">
        <v>160</v>
      </c>
      <c r="D205" s="391" t="str">
        <f>IFERROR(HLOOKUP(C205, 'S21 Routing Clustered'!$B$2:$I$18, A205+1, 0), "")</f>
        <v/>
      </c>
      <c r="E205" s="391" t="str">
        <f t="shared" si="11"/>
        <v/>
      </c>
      <c r="F205" s="3" t="str">
        <f>IF(E205="", "", VLOOKUP(B205, 'S14 ABC Output'!$A$3:$C$18, 3, 0))</f>
        <v/>
      </c>
      <c r="I205" s="392" t="str">
        <f t="shared" si="10"/>
        <v>WS-15</v>
      </c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</row>
    <row r="206" spans="1:53">
      <c r="A206" s="3">
        <v>5</v>
      </c>
      <c r="B206" s="125" t="str">
        <f>IFERROR(INDEX('S21 Routing Clustered'!$A$3:$A$18, A206), "")</f>
        <v>I-070</v>
      </c>
      <c r="C206" s="3">
        <v>170</v>
      </c>
      <c r="D206" s="391" t="str">
        <f>IFERROR(HLOOKUP(C206, 'S21 Routing Clustered'!$B$2:$I$18, A206+1, 0), "")</f>
        <v/>
      </c>
      <c r="E206" s="391" t="str">
        <f t="shared" si="11"/>
        <v/>
      </c>
      <c r="F206" s="3" t="str">
        <f>IF(E206="", "", VLOOKUP(B206, 'S14 ABC Output'!$A$3:$C$18, 3, 0))</f>
        <v/>
      </c>
      <c r="I206" s="392" t="str">
        <f t="shared" si="10"/>
        <v>WS-16</v>
      </c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</row>
    <row r="207" spans="1:53">
      <c r="A207" s="3">
        <v>5</v>
      </c>
      <c r="B207" s="125" t="str">
        <f>IFERROR(INDEX('S21 Routing Clustered'!$A$3:$A$18, A207), "")</f>
        <v>I-070</v>
      </c>
      <c r="C207" s="3">
        <v>180</v>
      </c>
      <c r="D207" s="391" t="str">
        <f>IFERROR(HLOOKUP(C207, 'S21 Routing Clustered'!$B$2:$I$18, A207+1, 0), "")</f>
        <v/>
      </c>
      <c r="E207" s="391" t="str">
        <f t="shared" si="11"/>
        <v/>
      </c>
      <c r="F207" s="3" t="str">
        <f>IF(E207="", "", VLOOKUP(B207, 'S14 ABC Output'!$A$3:$C$18, 3, 0))</f>
        <v/>
      </c>
      <c r="I207" s="392" t="str">
        <f t="shared" si="10"/>
        <v>WS-17</v>
      </c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</row>
    <row r="208" spans="1:53">
      <c r="A208" s="3">
        <v>5</v>
      </c>
      <c r="B208" s="125" t="str">
        <f>IFERROR(INDEX('S21 Routing Clustered'!$A$3:$A$18, A208), "")</f>
        <v>I-070</v>
      </c>
      <c r="C208" s="3">
        <v>190</v>
      </c>
      <c r="D208" s="391" t="str">
        <f>IFERROR(HLOOKUP(C208, 'S21 Routing Clustered'!$B$2:$I$18, A208+1, 0), "")</f>
        <v/>
      </c>
      <c r="E208" s="391" t="str">
        <f t="shared" si="11"/>
        <v/>
      </c>
      <c r="F208" s="3" t="str">
        <f>IF(E208="", "", VLOOKUP(B208, 'S14 ABC Output'!$A$3:$C$18, 3, 0))</f>
        <v/>
      </c>
      <c r="I208" s="392" t="str">
        <f t="shared" si="10"/>
        <v>WS-18</v>
      </c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</row>
    <row r="209" spans="1:53">
      <c r="A209" s="3">
        <v>5</v>
      </c>
      <c r="B209" s="125" t="str">
        <f>IFERROR(INDEX('S21 Routing Clustered'!$A$3:$A$18, A209), "")</f>
        <v>I-070</v>
      </c>
      <c r="C209" s="3">
        <v>200</v>
      </c>
      <c r="D209" s="391" t="str">
        <f>IFERROR(HLOOKUP(C209, 'S21 Routing Clustered'!$B$2:$I$18, A209+1, 0), "")</f>
        <v/>
      </c>
      <c r="E209" s="391" t="str">
        <f t="shared" si="11"/>
        <v/>
      </c>
      <c r="F209" s="3" t="str">
        <f>IF(E209="", "", VLOOKUP(B209, 'S14 ABC Output'!$A$3:$C$18, 3, 0))</f>
        <v/>
      </c>
      <c r="I209" s="392" t="str">
        <f t="shared" si="10"/>
        <v>WS-19</v>
      </c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</row>
    <row r="210" spans="1:53">
      <c r="A210" s="3">
        <v>5</v>
      </c>
      <c r="B210" s="125" t="str">
        <f>IFERROR(INDEX('S21 Routing Clustered'!$A$3:$A$18, A210), "")</f>
        <v>I-070</v>
      </c>
      <c r="C210" s="3">
        <v>210</v>
      </c>
      <c r="D210" s="391" t="str">
        <f>IFERROR(HLOOKUP(C210, 'S21 Routing Clustered'!$B$2:$I$18, A210+1, 0), "")</f>
        <v/>
      </c>
      <c r="E210" s="391" t="str">
        <f t="shared" si="11"/>
        <v/>
      </c>
      <c r="F210" s="3" t="str">
        <f>IF(E210="", "", VLOOKUP(B210, 'S14 ABC Output'!$A$3:$C$18, 3, 0))</f>
        <v/>
      </c>
      <c r="I210" s="392" t="str">
        <f t="shared" si="10"/>
        <v>WS-20</v>
      </c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</row>
    <row r="211" spans="1:53">
      <c r="A211" s="3">
        <v>5</v>
      </c>
      <c r="B211" s="125" t="str">
        <f>IFERROR(INDEX('S21 Routing Clustered'!$A$3:$A$18, A211), "")</f>
        <v>I-070</v>
      </c>
      <c r="C211" s="3">
        <v>220</v>
      </c>
      <c r="D211" s="391" t="str">
        <f>IFERROR(HLOOKUP(C211, 'S21 Routing Clustered'!$B$2:$I$18, A211+1, 0), "")</f>
        <v/>
      </c>
      <c r="E211" s="391" t="str">
        <f t="shared" si="11"/>
        <v/>
      </c>
      <c r="F211" s="3" t="str">
        <f>IF(E211="", "", VLOOKUP(B211, 'S14 ABC Output'!$A$3:$C$18, 3, 0))</f>
        <v/>
      </c>
      <c r="I211" s="392" t="str">
        <f t="shared" si="10"/>
        <v>WS-21</v>
      </c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</row>
    <row r="212" spans="1:53">
      <c r="A212" s="3">
        <v>5</v>
      </c>
      <c r="B212" s="125" t="str">
        <f>IFERROR(INDEX('S21 Routing Clustered'!$A$3:$A$18, A212), "")</f>
        <v>I-070</v>
      </c>
      <c r="C212" s="3">
        <v>230</v>
      </c>
      <c r="D212" s="391" t="str">
        <f>IFERROR(HLOOKUP(C212, 'S21 Routing Clustered'!$B$2:$I$18, A212+1, 0), "")</f>
        <v/>
      </c>
      <c r="E212" s="391" t="str">
        <f t="shared" si="11"/>
        <v/>
      </c>
      <c r="F212" s="3" t="str">
        <f>IF(E212="", "", VLOOKUP(B212, 'S14 ABC Output'!$A$3:$C$18, 3, 0))</f>
        <v/>
      </c>
      <c r="I212" s="392" t="str">
        <f t="shared" si="10"/>
        <v>WS-22</v>
      </c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</row>
    <row r="213" spans="1:53">
      <c r="A213" s="3">
        <v>5</v>
      </c>
      <c r="B213" s="125" t="str">
        <f>IFERROR(INDEX('S21 Routing Clustered'!$A$3:$A$18, A213), "")</f>
        <v>I-070</v>
      </c>
      <c r="C213" s="3">
        <v>240</v>
      </c>
      <c r="D213" s="391" t="str">
        <f>IFERROR(HLOOKUP(C213, 'S21 Routing Clustered'!$B$2:$I$18, A213+1, 0), "")</f>
        <v/>
      </c>
      <c r="E213" s="391" t="str">
        <f t="shared" si="11"/>
        <v/>
      </c>
      <c r="F213" s="3" t="str">
        <f>IF(E213="", "", VLOOKUP(B213, 'S14 ABC Output'!$A$3:$C$18, 3, 0))</f>
        <v/>
      </c>
      <c r="I213" s="392" t="str">
        <f t="shared" si="10"/>
        <v>WS-23</v>
      </c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</row>
    <row r="214" spans="1:53">
      <c r="A214" s="3">
        <v>5</v>
      </c>
      <c r="B214" s="125" t="str">
        <f>IFERROR(INDEX('S21 Routing Clustered'!$A$3:$A$18, A214), "")</f>
        <v>I-070</v>
      </c>
      <c r="C214" s="3">
        <v>250</v>
      </c>
      <c r="D214" s="391" t="str">
        <f>IFERROR(HLOOKUP(C214, 'S21 Routing Clustered'!$B$2:$I$18, A214+1, 0), "")</f>
        <v/>
      </c>
      <c r="E214" s="391" t="str">
        <f t="shared" si="11"/>
        <v/>
      </c>
      <c r="F214" s="3" t="str">
        <f>IF(E214="", "", VLOOKUP(B214, 'S14 ABC Output'!$A$3:$C$18, 3, 0))</f>
        <v/>
      </c>
      <c r="I214" s="392" t="str">
        <f t="shared" si="10"/>
        <v>WS-24</v>
      </c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</row>
    <row r="215" spans="1:53">
      <c r="A215" s="3">
        <v>5</v>
      </c>
      <c r="B215" s="125" t="str">
        <f>IFERROR(INDEX('S21 Routing Clustered'!$A$3:$A$18, A215), "")</f>
        <v>I-070</v>
      </c>
      <c r="C215" s="3">
        <v>260</v>
      </c>
      <c r="D215" s="391" t="str">
        <f>IFERROR(HLOOKUP(C215, 'S21 Routing Clustered'!$B$2:$I$18, A215+1, 0), "")</f>
        <v/>
      </c>
      <c r="E215" s="391" t="str">
        <f t="shared" si="11"/>
        <v/>
      </c>
      <c r="F215" s="3" t="str">
        <f>IF(E215="", "", VLOOKUP(B215, 'S14 ABC Output'!$A$3:$C$18, 3, 0))</f>
        <v/>
      </c>
      <c r="I215" s="392" t="str">
        <f t="shared" si="10"/>
        <v>WS-25</v>
      </c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>
        <v>36502</v>
      </c>
      <c r="AR215" s="3"/>
      <c r="AS215" s="3"/>
      <c r="AT215" s="3"/>
      <c r="AU215" s="3"/>
      <c r="AV215" s="3"/>
      <c r="AW215" s="3"/>
      <c r="AX215" s="3"/>
      <c r="AY215" s="3"/>
      <c r="AZ215" s="3"/>
      <c r="BA215" s="3"/>
    </row>
    <row r="216" spans="1:53">
      <c r="A216" s="3">
        <v>5</v>
      </c>
      <c r="B216" s="125" t="str">
        <f>IFERROR(INDEX('S21 Routing Clustered'!$A$3:$A$18, A216), "")</f>
        <v>I-070</v>
      </c>
      <c r="C216" s="3">
        <v>270</v>
      </c>
      <c r="D216" s="391" t="str">
        <f>IFERROR(HLOOKUP(C216, 'S21 Routing Clustered'!$B$2:$I$18, A216+1, 0), "")</f>
        <v/>
      </c>
      <c r="E216" s="391" t="str">
        <f t="shared" si="11"/>
        <v/>
      </c>
      <c r="F216" s="3" t="str">
        <f>IF(E216="", "", VLOOKUP(B216, 'S14 ABC Output'!$A$3:$C$18, 3, 0))</f>
        <v/>
      </c>
      <c r="I216" s="392" t="str">
        <f t="shared" si="10"/>
        <v>WS-26</v>
      </c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</row>
    <row r="217" spans="1:53">
      <c r="A217" s="3">
        <v>5</v>
      </c>
      <c r="B217" s="125" t="str">
        <f>IFERROR(INDEX('S21 Routing Clustered'!$A$3:$A$18, A217), "")</f>
        <v>I-070</v>
      </c>
      <c r="C217" s="3">
        <v>280</v>
      </c>
      <c r="D217" s="391" t="str">
        <f>IFERROR(HLOOKUP(C217, 'S21 Routing Clustered'!$B$2:$I$18, A217+1, 0), "")</f>
        <v/>
      </c>
      <c r="E217" s="391" t="str">
        <f t="shared" si="11"/>
        <v/>
      </c>
      <c r="F217" s="3" t="str">
        <f>IF(E217="", "", VLOOKUP(B217, 'S14 ABC Output'!$A$3:$C$18, 3, 0))</f>
        <v/>
      </c>
      <c r="I217" s="392" t="str">
        <f t="shared" si="10"/>
        <v>WS-27</v>
      </c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</row>
    <row r="218" spans="1:53">
      <c r="A218" s="3">
        <v>5</v>
      </c>
      <c r="B218" s="125" t="str">
        <f>IFERROR(INDEX('S21 Routing Clustered'!$A$3:$A$18, A218), "")</f>
        <v>I-070</v>
      </c>
      <c r="C218" s="3">
        <v>290</v>
      </c>
      <c r="D218" s="391" t="str">
        <f>IFERROR(HLOOKUP(C218, 'S21 Routing Clustered'!$B$2:$I$18, A218+1, 0), "")</f>
        <v/>
      </c>
      <c r="E218" s="391" t="str">
        <f t="shared" si="11"/>
        <v/>
      </c>
      <c r="F218" s="3" t="str">
        <f>IF(E218="", "", VLOOKUP(B218, 'S14 ABC Output'!$A$3:$C$18, 3, 0))</f>
        <v/>
      </c>
      <c r="I218" s="392" t="str">
        <f t="shared" si="10"/>
        <v>WS-28</v>
      </c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</row>
    <row r="219" spans="1:53">
      <c r="A219" s="3">
        <v>5</v>
      </c>
      <c r="B219" s="125" t="str">
        <f>IFERROR(INDEX('S21 Routing Clustered'!$A$3:$A$18, A219), "")</f>
        <v>I-070</v>
      </c>
      <c r="C219" s="3">
        <v>300</v>
      </c>
      <c r="D219" s="391" t="str">
        <f>IFERROR(HLOOKUP(C219, 'S21 Routing Clustered'!$B$2:$I$18, A219+1, 0), "")</f>
        <v/>
      </c>
      <c r="E219" s="391" t="str">
        <f t="shared" si="11"/>
        <v/>
      </c>
      <c r="F219" s="3" t="str">
        <f>IF(E219="", "", VLOOKUP(B219, 'S14 ABC Output'!$A$3:$C$18, 3, 0))</f>
        <v/>
      </c>
      <c r="I219" s="392" t="str">
        <f t="shared" si="10"/>
        <v>WS-29</v>
      </c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</row>
    <row r="220" spans="1:53">
      <c r="A220" s="3">
        <v>5</v>
      </c>
      <c r="B220" s="125" t="str">
        <f>IFERROR(INDEX('S21 Routing Clustered'!$A$3:$A$18, A220), "")</f>
        <v>I-070</v>
      </c>
      <c r="C220" s="3">
        <v>310</v>
      </c>
      <c r="D220" s="391" t="str">
        <f>IFERROR(HLOOKUP(C220, 'S21 Routing Clustered'!$B$2:$I$18, A220+1, 0), "")</f>
        <v/>
      </c>
      <c r="E220" s="391" t="str">
        <f t="shared" si="11"/>
        <v/>
      </c>
      <c r="F220" s="3" t="str">
        <f>IF(E220="", "", VLOOKUP(B220, 'S14 ABC Output'!$A$3:$C$18, 3, 0))</f>
        <v/>
      </c>
      <c r="I220" s="392" t="str">
        <f t="shared" si="10"/>
        <v>WS-30</v>
      </c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</row>
    <row r="221" spans="1:53">
      <c r="A221" s="3">
        <v>5</v>
      </c>
      <c r="B221" s="125" t="str">
        <f>IFERROR(INDEX('S21 Routing Clustered'!$A$3:$A$18, A221), "")</f>
        <v>I-070</v>
      </c>
      <c r="C221" s="3">
        <v>320</v>
      </c>
      <c r="D221" s="391" t="str">
        <f>IFERROR(HLOOKUP(C221, 'S21 Routing Clustered'!$B$2:$I$18, A221+1, 0), "")</f>
        <v/>
      </c>
      <c r="E221" s="391" t="str">
        <f t="shared" si="11"/>
        <v/>
      </c>
      <c r="F221" s="3" t="str">
        <f>IF(E221="", "", VLOOKUP(B221, 'S14 ABC Output'!$A$3:$C$18, 3, 0))</f>
        <v/>
      </c>
      <c r="I221" s="392" t="str">
        <f t="shared" si="10"/>
        <v>WS-31</v>
      </c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</row>
    <row r="222" spans="1:53">
      <c r="A222" s="3">
        <v>5</v>
      </c>
      <c r="B222" s="125" t="str">
        <f>IFERROR(INDEX('S21 Routing Clustered'!$A$3:$A$18, A222), "")</f>
        <v>I-070</v>
      </c>
      <c r="C222" s="3">
        <v>330</v>
      </c>
      <c r="D222" s="391" t="str">
        <f>IFERROR(HLOOKUP(C222, 'S21 Routing Clustered'!$B$2:$I$18, A222+1, 0), "")</f>
        <v/>
      </c>
      <c r="E222" s="391" t="str">
        <f t="shared" si="11"/>
        <v/>
      </c>
      <c r="F222" s="3" t="str">
        <f>IF(E222="", "", VLOOKUP(B222, 'S14 ABC Output'!$A$3:$C$18, 3, 0))</f>
        <v/>
      </c>
      <c r="I222" s="392" t="str">
        <f t="shared" si="10"/>
        <v>WS-32</v>
      </c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</row>
    <row r="223" spans="1:53">
      <c r="A223" s="3">
        <v>5</v>
      </c>
      <c r="B223" s="125" t="str">
        <f>IFERROR(INDEX('S21 Routing Clustered'!$A$3:$A$18, A223), "")</f>
        <v>I-070</v>
      </c>
      <c r="C223" s="3">
        <v>340</v>
      </c>
      <c r="D223" s="391" t="str">
        <f>IFERROR(HLOOKUP(C223, 'S21 Routing Clustered'!$B$2:$I$18, A223+1, 0), "")</f>
        <v/>
      </c>
      <c r="E223" s="391" t="str">
        <f t="shared" si="11"/>
        <v/>
      </c>
      <c r="F223" s="3" t="str">
        <f>IF(E223="", "", VLOOKUP(B223, 'S14 ABC Output'!$A$3:$C$18, 3, 0))</f>
        <v/>
      </c>
      <c r="I223" s="392" t="str">
        <f t="shared" si="10"/>
        <v>WS-33</v>
      </c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</row>
    <row r="224" spans="1:53">
      <c r="A224" s="3">
        <v>5</v>
      </c>
      <c r="B224" s="125" t="str">
        <f>IFERROR(INDEX('S21 Routing Clustered'!$A$3:$A$18, A224), "")</f>
        <v>I-070</v>
      </c>
      <c r="C224" s="3">
        <v>350</v>
      </c>
      <c r="D224" s="391" t="str">
        <f>IFERROR(HLOOKUP(C224, 'S21 Routing Clustered'!$B$2:$I$18, A224+1, 0), "")</f>
        <v/>
      </c>
      <c r="E224" s="391" t="str">
        <f t="shared" si="11"/>
        <v/>
      </c>
      <c r="F224" s="3" t="str">
        <f>IF(E224="", "", VLOOKUP(B224, 'S14 ABC Output'!$A$3:$C$18, 3, 0))</f>
        <v/>
      </c>
      <c r="I224" s="392" t="str">
        <f t="shared" si="10"/>
        <v>WS-34</v>
      </c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>
        <v>36502</v>
      </c>
    </row>
    <row r="225" spans="1:53">
      <c r="A225" s="3">
        <v>5</v>
      </c>
      <c r="B225" s="125" t="str">
        <f>IFERROR(INDEX('S21 Routing Clustered'!$A$3:$A$18, A225), "")</f>
        <v>I-070</v>
      </c>
      <c r="C225" s="3">
        <v>360</v>
      </c>
      <c r="D225" s="391" t="str">
        <f>IFERROR(HLOOKUP(C225, 'S21 Routing Clustered'!$B$2:$I$18, A225+1, 0), "")</f>
        <v/>
      </c>
      <c r="E225" s="391" t="str">
        <f t="shared" si="11"/>
        <v/>
      </c>
      <c r="F225" s="3" t="str">
        <f>IF(E225="", "", VLOOKUP(B225, 'S14 ABC Output'!$A$3:$C$18, 3, 0))</f>
        <v/>
      </c>
      <c r="I225" s="392" t="str">
        <f t="shared" si="10"/>
        <v>WS-35</v>
      </c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</row>
    <row r="226" spans="1:53">
      <c r="A226" s="3">
        <v>5</v>
      </c>
      <c r="B226" s="125" t="str">
        <f>IFERROR(INDEX('S21 Routing Clustered'!$A$3:$A$18, A226), "")</f>
        <v>I-070</v>
      </c>
      <c r="C226" s="3">
        <v>370</v>
      </c>
      <c r="D226" s="391" t="str">
        <f>IFERROR(HLOOKUP(C226, 'S21 Routing Clustered'!$B$2:$I$18, A226+1, 0), "")</f>
        <v/>
      </c>
      <c r="E226" s="391" t="str">
        <f t="shared" si="11"/>
        <v/>
      </c>
      <c r="F226" s="3" t="str">
        <f>IF(E226="", "", VLOOKUP(B226, 'S14 ABC Output'!$A$3:$C$18, 3, 0))</f>
        <v/>
      </c>
      <c r="I226" s="392" t="str">
        <f t="shared" si="10"/>
        <v>WS-36</v>
      </c>
      <c r="J226" s="3"/>
      <c r="K226" s="3"/>
      <c r="L226" s="3"/>
      <c r="M226" s="3"/>
      <c r="N226" s="3">
        <v>36502</v>
      </c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</row>
    <row r="227" spans="1:53">
      <c r="A227" s="3">
        <v>5</v>
      </c>
      <c r="B227" s="125" t="str">
        <f>IFERROR(INDEX('S21 Routing Clustered'!$A$3:$A$18, A227), "")</f>
        <v>I-070</v>
      </c>
      <c r="C227" s="3">
        <v>380</v>
      </c>
      <c r="D227" s="391" t="str">
        <f>IFERROR(HLOOKUP(C227, 'S21 Routing Clustered'!$B$2:$I$18, A227+1, 0), "")</f>
        <v/>
      </c>
      <c r="E227" s="391" t="str">
        <f t="shared" si="11"/>
        <v/>
      </c>
      <c r="F227" s="3" t="str">
        <f>IF(E227="", "", VLOOKUP(B227, 'S14 ABC Output'!$A$3:$C$18, 3, 0))</f>
        <v/>
      </c>
      <c r="I227" s="392" t="str">
        <f t="shared" si="10"/>
        <v>WS-37</v>
      </c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</row>
    <row r="228" spans="1:53">
      <c r="A228" s="3">
        <v>5</v>
      </c>
      <c r="B228" s="125" t="str">
        <f>IFERROR(INDEX('S21 Routing Clustered'!$A$3:$A$18, A228), "")</f>
        <v>I-070</v>
      </c>
      <c r="C228" s="3">
        <v>390</v>
      </c>
      <c r="D228" s="391" t="str">
        <f>IFERROR(HLOOKUP(C228, 'S21 Routing Clustered'!$B$2:$I$18, A228+1, 0), "")</f>
        <v/>
      </c>
      <c r="E228" s="391" t="str">
        <f t="shared" si="11"/>
        <v/>
      </c>
      <c r="F228" s="3" t="str">
        <f>IF(E228="", "", VLOOKUP(B228, 'S14 ABC Output'!$A$3:$C$18, 3, 0))</f>
        <v/>
      </c>
      <c r="I228" s="392" t="str">
        <f t="shared" si="10"/>
        <v>WS-38</v>
      </c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</row>
    <row r="229" spans="1:53">
      <c r="A229" s="3">
        <v>5</v>
      </c>
      <c r="B229" s="125" t="str">
        <f>IFERROR(INDEX('S21 Routing Clustered'!$A$3:$A$18, A229), "")</f>
        <v>I-070</v>
      </c>
      <c r="C229" s="3">
        <v>400</v>
      </c>
      <c r="D229" s="391" t="str">
        <f>IFERROR(HLOOKUP(C229, 'S21 Routing Clustered'!$B$2:$I$18, A229+1, 0), "")</f>
        <v/>
      </c>
      <c r="E229" s="391" t="str">
        <f t="shared" si="11"/>
        <v/>
      </c>
      <c r="F229" s="3" t="str">
        <f>IF(E229="", "", VLOOKUP(B229, 'S14 ABC Output'!$A$3:$C$18, 3, 0))</f>
        <v/>
      </c>
      <c r="I229" s="392" t="str">
        <f t="shared" si="10"/>
        <v>WS-39</v>
      </c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</row>
    <row r="230" spans="1:53">
      <c r="A230" s="3">
        <v>5</v>
      </c>
      <c r="B230" s="125" t="str">
        <f>IFERROR(INDEX('S21 Routing Clustered'!$A$3:$A$18, A230), "")</f>
        <v>I-070</v>
      </c>
      <c r="C230" s="3">
        <v>410</v>
      </c>
      <c r="D230" s="391" t="str">
        <f>IFERROR(HLOOKUP(C230, 'S21 Routing Clustered'!$B$2:$I$18, A230+1, 0), "")</f>
        <v/>
      </c>
      <c r="E230" s="391" t="str">
        <f t="shared" si="11"/>
        <v/>
      </c>
      <c r="F230" s="3" t="str">
        <f>IF(E230="", "", VLOOKUP(B230, 'S14 ABC Output'!$A$3:$C$18, 3, 0))</f>
        <v/>
      </c>
      <c r="I230" s="392" t="str">
        <f t="shared" si="10"/>
        <v>WS-40</v>
      </c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</row>
    <row r="231" spans="1:53">
      <c r="A231" s="3">
        <v>5</v>
      </c>
      <c r="B231" s="125" t="str">
        <f>IFERROR(INDEX('S21 Routing Clustered'!$A$3:$A$18, A231), "")</f>
        <v>I-070</v>
      </c>
      <c r="C231" s="3">
        <v>420</v>
      </c>
      <c r="D231" s="391" t="str">
        <f>IFERROR(HLOOKUP(C231, 'S21 Routing Clustered'!$B$2:$I$18, A231+1, 0), "")</f>
        <v/>
      </c>
      <c r="E231" s="391" t="str">
        <f t="shared" si="11"/>
        <v/>
      </c>
      <c r="F231" s="3" t="str">
        <f>IF(E231="", "", VLOOKUP(B231, 'S14 ABC Output'!$A$3:$C$18, 3, 0))</f>
        <v/>
      </c>
      <c r="I231" s="392" t="str">
        <f t="shared" si="10"/>
        <v>WS-41</v>
      </c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</row>
    <row r="232" spans="1:53">
      <c r="A232" s="3">
        <v>5</v>
      </c>
      <c r="B232" s="125" t="str">
        <f>IFERROR(INDEX('S21 Routing Clustered'!$A$3:$A$18, A232), "")</f>
        <v>I-070</v>
      </c>
      <c r="C232" s="3">
        <v>430</v>
      </c>
      <c r="D232" s="391" t="str">
        <f>IFERROR(HLOOKUP(C232, 'S21 Routing Clustered'!$B$2:$I$18, A232+1, 0), "")</f>
        <v/>
      </c>
      <c r="E232" s="391" t="str">
        <f t="shared" si="11"/>
        <v/>
      </c>
      <c r="F232" s="3" t="str">
        <f>IF(E232="", "", VLOOKUP(B232, 'S14 ABC Output'!$A$3:$C$18, 3, 0))</f>
        <v/>
      </c>
      <c r="I232" s="392" t="str">
        <f t="shared" si="10"/>
        <v>WS-42</v>
      </c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</row>
    <row r="233" spans="1:53">
      <c r="A233" s="3">
        <v>5</v>
      </c>
      <c r="B233" s="125" t="str">
        <f>IFERROR(INDEX('S21 Routing Clustered'!$A$3:$A$18, A233), "")</f>
        <v>I-070</v>
      </c>
      <c r="C233" s="3">
        <v>440</v>
      </c>
      <c r="D233" s="391" t="str">
        <f>IFERROR(HLOOKUP(C233, 'S21 Routing Clustered'!$B$2:$I$18, A233+1, 0), "")</f>
        <v/>
      </c>
      <c r="E233" s="391" t="str">
        <f t="shared" si="11"/>
        <v/>
      </c>
      <c r="F233" s="3" t="str">
        <f>IF(E233="", "", VLOOKUP(B233, 'S14 ABC Output'!$A$3:$C$18, 3, 0))</f>
        <v/>
      </c>
      <c r="I233" s="392" t="str">
        <f t="shared" si="10"/>
        <v>WS-43</v>
      </c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>
        <v>36502</v>
      </c>
      <c r="AT233" s="3"/>
      <c r="AU233" s="3"/>
      <c r="AV233" s="3"/>
      <c r="AW233" s="3"/>
      <c r="AX233" s="3"/>
      <c r="AY233" s="3"/>
      <c r="AZ233" s="3"/>
      <c r="BA233" s="3"/>
    </row>
    <row r="234" spans="1:53">
      <c r="A234" s="3">
        <v>5</v>
      </c>
      <c r="B234" s="125" t="str">
        <f>IFERROR(INDEX('S21 Routing Clustered'!$A$3:$A$18, A234), "")</f>
        <v>I-070</v>
      </c>
      <c r="C234" s="3">
        <v>450</v>
      </c>
      <c r="D234" s="391" t="str">
        <f>IFERROR(HLOOKUP(C234, 'S21 Routing Clustered'!$B$2:$I$18, A234+1, 0), "")</f>
        <v/>
      </c>
      <c r="E234" s="391" t="str">
        <f t="shared" si="11"/>
        <v/>
      </c>
      <c r="F234" s="3" t="str">
        <f>IF(E234="", "", VLOOKUP(B234, 'S14 ABC Output'!$A$3:$C$18, 3, 0))</f>
        <v/>
      </c>
      <c r="I234" s="392" t="str">
        <f t="shared" si="10"/>
        <v>WS-44</v>
      </c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</row>
    <row r="235" spans="1:53">
      <c r="B235" s="125" t="str">
        <f>IFERROR(INDEX('S21 Routing Clustered'!$A$3:$A$18, A235), "")</f>
        <v/>
      </c>
      <c r="D235" s="391" t="str">
        <f>IFERROR(HLOOKUP(C235, 'S21 Routing Clustered'!$B$2:$I$18, A235+1, 0), "")</f>
        <v/>
      </c>
      <c r="E235" s="391" t="str">
        <f t="shared" si="11"/>
        <v/>
      </c>
      <c r="F235" s="3" t="str">
        <f>IF(E235="", "", VLOOKUP(B235, 'S14 ABC Output'!$A$3:$C$18, 3, 0))</f>
        <v/>
      </c>
      <c r="I235" s="392"/>
    </row>
    <row r="236" spans="1:53">
      <c r="B236" s="125" t="str">
        <f>IFERROR(INDEX('S21 Routing Clustered'!$A$3:$A$18, A236), "")</f>
        <v/>
      </c>
      <c r="D236" s="391" t="str">
        <f>IFERROR(HLOOKUP(C236, 'S21 Routing Clustered'!$B$2:$I$18, A236+1, 0), "")</f>
        <v/>
      </c>
      <c r="E236" s="391" t="str">
        <f t="shared" si="11"/>
        <v/>
      </c>
      <c r="F236" s="3" t="str">
        <f>IF(E236="", "", VLOOKUP(B236, 'S14 ABC Output'!$A$3:$C$18, 3, 0))</f>
        <v/>
      </c>
      <c r="I236" s="392"/>
    </row>
    <row r="237" spans="1:53">
      <c r="A237" s="3">
        <v>6</v>
      </c>
      <c r="B237" s="125" t="str">
        <f>IFERROR(INDEX('S21 Routing Clustered'!$A$3:$A$18, A237), "")</f>
        <v>I-071</v>
      </c>
      <c r="C237" s="3">
        <v>10</v>
      </c>
      <c r="D237" s="391" t="str">
        <f>IFERROR(HLOOKUP(C237, 'S21 Routing Clustered'!$B$2:$I$18, A237+1, 0), "")</f>
        <v>WS-43</v>
      </c>
      <c r="E237" s="391" t="str">
        <f t="shared" si="11"/>
        <v>WS-36</v>
      </c>
      <c r="F237" s="3">
        <f>IF(E237="", "", VLOOKUP(B237, 'S14 ABC Output'!$A$3:$C$18, 3, 0))</f>
        <v>25649</v>
      </c>
      <c r="I237" s="392"/>
      <c r="J237" s="392" t="str">
        <f>J190</f>
        <v>WS-01</v>
      </c>
      <c r="K237" s="392" t="str">
        <f t="shared" ref="K237:BA237" si="12">K190</f>
        <v>WS-02</v>
      </c>
      <c r="L237" s="392" t="str">
        <f t="shared" si="12"/>
        <v>WS-03</v>
      </c>
      <c r="M237" s="392" t="str">
        <f t="shared" si="12"/>
        <v>WS-04</v>
      </c>
      <c r="N237" s="392" t="str">
        <f t="shared" si="12"/>
        <v>WS-05</v>
      </c>
      <c r="O237" s="392" t="str">
        <f t="shared" si="12"/>
        <v>WS-06</v>
      </c>
      <c r="P237" s="392" t="str">
        <f t="shared" si="12"/>
        <v>WS-07</v>
      </c>
      <c r="Q237" s="392" t="str">
        <f t="shared" si="12"/>
        <v>WS-08</v>
      </c>
      <c r="R237" s="392" t="str">
        <f t="shared" si="12"/>
        <v>WS-09</v>
      </c>
      <c r="S237" s="392" t="str">
        <f t="shared" si="12"/>
        <v>WS-10</v>
      </c>
      <c r="T237" s="392" t="str">
        <f t="shared" si="12"/>
        <v>WS-11</v>
      </c>
      <c r="U237" s="392" t="str">
        <f t="shared" si="12"/>
        <v>WS-12</v>
      </c>
      <c r="V237" s="392" t="str">
        <f t="shared" si="12"/>
        <v>WS-13</v>
      </c>
      <c r="W237" s="392" t="str">
        <f t="shared" si="12"/>
        <v>WS-14</v>
      </c>
      <c r="X237" s="392" t="str">
        <f t="shared" si="12"/>
        <v>WS-15</v>
      </c>
      <c r="Y237" s="392" t="str">
        <f t="shared" si="12"/>
        <v>WS-16</v>
      </c>
      <c r="Z237" s="392" t="str">
        <f t="shared" si="12"/>
        <v>WS-17</v>
      </c>
      <c r="AA237" s="392" t="str">
        <f t="shared" si="12"/>
        <v>WS-18</v>
      </c>
      <c r="AB237" s="392" t="str">
        <f t="shared" si="12"/>
        <v>WS-19</v>
      </c>
      <c r="AC237" s="392" t="str">
        <f t="shared" si="12"/>
        <v>WS-20</v>
      </c>
      <c r="AD237" s="392" t="str">
        <f t="shared" si="12"/>
        <v>WS-21</v>
      </c>
      <c r="AE237" s="392" t="str">
        <f t="shared" si="12"/>
        <v>WS-22</v>
      </c>
      <c r="AF237" s="392" t="str">
        <f t="shared" si="12"/>
        <v>WS-23</v>
      </c>
      <c r="AG237" s="392" t="str">
        <f t="shared" si="12"/>
        <v>WS-24</v>
      </c>
      <c r="AH237" s="392" t="str">
        <f t="shared" si="12"/>
        <v>WS-25</v>
      </c>
      <c r="AI237" s="392" t="str">
        <f t="shared" si="12"/>
        <v>WS-26</v>
      </c>
      <c r="AJ237" s="392" t="str">
        <f t="shared" si="12"/>
        <v>WS-27</v>
      </c>
      <c r="AK237" s="392" t="str">
        <f t="shared" si="12"/>
        <v>WS-28</v>
      </c>
      <c r="AL237" s="392" t="str">
        <f t="shared" si="12"/>
        <v>WS-29</v>
      </c>
      <c r="AM237" s="392" t="str">
        <f t="shared" si="12"/>
        <v>WS-30</v>
      </c>
      <c r="AN237" s="392" t="str">
        <f t="shared" si="12"/>
        <v>WS-31</v>
      </c>
      <c r="AO237" s="392" t="str">
        <f t="shared" si="12"/>
        <v>WS-32</v>
      </c>
      <c r="AP237" s="392" t="str">
        <f t="shared" si="12"/>
        <v>WS-33</v>
      </c>
      <c r="AQ237" s="392" t="str">
        <f t="shared" si="12"/>
        <v>WS-34</v>
      </c>
      <c r="AR237" s="392" t="str">
        <f t="shared" si="12"/>
        <v>WS-35</v>
      </c>
      <c r="AS237" s="392" t="str">
        <f t="shared" si="12"/>
        <v>WS-36</v>
      </c>
      <c r="AT237" s="392" t="str">
        <f t="shared" si="12"/>
        <v>WS-37</v>
      </c>
      <c r="AU237" s="392" t="str">
        <f t="shared" si="12"/>
        <v>WS-38</v>
      </c>
      <c r="AV237" s="392" t="str">
        <f>AV190</f>
        <v>WS-39</v>
      </c>
      <c r="AW237" s="392" t="str">
        <f t="shared" si="12"/>
        <v>WS-40</v>
      </c>
      <c r="AX237" s="392" t="str">
        <f t="shared" si="12"/>
        <v>WS-41</v>
      </c>
      <c r="AY237" s="392" t="str">
        <f t="shared" si="12"/>
        <v>WS-42</v>
      </c>
      <c r="AZ237" s="392" t="str">
        <f t="shared" si="12"/>
        <v>WS-43</v>
      </c>
      <c r="BA237" s="392" t="str">
        <f t="shared" si="12"/>
        <v>WS-44</v>
      </c>
    </row>
    <row r="238" spans="1:53">
      <c r="A238" s="3">
        <v>6</v>
      </c>
      <c r="B238" s="125" t="str">
        <f>IFERROR(INDEX('S21 Routing Clustered'!$A$3:$A$18, A238), "")</f>
        <v>I-071</v>
      </c>
      <c r="C238" s="3">
        <v>20</v>
      </c>
      <c r="D238" s="391" t="str">
        <f>IFERROR(HLOOKUP(C238, 'S21 Routing Clustered'!$B$2:$I$18, A238+1, 0), "")</f>
        <v>WS-36</v>
      </c>
      <c r="E238" s="391" t="str">
        <f t="shared" si="11"/>
        <v>WS-05</v>
      </c>
      <c r="F238" s="3">
        <f>IF(E238="", "", VLOOKUP(B238, 'S14 ABC Output'!$A$3:$C$18, 3, 0))</f>
        <v>25649</v>
      </c>
      <c r="I238" s="392" t="str">
        <f>I191</f>
        <v>WS-01</v>
      </c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</row>
    <row r="239" spans="1:53">
      <c r="A239" s="3">
        <v>6</v>
      </c>
      <c r="B239" s="125" t="str">
        <f>IFERROR(INDEX('S21 Routing Clustered'!$A$3:$A$18, A239), "")</f>
        <v>I-071</v>
      </c>
      <c r="C239" s="3">
        <v>30</v>
      </c>
      <c r="D239" s="391" t="str">
        <f>IFERROR(HLOOKUP(C239, 'S21 Routing Clustered'!$B$2:$I$18, A239+1, 0), "")</f>
        <v>WS-05</v>
      </c>
      <c r="E239" s="391" t="str">
        <f t="shared" si="11"/>
        <v>WS-25</v>
      </c>
      <c r="F239" s="3">
        <f>IF(E239="", "", VLOOKUP(B239, 'S14 ABC Output'!$A$3:$C$18, 3, 0))</f>
        <v>25649</v>
      </c>
      <c r="I239" s="392" t="str">
        <f t="shared" ref="I239:I281" si="13">I192</f>
        <v>WS-02</v>
      </c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</row>
    <row r="240" spans="1:53">
      <c r="A240" s="3">
        <v>6</v>
      </c>
      <c r="B240" s="125" t="str">
        <f>IFERROR(INDEX('S21 Routing Clustered'!$A$3:$A$18, A240), "")</f>
        <v>I-071</v>
      </c>
      <c r="C240" s="3">
        <v>40</v>
      </c>
      <c r="D240" s="391" t="str">
        <f>IFERROR(HLOOKUP(C240, 'S21 Routing Clustered'!$B$2:$I$18, A240+1, 0), "")</f>
        <v>WS-25</v>
      </c>
      <c r="E240" s="391" t="str">
        <f t="shared" si="11"/>
        <v>WS-34</v>
      </c>
      <c r="F240" s="3">
        <f>IF(E240="", "", VLOOKUP(B240, 'S14 ABC Output'!$A$3:$C$18, 3, 0))</f>
        <v>25649</v>
      </c>
      <c r="I240" s="392" t="str">
        <f t="shared" si="13"/>
        <v>WS-03</v>
      </c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</row>
    <row r="241" spans="1:53">
      <c r="A241" s="3">
        <v>6</v>
      </c>
      <c r="B241" s="125" t="str">
        <f>IFERROR(INDEX('S21 Routing Clustered'!$A$3:$A$18, A241), "")</f>
        <v>I-071</v>
      </c>
      <c r="C241" s="3">
        <v>50</v>
      </c>
      <c r="D241" s="391" t="str">
        <f>IFERROR(HLOOKUP(C241, 'S21 Routing Clustered'!$B$2:$I$18, A241+1, 0), "")</f>
        <v>WS-34</v>
      </c>
      <c r="E241" s="391" t="str">
        <f t="shared" si="11"/>
        <v>WS-44</v>
      </c>
      <c r="F241" s="3">
        <f>IF(E241="", "", VLOOKUP(B241, 'S14 ABC Output'!$A$3:$C$18, 3, 0))</f>
        <v>25649</v>
      </c>
      <c r="I241" s="392" t="str">
        <f t="shared" si="13"/>
        <v>WS-04</v>
      </c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</row>
    <row r="242" spans="1:53">
      <c r="A242" s="3">
        <v>6</v>
      </c>
      <c r="B242" s="125" t="str">
        <f>IFERROR(INDEX('S21 Routing Clustered'!$A$3:$A$18, A242), "")</f>
        <v>I-071</v>
      </c>
      <c r="C242" s="3">
        <v>60</v>
      </c>
      <c r="D242" s="391" t="str">
        <f>IFERROR(HLOOKUP(C242, 'S21 Routing Clustered'!$B$2:$I$18, A242+1, 0), "")</f>
        <v>WS-44</v>
      </c>
      <c r="E242" s="391" t="str">
        <f t="shared" si="11"/>
        <v/>
      </c>
      <c r="F242" s="3" t="str">
        <f>IF(E242="", "", VLOOKUP(B242, 'S14 ABC Output'!$A$3:$C$18, 3, 0))</f>
        <v/>
      </c>
      <c r="I242" s="392" t="str">
        <f t="shared" si="13"/>
        <v>WS-05</v>
      </c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>
        <v>25649</v>
      </c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</row>
    <row r="243" spans="1:53">
      <c r="A243" s="3">
        <v>6</v>
      </c>
      <c r="B243" s="125" t="str">
        <f>IFERROR(INDEX('S21 Routing Clustered'!$A$3:$A$18, A243), "")</f>
        <v>I-071</v>
      </c>
      <c r="C243" s="3">
        <v>70</v>
      </c>
      <c r="D243" s="391" t="str">
        <f>IFERROR(HLOOKUP(C243, 'S21 Routing Clustered'!$B$2:$I$18, A243+1, 0), "")</f>
        <v/>
      </c>
      <c r="E243" s="391" t="str">
        <f t="shared" si="11"/>
        <v/>
      </c>
      <c r="F243" s="3" t="str">
        <f>IF(E243="", "", VLOOKUP(B243, 'S14 ABC Output'!$A$3:$C$18, 3, 0))</f>
        <v/>
      </c>
      <c r="I243" s="392" t="str">
        <f t="shared" si="13"/>
        <v>WS-06</v>
      </c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</row>
    <row r="244" spans="1:53">
      <c r="A244" s="3">
        <v>6</v>
      </c>
      <c r="B244" s="125" t="str">
        <f>IFERROR(INDEX('S21 Routing Clustered'!$A$3:$A$18, A244), "")</f>
        <v>I-071</v>
      </c>
      <c r="C244" s="3">
        <v>80</v>
      </c>
      <c r="D244" s="391" t="str">
        <f>IFERROR(HLOOKUP(C244, 'S21 Routing Clustered'!$B$2:$I$18, A244+1, 0), "")</f>
        <v/>
      </c>
      <c r="E244" s="391" t="str">
        <f t="shared" si="11"/>
        <v/>
      </c>
      <c r="F244" s="3" t="str">
        <f>IF(E244="", "", VLOOKUP(B244, 'S14 ABC Output'!$A$3:$C$18, 3, 0))</f>
        <v/>
      </c>
      <c r="I244" s="392" t="str">
        <f t="shared" si="13"/>
        <v>WS-07</v>
      </c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</row>
    <row r="245" spans="1:53">
      <c r="A245" s="3">
        <v>6</v>
      </c>
      <c r="B245" s="125" t="str">
        <f>IFERROR(INDEX('S21 Routing Clustered'!$A$3:$A$18, A245), "")</f>
        <v>I-071</v>
      </c>
      <c r="C245" s="3">
        <v>90</v>
      </c>
      <c r="D245" s="391" t="str">
        <f>IFERROR(HLOOKUP(C245, 'S21 Routing Clustered'!$B$2:$I$18, A245+1, 0), "")</f>
        <v/>
      </c>
      <c r="E245" s="391" t="str">
        <f t="shared" si="11"/>
        <v/>
      </c>
      <c r="F245" s="3" t="str">
        <f>IF(E245="", "", VLOOKUP(B245, 'S14 ABC Output'!$A$3:$C$18, 3, 0))</f>
        <v/>
      </c>
      <c r="I245" s="392" t="str">
        <f t="shared" si="13"/>
        <v>WS-08</v>
      </c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</row>
    <row r="246" spans="1:53">
      <c r="A246" s="3">
        <v>6</v>
      </c>
      <c r="B246" s="125" t="str">
        <f>IFERROR(INDEX('S21 Routing Clustered'!$A$3:$A$18, A246), "")</f>
        <v>I-071</v>
      </c>
      <c r="C246" s="3">
        <v>100</v>
      </c>
      <c r="D246" s="391" t="str">
        <f>IFERROR(HLOOKUP(C246, 'S21 Routing Clustered'!$B$2:$I$18, A246+1, 0), "")</f>
        <v/>
      </c>
      <c r="E246" s="391" t="str">
        <f t="shared" si="11"/>
        <v/>
      </c>
      <c r="F246" s="3" t="str">
        <f>IF(E246="", "", VLOOKUP(B246, 'S14 ABC Output'!$A$3:$C$18, 3, 0))</f>
        <v/>
      </c>
      <c r="I246" s="392" t="str">
        <f t="shared" si="13"/>
        <v>WS-09</v>
      </c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</row>
    <row r="247" spans="1:53">
      <c r="A247" s="3">
        <v>6</v>
      </c>
      <c r="B247" s="125" t="str">
        <f>IFERROR(INDEX('S21 Routing Clustered'!$A$3:$A$18, A247), "")</f>
        <v>I-071</v>
      </c>
      <c r="C247" s="3">
        <v>110</v>
      </c>
      <c r="D247" s="391" t="str">
        <f>IFERROR(HLOOKUP(C247, 'S21 Routing Clustered'!$B$2:$I$18, A247+1, 0), "")</f>
        <v/>
      </c>
      <c r="E247" s="391" t="str">
        <f t="shared" si="11"/>
        <v/>
      </c>
      <c r="F247" s="3" t="str">
        <f>IF(E247="", "", VLOOKUP(B247, 'S14 ABC Output'!$A$3:$C$18, 3, 0))</f>
        <v/>
      </c>
      <c r="I247" s="392" t="str">
        <f t="shared" si="13"/>
        <v>WS-10</v>
      </c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</row>
    <row r="248" spans="1:53">
      <c r="A248" s="3">
        <v>6</v>
      </c>
      <c r="B248" s="125" t="str">
        <f>IFERROR(INDEX('S21 Routing Clustered'!$A$3:$A$18, A248), "")</f>
        <v>I-071</v>
      </c>
      <c r="C248" s="3">
        <v>120</v>
      </c>
      <c r="D248" s="391" t="str">
        <f>IFERROR(HLOOKUP(C248, 'S21 Routing Clustered'!$B$2:$I$18, A248+1, 0), "")</f>
        <v/>
      </c>
      <c r="E248" s="391" t="str">
        <f t="shared" si="11"/>
        <v/>
      </c>
      <c r="F248" s="3" t="str">
        <f>IF(E248="", "", VLOOKUP(B248, 'S14 ABC Output'!$A$3:$C$18, 3, 0))</f>
        <v/>
      </c>
      <c r="I248" s="392" t="str">
        <f t="shared" si="13"/>
        <v>WS-11</v>
      </c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</row>
    <row r="249" spans="1:53">
      <c r="A249" s="3">
        <v>6</v>
      </c>
      <c r="B249" s="125" t="str">
        <f>IFERROR(INDEX('S21 Routing Clustered'!$A$3:$A$18, A249), "")</f>
        <v>I-071</v>
      </c>
      <c r="C249" s="3">
        <v>130</v>
      </c>
      <c r="D249" s="391" t="str">
        <f>IFERROR(HLOOKUP(C249, 'S21 Routing Clustered'!$B$2:$I$18, A249+1, 0), "")</f>
        <v/>
      </c>
      <c r="E249" s="391" t="str">
        <f t="shared" si="11"/>
        <v/>
      </c>
      <c r="F249" s="3" t="str">
        <f>IF(E249="", "", VLOOKUP(B249, 'S14 ABC Output'!$A$3:$C$18, 3, 0))</f>
        <v/>
      </c>
      <c r="I249" s="392" t="str">
        <f t="shared" si="13"/>
        <v>WS-12</v>
      </c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</row>
    <row r="250" spans="1:53">
      <c r="A250" s="3">
        <v>6</v>
      </c>
      <c r="B250" s="125" t="str">
        <f>IFERROR(INDEX('S21 Routing Clustered'!$A$3:$A$18, A250), "")</f>
        <v>I-071</v>
      </c>
      <c r="C250" s="3">
        <v>140</v>
      </c>
      <c r="D250" s="391" t="str">
        <f>IFERROR(HLOOKUP(C250, 'S21 Routing Clustered'!$B$2:$I$18, A250+1, 0), "")</f>
        <v/>
      </c>
      <c r="E250" s="391" t="str">
        <f t="shared" si="11"/>
        <v/>
      </c>
      <c r="F250" s="3" t="str">
        <f>IF(E250="", "", VLOOKUP(B250, 'S14 ABC Output'!$A$3:$C$18, 3, 0))</f>
        <v/>
      </c>
      <c r="I250" s="392" t="str">
        <f t="shared" si="13"/>
        <v>WS-13</v>
      </c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</row>
    <row r="251" spans="1:53">
      <c r="A251" s="3">
        <v>6</v>
      </c>
      <c r="B251" s="125" t="str">
        <f>IFERROR(INDEX('S21 Routing Clustered'!$A$3:$A$18, A251), "")</f>
        <v>I-071</v>
      </c>
      <c r="C251" s="3">
        <v>150</v>
      </c>
      <c r="D251" s="391" t="str">
        <f>IFERROR(HLOOKUP(C251, 'S21 Routing Clustered'!$B$2:$I$18, A251+1, 0), "")</f>
        <v/>
      </c>
      <c r="E251" s="391" t="str">
        <f t="shared" si="11"/>
        <v/>
      </c>
      <c r="F251" s="3" t="str">
        <f>IF(E251="", "", VLOOKUP(B251, 'S14 ABC Output'!$A$3:$C$18, 3, 0))</f>
        <v/>
      </c>
      <c r="I251" s="392" t="str">
        <f t="shared" si="13"/>
        <v>WS-14</v>
      </c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</row>
    <row r="252" spans="1:53">
      <c r="A252" s="3">
        <v>6</v>
      </c>
      <c r="B252" s="125" t="str">
        <f>IFERROR(INDEX('S21 Routing Clustered'!$A$3:$A$18, A252), "")</f>
        <v>I-071</v>
      </c>
      <c r="C252" s="3">
        <v>160</v>
      </c>
      <c r="D252" s="391" t="str">
        <f>IFERROR(HLOOKUP(C252, 'S21 Routing Clustered'!$B$2:$I$18, A252+1, 0), "")</f>
        <v/>
      </c>
      <c r="E252" s="391" t="str">
        <f t="shared" si="11"/>
        <v/>
      </c>
      <c r="F252" s="3" t="str">
        <f>IF(E252="", "", VLOOKUP(B252, 'S14 ABC Output'!$A$3:$C$18, 3, 0))</f>
        <v/>
      </c>
      <c r="I252" s="392" t="str">
        <f t="shared" si="13"/>
        <v>WS-15</v>
      </c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</row>
    <row r="253" spans="1:53">
      <c r="A253" s="3">
        <v>6</v>
      </c>
      <c r="B253" s="125" t="str">
        <f>IFERROR(INDEX('S21 Routing Clustered'!$A$3:$A$18, A253), "")</f>
        <v>I-071</v>
      </c>
      <c r="C253" s="3">
        <v>170</v>
      </c>
      <c r="D253" s="391" t="str">
        <f>IFERROR(HLOOKUP(C253, 'S21 Routing Clustered'!$B$2:$I$18, A253+1, 0), "")</f>
        <v/>
      </c>
      <c r="E253" s="391" t="str">
        <f t="shared" si="11"/>
        <v/>
      </c>
      <c r="F253" s="3" t="str">
        <f>IF(E253="", "", VLOOKUP(B253, 'S14 ABC Output'!$A$3:$C$18, 3, 0))</f>
        <v/>
      </c>
      <c r="I253" s="392" t="str">
        <f t="shared" si="13"/>
        <v>WS-16</v>
      </c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</row>
    <row r="254" spans="1:53">
      <c r="A254" s="3">
        <v>6</v>
      </c>
      <c r="B254" s="125" t="str">
        <f>IFERROR(INDEX('S21 Routing Clustered'!$A$3:$A$18, A254), "")</f>
        <v>I-071</v>
      </c>
      <c r="C254" s="3">
        <v>180</v>
      </c>
      <c r="D254" s="391" t="str">
        <f>IFERROR(HLOOKUP(C254, 'S21 Routing Clustered'!$B$2:$I$18, A254+1, 0), "")</f>
        <v/>
      </c>
      <c r="E254" s="391" t="str">
        <f t="shared" si="11"/>
        <v/>
      </c>
      <c r="F254" s="3" t="str">
        <f>IF(E254="", "", VLOOKUP(B254, 'S14 ABC Output'!$A$3:$C$18, 3, 0))</f>
        <v/>
      </c>
      <c r="I254" s="392" t="str">
        <f t="shared" si="13"/>
        <v>WS-17</v>
      </c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</row>
    <row r="255" spans="1:53">
      <c r="A255" s="3">
        <v>6</v>
      </c>
      <c r="B255" s="125" t="str">
        <f>IFERROR(INDEX('S21 Routing Clustered'!$A$3:$A$18, A255), "")</f>
        <v>I-071</v>
      </c>
      <c r="C255" s="3">
        <v>190</v>
      </c>
      <c r="D255" s="391" t="str">
        <f>IFERROR(HLOOKUP(C255, 'S21 Routing Clustered'!$B$2:$I$18, A255+1, 0), "")</f>
        <v/>
      </c>
      <c r="E255" s="391" t="str">
        <f t="shared" si="11"/>
        <v/>
      </c>
      <c r="F255" s="3" t="str">
        <f>IF(E255="", "", VLOOKUP(B255, 'S14 ABC Output'!$A$3:$C$18, 3, 0))</f>
        <v/>
      </c>
      <c r="I255" s="392" t="str">
        <f t="shared" si="13"/>
        <v>WS-18</v>
      </c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</row>
    <row r="256" spans="1:53">
      <c r="A256" s="3">
        <v>6</v>
      </c>
      <c r="B256" s="125" t="str">
        <f>IFERROR(INDEX('S21 Routing Clustered'!$A$3:$A$18, A256), "")</f>
        <v>I-071</v>
      </c>
      <c r="C256" s="3">
        <v>200</v>
      </c>
      <c r="D256" s="391" t="str">
        <f>IFERROR(HLOOKUP(C256, 'S21 Routing Clustered'!$B$2:$I$18, A256+1, 0), "")</f>
        <v/>
      </c>
      <c r="E256" s="391" t="str">
        <f t="shared" si="11"/>
        <v/>
      </c>
      <c r="F256" s="3" t="str">
        <f>IF(E256="", "", VLOOKUP(B256, 'S14 ABC Output'!$A$3:$C$18, 3, 0))</f>
        <v/>
      </c>
      <c r="I256" s="392" t="str">
        <f t="shared" si="13"/>
        <v>WS-19</v>
      </c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</row>
    <row r="257" spans="1:53">
      <c r="A257" s="3">
        <v>6</v>
      </c>
      <c r="B257" s="125" t="str">
        <f>IFERROR(INDEX('S21 Routing Clustered'!$A$3:$A$18, A257), "")</f>
        <v>I-071</v>
      </c>
      <c r="C257" s="3">
        <v>210</v>
      </c>
      <c r="D257" s="391" t="str">
        <f>IFERROR(HLOOKUP(C257, 'S21 Routing Clustered'!$B$2:$I$18, A257+1, 0), "")</f>
        <v/>
      </c>
      <c r="E257" s="391" t="str">
        <f t="shared" si="11"/>
        <v/>
      </c>
      <c r="F257" s="3" t="str">
        <f>IF(E257="", "", VLOOKUP(B257, 'S14 ABC Output'!$A$3:$C$18, 3, 0))</f>
        <v/>
      </c>
      <c r="I257" s="392" t="str">
        <f t="shared" si="13"/>
        <v>WS-20</v>
      </c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</row>
    <row r="258" spans="1:53">
      <c r="A258" s="3">
        <v>6</v>
      </c>
      <c r="B258" s="125" t="str">
        <f>IFERROR(INDEX('S21 Routing Clustered'!$A$3:$A$18, A258), "")</f>
        <v>I-071</v>
      </c>
      <c r="C258" s="3">
        <v>220</v>
      </c>
      <c r="D258" s="391" t="str">
        <f>IFERROR(HLOOKUP(C258, 'S21 Routing Clustered'!$B$2:$I$18, A258+1, 0), "")</f>
        <v/>
      </c>
      <c r="E258" s="391" t="str">
        <f t="shared" si="11"/>
        <v/>
      </c>
      <c r="F258" s="3" t="str">
        <f>IF(E258="", "", VLOOKUP(B258, 'S14 ABC Output'!$A$3:$C$18, 3, 0))</f>
        <v/>
      </c>
      <c r="I258" s="392" t="str">
        <f t="shared" si="13"/>
        <v>WS-21</v>
      </c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</row>
    <row r="259" spans="1:53">
      <c r="A259" s="3">
        <v>6</v>
      </c>
      <c r="B259" s="125" t="str">
        <f>IFERROR(INDEX('S21 Routing Clustered'!$A$3:$A$18, A259), "")</f>
        <v>I-071</v>
      </c>
      <c r="C259" s="3">
        <v>230</v>
      </c>
      <c r="D259" s="391" t="str">
        <f>IFERROR(HLOOKUP(C259, 'S21 Routing Clustered'!$B$2:$I$18, A259+1, 0), "")</f>
        <v/>
      </c>
      <c r="E259" s="391" t="str">
        <f t="shared" ref="E259:E322" si="14">IF(D259="", "", D260)</f>
        <v/>
      </c>
      <c r="F259" s="3" t="str">
        <f>IF(E259="", "", VLOOKUP(B259, 'S14 ABC Output'!$A$3:$C$18, 3, 0))</f>
        <v/>
      </c>
      <c r="I259" s="392" t="str">
        <f t="shared" si="13"/>
        <v>WS-22</v>
      </c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</row>
    <row r="260" spans="1:53">
      <c r="A260" s="3">
        <v>6</v>
      </c>
      <c r="B260" s="125" t="str">
        <f>IFERROR(INDEX('S21 Routing Clustered'!$A$3:$A$18, A260), "")</f>
        <v>I-071</v>
      </c>
      <c r="C260" s="3">
        <v>240</v>
      </c>
      <c r="D260" s="391" t="str">
        <f>IFERROR(HLOOKUP(C260, 'S21 Routing Clustered'!$B$2:$I$18, A260+1, 0), "")</f>
        <v/>
      </c>
      <c r="E260" s="391" t="str">
        <f t="shared" si="14"/>
        <v/>
      </c>
      <c r="F260" s="3" t="str">
        <f>IF(E260="", "", VLOOKUP(B260, 'S14 ABC Output'!$A$3:$C$18, 3, 0))</f>
        <v/>
      </c>
      <c r="I260" s="392" t="str">
        <f t="shared" si="13"/>
        <v>WS-23</v>
      </c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</row>
    <row r="261" spans="1:53">
      <c r="A261" s="3">
        <v>6</v>
      </c>
      <c r="B261" s="125" t="str">
        <f>IFERROR(INDEX('S21 Routing Clustered'!$A$3:$A$18, A261), "")</f>
        <v>I-071</v>
      </c>
      <c r="C261" s="3">
        <v>250</v>
      </c>
      <c r="D261" s="391" t="str">
        <f>IFERROR(HLOOKUP(C261, 'S21 Routing Clustered'!$B$2:$I$18, A261+1, 0), "")</f>
        <v/>
      </c>
      <c r="E261" s="391" t="str">
        <f t="shared" si="14"/>
        <v/>
      </c>
      <c r="F261" s="3" t="str">
        <f>IF(E261="", "", VLOOKUP(B261, 'S14 ABC Output'!$A$3:$C$18, 3, 0))</f>
        <v/>
      </c>
      <c r="I261" s="392" t="str">
        <f t="shared" si="13"/>
        <v>WS-24</v>
      </c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</row>
    <row r="262" spans="1:53">
      <c r="A262" s="3">
        <v>6</v>
      </c>
      <c r="B262" s="125" t="str">
        <f>IFERROR(INDEX('S21 Routing Clustered'!$A$3:$A$18, A262), "")</f>
        <v>I-071</v>
      </c>
      <c r="C262" s="3">
        <v>260</v>
      </c>
      <c r="D262" s="391" t="str">
        <f>IFERROR(HLOOKUP(C262, 'S21 Routing Clustered'!$B$2:$I$18, A262+1, 0), "")</f>
        <v/>
      </c>
      <c r="E262" s="391" t="str">
        <f t="shared" si="14"/>
        <v/>
      </c>
      <c r="F262" s="3" t="str">
        <f>IF(E262="", "", VLOOKUP(B262, 'S14 ABC Output'!$A$3:$C$18, 3, 0))</f>
        <v/>
      </c>
      <c r="I262" s="392" t="str">
        <f t="shared" si="13"/>
        <v>WS-25</v>
      </c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>
        <v>25649</v>
      </c>
      <c r="AR262" s="3"/>
      <c r="AS262" s="3"/>
      <c r="AT262" s="3"/>
      <c r="AU262" s="3"/>
      <c r="AV262" s="3"/>
      <c r="AW262" s="3"/>
      <c r="AX262" s="3"/>
      <c r="AY262" s="3"/>
      <c r="AZ262" s="3"/>
      <c r="BA262" s="3"/>
    </row>
    <row r="263" spans="1:53">
      <c r="A263" s="3">
        <v>6</v>
      </c>
      <c r="B263" s="125" t="str">
        <f>IFERROR(INDEX('S21 Routing Clustered'!$A$3:$A$18, A263), "")</f>
        <v>I-071</v>
      </c>
      <c r="C263" s="3">
        <v>270</v>
      </c>
      <c r="D263" s="391" t="str">
        <f>IFERROR(HLOOKUP(C263, 'S21 Routing Clustered'!$B$2:$I$18, A263+1, 0), "")</f>
        <v/>
      </c>
      <c r="E263" s="391" t="str">
        <f t="shared" si="14"/>
        <v/>
      </c>
      <c r="F263" s="3" t="str">
        <f>IF(E263="", "", VLOOKUP(B263, 'S14 ABC Output'!$A$3:$C$18, 3, 0))</f>
        <v/>
      </c>
      <c r="I263" s="392" t="str">
        <f t="shared" si="13"/>
        <v>WS-26</v>
      </c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</row>
    <row r="264" spans="1:53">
      <c r="A264" s="3">
        <v>6</v>
      </c>
      <c r="B264" s="125" t="str">
        <f>IFERROR(INDEX('S21 Routing Clustered'!$A$3:$A$18, A264), "")</f>
        <v>I-071</v>
      </c>
      <c r="C264" s="3">
        <v>280</v>
      </c>
      <c r="D264" s="391" t="str">
        <f>IFERROR(HLOOKUP(C264, 'S21 Routing Clustered'!$B$2:$I$18, A264+1, 0), "")</f>
        <v/>
      </c>
      <c r="E264" s="391" t="str">
        <f t="shared" si="14"/>
        <v/>
      </c>
      <c r="F264" s="3" t="str">
        <f>IF(E264="", "", VLOOKUP(B264, 'S14 ABC Output'!$A$3:$C$18, 3, 0))</f>
        <v/>
      </c>
      <c r="I264" s="392" t="str">
        <f t="shared" si="13"/>
        <v>WS-27</v>
      </c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</row>
    <row r="265" spans="1:53">
      <c r="A265" s="3">
        <v>6</v>
      </c>
      <c r="B265" s="125" t="str">
        <f>IFERROR(INDEX('S21 Routing Clustered'!$A$3:$A$18, A265), "")</f>
        <v>I-071</v>
      </c>
      <c r="C265" s="3">
        <v>290</v>
      </c>
      <c r="D265" s="391" t="str">
        <f>IFERROR(HLOOKUP(C265, 'S21 Routing Clustered'!$B$2:$I$18, A265+1, 0), "")</f>
        <v/>
      </c>
      <c r="E265" s="391" t="str">
        <f t="shared" si="14"/>
        <v/>
      </c>
      <c r="F265" s="3" t="str">
        <f>IF(E265="", "", VLOOKUP(B265, 'S14 ABC Output'!$A$3:$C$18, 3, 0))</f>
        <v/>
      </c>
      <c r="I265" s="392" t="str">
        <f t="shared" si="13"/>
        <v>WS-28</v>
      </c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</row>
    <row r="266" spans="1:53">
      <c r="A266" s="3">
        <v>6</v>
      </c>
      <c r="B266" s="125" t="str">
        <f>IFERROR(INDEX('S21 Routing Clustered'!$A$3:$A$18, A266), "")</f>
        <v>I-071</v>
      </c>
      <c r="C266" s="3">
        <v>300</v>
      </c>
      <c r="D266" s="391" t="str">
        <f>IFERROR(HLOOKUP(C266, 'S21 Routing Clustered'!$B$2:$I$18, A266+1, 0), "")</f>
        <v/>
      </c>
      <c r="E266" s="391" t="str">
        <f t="shared" si="14"/>
        <v/>
      </c>
      <c r="F266" s="3" t="str">
        <f>IF(E266="", "", VLOOKUP(B266, 'S14 ABC Output'!$A$3:$C$18, 3, 0))</f>
        <v/>
      </c>
      <c r="I266" s="392" t="str">
        <f t="shared" si="13"/>
        <v>WS-29</v>
      </c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</row>
    <row r="267" spans="1:53">
      <c r="A267" s="3">
        <v>6</v>
      </c>
      <c r="B267" s="125" t="str">
        <f>IFERROR(INDEX('S21 Routing Clustered'!$A$3:$A$18, A267), "")</f>
        <v>I-071</v>
      </c>
      <c r="C267" s="3">
        <v>310</v>
      </c>
      <c r="D267" s="391" t="str">
        <f>IFERROR(HLOOKUP(C267, 'S21 Routing Clustered'!$B$2:$I$18, A267+1, 0), "")</f>
        <v/>
      </c>
      <c r="E267" s="391" t="str">
        <f t="shared" si="14"/>
        <v/>
      </c>
      <c r="F267" s="3" t="str">
        <f>IF(E267="", "", VLOOKUP(B267, 'S14 ABC Output'!$A$3:$C$18, 3, 0))</f>
        <v/>
      </c>
      <c r="I267" s="392" t="str">
        <f t="shared" si="13"/>
        <v>WS-30</v>
      </c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</row>
    <row r="268" spans="1:53">
      <c r="A268" s="3">
        <v>6</v>
      </c>
      <c r="B268" s="125" t="str">
        <f>IFERROR(INDEX('S21 Routing Clustered'!$A$3:$A$18, A268), "")</f>
        <v>I-071</v>
      </c>
      <c r="C268" s="3">
        <v>320</v>
      </c>
      <c r="D268" s="391" t="str">
        <f>IFERROR(HLOOKUP(C268, 'S21 Routing Clustered'!$B$2:$I$18, A268+1, 0), "")</f>
        <v/>
      </c>
      <c r="E268" s="391" t="str">
        <f t="shared" si="14"/>
        <v/>
      </c>
      <c r="F268" s="3" t="str">
        <f>IF(E268="", "", VLOOKUP(B268, 'S14 ABC Output'!$A$3:$C$18, 3, 0))</f>
        <v/>
      </c>
      <c r="I268" s="392" t="str">
        <f t="shared" si="13"/>
        <v>WS-31</v>
      </c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</row>
    <row r="269" spans="1:53">
      <c r="A269" s="3">
        <v>6</v>
      </c>
      <c r="B269" s="125" t="str">
        <f>IFERROR(INDEX('S21 Routing Clustered'!$A$3:$A$18, A269), "")</f>
        <v>I-071</v>
      </c>
      <c r="C269" s="3">
        <v>330</v>
      </c>
      <c r="D269" s="391" t="str">
        <f>IFERROR(HLOOKUP(C269, 'S21 Routing Clustered'!$B$2:$I$18, A269+1, 0), "")</f>
        <v/>
      </c>
      <c r="E269" s="391" t="str">
        <f t="shared" si="14"/>
        <v/>
      </c>
      <c r="F269" s="3" t="str">
        <f>IF(E269="", "", VLOOKUP(B269, 'S14 ABC Output'!$A$3:$C$18, 3, 0))</f>
        <v/>
      </c>
      <c r="I269" s="392" t="str">
        <f t="shared" si="13"/>
        <v>WS-32</v>
      </c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</row>
    <row r="270" spans="1:53">
      <c r="A270" s="3">
        <v>6</v>
      </c>
      <c r="B270" s="125" t="str">
        <f>IFERROR(INDEX('S21 Routing Clustered'!$A$3:$A$18, A270), "")</f>
        <v>I-071</v>
      </c>
      <c r="C270" s="3">
        <v>340</v>
      </c>
      <c r="D270" s="391" t="str">
        <f>IFERROR(HLOOKUP(C270, 'S21 Routing Clustered'!$B$2:$I$18, A270+1, 0), "")</f>
        <v/>
      </c>
      <c r="E270" s="391" t="str">
        <f t="shared" si="14"/>
        <v/>
      </c>
      <c r="F270" s="3" t="str">
        <f>IF(E270="", "", VLOOKUP(B270, 'S14 ABC Output'!$A$3:$C$18, 3, 0))</f>
        <v/>
      </c>
      <c r="I270" s="392" t="str">
        <f t="shared" si="13"/>
        <v>WS-33</v>
      </c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</row>
    <row r="271" spans="1:53">
      <c r="A271" s="3">
        <v>6</v>
      </c>
      <c r="B271" s="125" t="str">
        <f>IFERROR(INDEX('S21 Routing Clustered'!$A$3:$A$18, A271), "")</f>
        <v>I-071</v>
      </c>
      <c r="C271" s="3">
        <v>350</v>
      </c>
      <c r="D271" s="391" t="str">
        <f>IFERROR(HLOOKUP(C271, 'S21 Routing Clustered'!$B$2:$I$18, A271+1, 0), "")</f>
        <v/>
      </c>
      <c r="E271" s="391" t="str">
        <f t="shared" si="14"/>
        <v/>
      </c>
      <c r="F271" s="3" t="str">
        <f>IF(E271="", "", VLOOKUP(B271, 'S14 ABC Output'!$A$3:$C$18, 3, 0))</f>
        <v/>
      </c>
      <c r="I271" s="392" t="str">
        <f t="shared" si="13"/>
        <v>WS-34</v>
      </c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>
        <v>25649</v>
      </c>
    </row>
    <row r="272" spans="1:53">
      <c r="A272" s="3">
        <v>6</v>
      </c>
      <c r="B272" s="125" t="str">
        <f>IFERROR(INDEX('S21 Routing Clustered'!$A$3:$A$18, A272), "")</f>
        <v>I-071</v>
      </c>
      <c r="C272" s="3">
        <v>360</v>
      </c>
      <c r="D272" s="391" t="str">
        <f>IFERROR(HLOOKUP(C272, 'S21 Routing Clustered'!$B$2:$I$18, A272+1, 0), "")</f>
        <v/>
      </c>
      <c r="E272" s="391" t="str">
        <f t="shared" si="14"/>
        <v/>
      </c>
      <c r="F272" s="3" t="str">
        <f>IF(E272="", "", VLOOKUP(B272, 'S14 ABC Output'!$A$3:$C$18, 3, 0))</f>
        <v/>
      </c>
      <c r="I272" s="392" t="str">
        <f t="shared" si="13"/>
        <v>WS-35</v>
      </c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</row>
    <row r="273" spans="1:53">
      <c r="A273" s="3">
        <v>6</v>
      </c>
      <c r="B273" s="125" t="str">
        <f>IFERROR(INDEX('S21 Routing Clustered'!$A$3:$A$18, A273), "")</f>
        <v>I-071</v>
      </c>
      <c r="C273" s="3">
        <v>370</v>
      </c>
      <c r="D273" s="391" t="str">
        <f>IFERROR(HLOOKUP(C273, 'S21 Routing Clustered'!$B$2:$I$18, A273+1, 0), "")</f>
        <v/>
      </c>
      <c r="E273" s="391" t="str">
        <f t="shared" si="14"/>
        <v/>
      </c>
      <c r="F273" s="3" t="str">
        <f>IF(E273="", "", VLOOKUP(B273, 'S14 ABC Output'!$A$3:$C$18, 3, 0))</f>
        <v/>
      </c>
      <c r="I273" s="392" t="str">
        <f t="shared" si="13"/>
        <v>WS-36</v>
      </c>
      <c r="J273" s="3"/>
      <c r="K273" s="3"/>
      <c r="L273" s="3"/>
      <c r="M273" s="3"/>
      <c r="N273" s="3">
        <v>25649</v>
      </c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</row>
    <row r="274" spans="1:53">
      <c r="A274" s="3">
        <v>6</v>
      </c>
      <c r="B274" s="125" t="str">
        <f>IFERROR(INDEX('S21 Routing Clustered'!$A$3:$A$18, A274), "")</f>
        <v>I-071</v>
      </c>
      <c r="C274" s="3">
        <v>380</v>
      </c>
      <c r="D274" s="391" t="str">
        <f>IFERROR(HLOOKUP(C274, 'S21 Routing Clustered'!$B$2:$I$18, A274+1, 0), "")</f>
        <v/>
      </c>
      <c r="E274" s="391" t="str">
        <f t="shared" si="14"/>
        <v/>
      </c>
      <c r="F274" s="3" t="str">
        <f>IF(E274="", "", VLOOKUP(B274, 'S14 ABC Output'!$A$3:$C$18, 3, 0))</f>
        <v/>
      </c>
      <c r="I274" s="392" t="str">
        <f t="shared" si="13"/>
        <v>WS-37</v>
      </c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</row>
    <row r="275" spans="1:53">
      <c r="A275" s="3">
        <v>6</v>
      </c>
      <c r="B275" s="125" t="str">
        <f>IFERROR(INDEX('S21 Routing Clustered'!$A$3:$A$18, A275), "")</f>
        <v>I-071</v>
      </c>
      <c r="C275" s="3">
        <v>390</v>
      </c>
      <c r="D275" s="391" t="str">
        <f>IFERROR(HLOOKUP(C275, 'S21 Routing Clustered'!$B$2:$I$18, A275+1, 0), "")</f>
        <v/>
      </c>
      <c r="E275" s="391" t="str">
        <f t="shared" si="14"/>
        <v/>
      </c>
      <c r="F275" s="3" t="str">
        <f>IF(E275="", "", VLOOKUP(B275, 'S14 ABC Output'!$A$3:$C$18, 3, 0))</f>
        <v/>
      </c>
      <c r="I275" s="392" t="str">
        <f t="shared" si="13"/>
        <v>WS-38</v>
      </c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</row>
    <row r="276" spans="1:53">
      <c r="A276" s="3">
        <v>6</v>
      </c>
      <c r="B276" s="125" t="str">
        <f>IFERROR(INDEX('S21 Routing Clustered'!$A$3:$A$18, A276), "")</f>
        <v>I-071</v>
      </c>
      <c r="C276" s="3">
        <v>400</v>
      </c>
      <c r="D276" s="391" t="str">
        <f>IFERROR(HLOOKUP(C276, 'S21 Routing Clustered'!$B$2:$I$18, A276+1, 0), "")</f>
        <v/>
      </c>
      <c r="E276" s="391" t="str">
        <f t="shared" si="14"/>
        <v/>
      </c>
      <c r="F276" s="3" t="str">
        <f>IF(E276="", "", VLOOKUP(B276, 'S14 ABC Output'!$A$3:$C$18, 3, 0))</f>
        <v/>
      </c>
      <c r="I276" s="392" t="str">
        <f t="shared" si="13"/>
        <v>WS-39</v>
      </c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</row>
    <row r="277" spans="1:53">
      <c r="A277" s="3">
        <v>6</v>
      </c>
      <c r="B277" s="125" t="str">
        <f>IFERROR(INDEX('S21 Routing Clustered'!$A$3:$A$18, A277), "")</f>
        <v>I-071</v>
      </c>
      <c r="C277" s="3">
        <v>410</v>
      </c>
      <c r="D277" s="391" t="str">
        <f>IFERROR(HLOOKUP(C277, 'S21 Routing Clustered'!$B$2:$I$18, A277+1, 0), "")</f>
        <v/>
      </c>
      <c r="E277" s="391" t="str">
        <f t="shared" si="14"/>
        <v/>
      </c>
      <c r="F277" s="3" t="str">
        <f>IF(E277="", "", VLOOKUP(B277, 'S14 ABC Output'!$A$3:$C$18, 3, 0))</f>
        <v/>
      </c>
      <c r="I277" s="392" t="str">
        <f t="shared" si="13"/>
        <v>WS-40</v>
      </c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</row>
    <row r="278" spans="1:53">
      <c r="A278" s="3">
        <v>6</v>
      </c>
      <c r="B278" s="125" t="str">
        <f>IFERROR(INDEX('S21 Routing Clustered'!$A$3:$A$18, A278), "")</f>
        <v>I-071</v>
      </c>
      <c r="C278" s="3">
        <v>420</v>
      </c>
      <c r="D278" s="391" t="str">
        <f>IFERROR(HLOOKUP(C278, 'S21 Routing Clustered'!$B$2:$I$18, A278+1, 0), "")</f>
        <v/>
      </c>
      <c r="E278" s="391" t="str">
        <f t="shared" si="14"/>
        <v/>
      </c>
      <c r="F278" s="3" t="str">
        <f>IF(E278="", "", VLOOKUP(B278, 'S14 ABC Output'!$A$3:$C$18, 3, 0))</f>
        <v/>
      </c>
      <c r="I278" s="392" t="str">
        <f t="shared" si="13"/>
        <v>WS-41</v>
      </c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</row>
    <row r="279" spans="1:53">
      <c r="A279" s="3">
        <v>6</v>
      </c>
      <c r="B279" s="125" t="str">
        <f>IFERROR(INDEX('S21 Routing Clustered'!$A$3:$A$18, A279), "")</f>
        <v>I-071</v>
      </c>
      <c r="C279" s="3">
        <v>430</v>
      </c>
      <c r="D279" s="391" t="str">
        <f>IFERROR(HLOOKUP(C279, 'S21 Routing Clustered'!$B$2:$I$18, A279+1, 0), "")</f>
        <v/>
      </c>
      <c r="E279" s="391" t="str">
        <f t="shared" si="14"/>
        <v/>
      </c>
      <c r="F279" s="3" t="str">
        <f>IF(E279="", "", VLOOKUP(B279, 'S14 ABC Output'!$A$3:$C$18, 3, 0))</f>
        <v/>
      </c>
      <c r="I279" s="392" t="str">
        <f t="shared" si="13"/>
        <v>WS-42</v>
      </c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</row>
    <row r="280" spans="1:53">
      <c r="A280" s="3">
        <v>6</v>
      </c>
      <c r="B280" s="125" t="str">
        <f>IFERROR(INDEX('S21 Routing Clustered'!$A$3:$A$18, A280), "")</f>
        <v>I-071</v>
      </c>
      <c r="C280" s="3">
        <v>440</v>
      </c>
      <c r="D280" s="391" t="str">
        <f>IFERROR(HLOOKUP(C280, 'S21 Routing Clustered'!$B$2:$I$18, A280+1, 0), "")</f>
        <v/>
      </c>
      <c r="E280" s="391" t="str">
        <f t="shared" si="14"/>
        <v/>
      </c>
      <c r="F280" s="3" t="str">
        <f>IF(E280="", "", VLOOKUP(B280, 'S14 ABC Output'!$A$3:$C$18, 3, 0))</f>
        <v/>
      </c>
      <c r="I280" s="392" t="str">
        <f t="shared" si="13"/>
        <v>WS-43</v>
      </c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>
        <v>25649</v>
      </c>
      <c r="AT280" s="3"/>
      <c r="AU280" s="3"/>
      <c r="AV280" s="3"/>
      <c r="AW280" s="3"/>
      <c r="AX280" s="3"/>
      <c r="AY280" s="3"/>
      <c r="AZ280" s="3"/>
      <c r="BA280" s="3"/>
    </row>
    <row r="281" spans="1:53">
      <c r="A281" s="3">
        <v>6</v>
      </c>
      <c r="B281" s="125" t="str">
        <f>IFERROR(INDEX('S21 Routing Clustered'!$A$3:$A$18, A281), "")</f>
        <v>I-071</v>
      </c>
      <c r="C281" s="3">
        <v>450</v>
      </c>
      <c r="D281" s="391" t="str">
        <f>IFERROR(HLOOKUP(C281, 'S21 Routing Clustered'!$B$2:$I$18, A281+1, 0), "")</f>
        <v/>
      </c>
      <c r="E281" s="391" t="str">
        <f t="shared" si="14"/>
        <v/>
      </c>
      <c r="F281" s="3" t="str">
        <f>IF(E281="", "", VLOOKUP(B281, 'S14 ABC Output'!$A$3:$C$18, 3, 0))</f>
        <v/>
      </c>
      <c r="I281" s="392" t="str">
        <f t="shared" si="13"/>
        <v>WS-44</v>
      </c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</row>
    <row r="282" spans="1:53">
      <c r="B282" s="125" t="str">
        <f>IFERROR(INDEX('S21 Routing Clustered'!$A$3:$A$18, A282), "")</f>
        <v/>
      </c>
      <c r="C282" s="76"/>
      <c r="D282" s="391" t="str">
        <f>IFERROR(HLOOKUP(C282, 'S21 Routing Clustered'!$B$2:$I$18, A282+1, 0), "")</f>
        <v/>
      </c>
      <c r="E282" s="391" t="str">
        <f t="shared" si="14"/>
        <v/>
      </c>
      <c r="F282" s="3" t="str">
        <f>IF(E282="", "", VLOOKUP(B282, 'S14 ABC Output'!$A$3:$C$18, 3, 0))</f>
        <v/>
      </c>
      <c r="I282" s="392"/>
    </row>
    <row r="283" spans="1:53">
      <c r="B283" s="125" t="str">
        <f>IFERROR(INDEX('S21 Routing Clustered'!$A$3:$A$18, A283), "")</f>
        <v/>
      </c>
      <c r="C283" s="76"/>
      <c r="D283" s="391" t="str">
        <f>IFERROR(HLOOKUP(C283, 'S21 Routing Clustered'!$B$2:$I$18, A283+1, 0), "")</f>
        <v/>
      </c>
      <c r="E283" s="391" t="str">
        <f t="shared" si="14"/>
        <v/>
      </c>
      <c r="F283" s="3" t="str">
        <f>IF(E283="", "", VLOOKUP(B283, 'S14 ABC Output'!$A$3:$C$18, 3, 0))</f>
        <v/>
      </c>
      <c r="I283" s="392"/>
    </row>
    <row r="284" spans="1:53">
      <c r="A284" s="3">
        <v>7</v>
      </c>
      <c r="B284" s="125" t="str">
        <f>IFERROR(INDEX('S21 Routing Clustered'!$A$3:$A$18, A284), "")</f>
        <v>I-037</v>
      </c>
      <c r="C284" s="3">
        <v>10</v>
      </c>
      <c r="D284" s="391" t="str">
        <f>IFERROR(HLOOKUP(C284, 'S21 Routing Clustered'!$B$2:$I$18, A284+1, 0), "")</f>
        <v>WS-43</v>
      </c>
      <c r="E284" s="391" t="str">
        <f t="shared" si="14"/>
        <v>WS-38</v>
      </c>
      <c r="F284" s="3">
        <f>IF(E284="", "", VLOOKUP(B284, 'S14 ABC Output'!$A$3:$C$18, 3, 0))</f>
        <v>125036</v>
      </c>
      <c r="I284" s="392"/>
      <c r="J284" s="392" t="str">
        <f>J237</f>
        <v>WS-01</v>
      </c>
      <c r="K284" s="392" t="str">
        <f t="shared" ref="K284:BA284" si="15">K237</f>
        <v>WS-02</v>
      </c>
      <c r="L284" s="392" t="str">
        <f t="shared" si="15"/>
        <v>WS-03</v>
      </c>
      <c r="M284" s="392" t="str">
        <f t="shared" si="15"/>
        <v>WS-04</v>
      </c>
      <c r="N284" s="392" t="str">
        <f t="shared" si="15"/>
        <v>WS-05</v>
      </c>
      <c r="O284" s="392" t="str">
        <f t="shared" si="15"/>
        <v>WS-06</v>
      </c>
      <c r="P284" s="392" t="str">
        <f t="shared" si="15"/>
        <v>WS-07</v>
      </c>
      <c r="Q284" s="392" t="str">
        <f t="shared" si="15"/>
        <v>WS-08</v>
      </c>
      <c r="R284" s="392" t="str">
        <f t="shared" si="15"/>
        <v>WS-09</v>
      </c>
      <c r="S284" s="392" t="str">
        <f t="shared" si="15"/>
        <v>WS-10</v>
      </c>
      <c r="T284" s="392" t="str">
        <f t="shared" si="15"/>
        <v>WS-11</v>
      </c>
      <c r="U284" s="392" t="str">
        <f t="shared" si="15"/>
        <v>WS-12</v>
      </c>
      <c r="V284" s="392" t="str">
        <f t="shared" si="15"/>
        <v>WS-13</v>
      </c>
      <c r="W284" s="392" t="str">
        <f t="shared" si="15"/>
        <v>WS-14</v>
      </c>
      <c r="X284" s="392" t="str">
        <f t="shared" si="15"/>
        <v>WS-15</v>
      </c>
      <c r="Y284" s="392" t="str">
        <f t="shared" si="15"/>
        <v>WS-16</v>
      </c>
      <c r="Z284" s="392" t="str">
        <f t="shared" si="15"/>
        <v>WS-17</v>
      </c>
      <c r="AA284" s="392" t="str">
        <f t="shared" si="15"/>
        <v>WS-18</v>
      </c>
      <c r="AB284" s="392" t="str">
        <f t="shared" si="15"/>
        <v>WS-19</v>
      </c>
      <c r="AC284" s="392" t="str">
        <f t="shared" si="15"/>
        <v>WS-20</v>
      </c>
      <c r="AD284" s="392" t="str">
        <f t="shared" si="15"/>
        <v>WS-21</v>
      </c>
      <c r="AE284" s="392" t="str">
        <f t="shared" si="15"/>
        <v>WS-22</v>
      </c>
      <c r="AF284" s="392" t="str">
        <f t="shared" si="15"/>
        <v>WS-23</v>
      </c>
      <c r="AG284" s="392" t="str">
        <f t="shared" si="15"/>
        <v>WS-24</v>
      </c>
      <c r="AH284" s="392" t="str">
        <f t="shared" si="15"/>
        <v>WS-25</v>
      </c>
      <c r="AI284" s="392" t="str">
        <f t="shared" si="15"/>
        <v>WS-26</v>
      </c>
      <c r="AJ284" s="392" t="str">
        <f t="shared" si="15"/>
        <v>WS-27</v>
      </c>
      <c r="AK284" s="392" t="str">
        <f t="shared" si="15"/>
        <v>WS-28</v>
      </c>
      <c r="AL284" s="392" t="str">
        <f t="shared" si="15"/>
        <v>WS-29</v>
      </c>
      <c r="AM284" s="392" t="str">
        <f t="shared" si="15"/>
        <v>WS-30</v>
      </c>
      <c r="AN284" s="392" t="str">
        <f t="shared" si="15"/>
        <v>WS-31</v>
      </c>
      <c r="AO284" s="392" t="str">
        <f t="shared" si="15"/>
        <v>WS-32</v>
      </c>
      <c r="AP284" s="392" t="str">
        <f t="shared" si="15"/>
        <v>WS-33</v>
      </c>
      <c r="AQ284" s="392" t="str">
        <f t="shared" si="15"/>
        <v>WS-34</v>
      </c>
      <c r="AR284" s="392" t="str">
        <f t="shared" si="15"/>
        <v>WS-35</v>
      </c>
      <c r="AS284" s="392" t="str">
        <f t="shared" si="15"/>
        <v>WS-36</v>
      </c>
      <c r="AT284" s="392" t="str">
        <f t="shared" si="15"/>
        <v>WS-37</v>
      </c>
      <c r="AU284" s="392" t="str">
        <f t="shared" si="15"/>
        <v>WS-38</v>
      </c>
      <c r="AV284" s="392" t="str">
        <f t="shared" si="15"/>
        <v>WS-39</v>
      </c>
      <c r="AW284" s="392" t="str">
        <f t="shared" si="15"/>
        <v>WS-40</v>
      </c>
      <c r="AX284" s="392" t="str">
        <f t="shared" si="15"/>
        <v>WS-41</v>
      </c>
      <c r="AY284" s="392" t="str">
        <f t="shared" si="15"/>
        <v>WS-42</v>
      </c>
      <c r="AZ284" s="392" t="str">
        <f t="shared" si="15"/>
        <v>WS-43</v>
      </c>
      <c r="BA284" s="392" t="str">
        <f t="shared" si="15"/>
        <v>WS-44</v>
      </c>
    </row>
    <row r="285" spans="1:53">
      <c r="A285" s="3">
        <v>7</v>
      </c>
      <c r="B285" s="125" t="str">
        <f>IFERROR(INDEX('S21 Routing Clustered'!$A$3:$A$18, A285), "")</f>
        <v>I-037</v>
      </c>
      <c r="C285" s="3">
        <v>20</v>
      </c>
      <c r="D285" s="391" t="str">
        <f>IFERROR(HLOOKUP(C285, 'S21 Routing Clustered'!$B$2:$I$18, A285+1, 0), "")</f>
        <v>WS-38</v>
      </c>
      <c r="E285" s="391" t="str">
        <f t="shared" si="14"/>
        <v>WS-07</v>
      </c>
      <c r="F285" s="3">
        <f>IF(E285="", "", VLOOKUP(B285, 'S14 ABC Output'!$A$3:$C$18, 3, 0))</f>
        <v>125036</v>
      </c>
      <c r="I285" s="392" t="str">
        <f>I238</f>
        <v>WS-01</v>
      </c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</row>
    <row r="286" spans="1:53">
      <c r="A286" s="3">
        <v>7</v>
      </c>
      <c r="B286" s="125" t="str">
        <f>IFERROR(INDEX('S21 Routing Clustered'!$A$3:$A$18, A286), "")</f>
        <v>I-037</v>
      </c>
      <c r="C286" s="3">
        <v>30</v>
      </c>
      <c r="D286" s="391" t="str">
        <f>IFERROR(HLOOKUP(C286, 'S21 Routing Clustered'!$B$2:$I$18, A286+1, 0), "")</f>
        <v>WS-07</v>
      </c>
      <c r="E286" s="391" t="str">
        <f t="shared" si="14"/>
        <v>WS-21</v>
      </c>
      <c r="F286" s="3">
        <f>IF(E286="", "", VLOOKUP(B286, 'S14 ABC Output'!$A$3:$C$18, 3, 0))</f>
        <v>125036</v>
      </c>
      <c r="I286" s="392" t="str">
        <f t="shared" ref="I286:I328" si="16">I239</f>
        <v>WS-02</v>
      </c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</row>
    <row r="287" spans="1:53">
      <c r="A287" s="3">
        <v>7</v>
      </c>
      <c r="B287" s="125" t="str">
        <f>IFERROR(INDEX('S21 Routing Clustered'!$A$3:$A$18, A287), "")</f>
        <v>I-037</v>
      </c>
      <c r="C287" s="3">
        <v>40</v>
      </c>
      <c r="D287" s="391" t="str">
        <f>IFERROR(HLOOKUP(C287, 'S21 Routing Clustered'!$B$2:$I$18, A287+1, 0), "")</f>
        <v>WS-21</v>
      </c>
      <c r="E287" s="391" t="str">
        <f t="shared" si="14"/>
        <v>WS-28</v>
      </c>
      <c r="F287" s="3">
        <f>IF(E287="", "", VLOOKUP(B287, 'S14 ABC Output'!$A$3:$C$18, 3, 0))</f>
        <v>125036</v>
      </c>
      <c r="I287" s="392" t="str">
        <f t="shared" si="16"/>
        <v>WS-03</v>
      </c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</row>
    <row r="288" spans="1:53">
      <c r="A288" s="3">
        <v>7</v>
      </c>
      <c r="B288" s="125" t="str">
        <f>IFERROR(INDEX('S21 Routing Clustered'!$A$3:$A$18, A288), "")</f>
        <v>I-037</v>
      </c>
      <c r="C288" s="3">
        <v>50</v>
      </c>
      <c r="D288" s="391" t="str">
        <f>IFERROR(HLOOKUP(C288, 'S21 Routing Clustered'!$B$2:$I$18, A288+1, 0), "")</f>
        <v>WS-28</v>
      </c>
      <c r="E288" s="391" t="str">
        <f t="shared" si="14"/>
        <v>WS-27</v>
      </c>
      <c r="F288" s="3">
        <f>IF(E288="", "", VLOOKUP(B288, 'S14 ABC Output'!$A$3:$C$18, 3, 0))</f>
        <v>125036</v>
      </c>
      <c r="I288" s="392" t="str">
        <f t="shared" si="16"/>
        <v>WS-04</v>
      </c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</row>
    <row r="289" spans="1:53">
      <c r="A289" s="3">
        <v>7</v>
      </c>
      <c r="B289" s="125" t="str">
        <f>IFERROR(INDEX('S21 Routing Clustered'!$A$3:$A$18, A289), "")</f>
        <v>I-037</v>
      </c>
      <c r="C289" s="3">
        <v>60</v>
      </c>
      <c r="D289" s="391" t="str">
        <f>IFERROR(HLOOKUP(C289, 'S21 Routing Clustered'!$B$2:$I$18, A289+1, 0), "")</f>
        <v>WS-27</v>
      </c>
      <c r="E289" s="391" t="str">
        <f t="shared" si="14"/>
        <v>WS-32</v>
      </c>
      <c r="F289" s="3">
        <f>IF(E289="", "", VLOOKUP(B289, 'S14 ABC Output'!$A$3:$C$18, 3, 0))</f>
        <v>125036</v>
      </c>
      <c r="I289" s="392" t="str">
        <f t="shared" si="16"/>
        <v>WS-05</v>
      </c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</row>
    <row r="290" spans="1:53">
      <c r="A290" s="3">
        <v>7</v>
      </c>
      <c r="B290" s="125" t="str">
        <f>IFERROR(INDEX('S21 Routing Clustered'!$A$3:$A$18, A290), "")</f>
        <v>I-037</v>
      </c>
      <c r="C290" s="3">
        <v>70</v>
      </c>
      <c r="D290" s="391" t="str">
        <f>IFERROR(HLOOKUP(C290, 'S21 Routing Clustered'!$B$2:$I$18, A290+1, 0), "")</f>
        <v>WS-32</v>
      </c>
      <c r="E290" s="391" t="str">
        <f t="shared" si="14"/>
        <v>WS-44</v>
      </c>
      <c r="F290" s="3">
        <f>IF(E290="", "", VLOOKUP(B290, 'S14 ABC Output'!$A$3:$C$18, 3, 0))</f>
        <v>125036</v>
      </c>
      <c r="I290" s="392" t="str">
        <f t="shared" si="16"/>
        <v>WS-06</v>
      </c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</row>
    <row r="291" spans="1:53">
      <c r="A291" s="3">
        <v>7</v>
      </c>
      <c r="B291" s="125" t="str">
        <f>IFERROR(INDEX('S21 Routing Clustered'!$A$3:$A$18, A291), "")</f>
        <v>I-037</v>
      </c>
      <c r="C291" s="3">
        <v>80</v>
      </c>
      <c r="D291" s="391" t="str">
        <f>IFERROR(HLOOKUP(C291, 'S21 Routing Clustered'!$B$2:$I$18, A291+1, 0), "")</f>
        <v>WS-44</v>
      </c>
      <c r="E291" s="391" t="str">
        <f t="shared" si="14"/>
        <v/>
      </c>
      <c r="F291" s="3" t="str">
        <f>IF(E291="", "", VLOOKUP(B291, 'S14 ABC Output'!$A$3:$C$18, 3, 0))</f>
        <v/>
      </c>
      <c r="I291" s="392" t="str">
        <f t="shared" si="16"/>
        <v>WS-07</v>
      </c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>
        <v>125036</v>
      </c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</row>
    <row r="292" spans="1:53">
      <c r="A292" s="3">
        <v>7</v>
      </c>
      <c r="B292" s="125" t="str">
        <f>IFERROR(INDEX('S21 Routing Clustered'!$A$3:$A$18, A292), "")</f>
        <v>I-037</v>
      </c>
      <c r="C292" s="3">
        <v>90</v>
      </c>
      <c r="D292" s="391" t="str">
        <f>IFERROR(HLOOKUP(C292, 'S21 Routing Clustered'!$B$2:$I$18, A292+1, 0), "")</f>
        <v/>
      </c>
      <c r="E292" s="391" t="str">
        <f t="shared" si="14"/>
        <v/>
      </c>
      <c r="F292" s="3" t="str">
        <f>IF(E292="", "", VLOOKUP(B292, 'S14 ABC Output'!$A$3:$C$18, 3, 0))</f>
        <v/>
      </c>
      <c r="I292" s="392" t="str">
        <f t="shared" si="16"/>
        <v>WS-08</v>
      </c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</row>
    <row r="293" spans="1:53">
      <c r="A293" s="3">
        <v>7</v>
      </c>
      <c r="B293" s="125" t="str">
        <f>IFERROR(INDEX('S21 Routing Clustered'!$A$3:$A$18, A293), "")</f>
        <v>I-037</v>
      </c>
      <c r="C293" s="3">
        <v>100</v>
      </c>
      <c r="D293" s="391" t="str">
        <f>IFERROR(HLOOKUP(C293, 'S21 Routing Clustered'!$B$2:$I$18, A293+1, 0), "")</f>
        <v/>
      </c>
      <c r="E293" s="391" t="str">
        <f t="shared" si="14"/>
        <v/>
      </c>
      <c r="F293" s="3" t="str">
        <f>IF(E293="", "", VLOOKUP(B293, 'S14 ABC Output'!$A$3:$C$18, 3, 0))</f>
        <v/>
      </c>
      <c r="I293" s="392" t="str">
        <f t="shared" si="16"/>
        <v>WS-09</v>
      </c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</row>
    <row r="294" spans="1:53">
      <c r="A294" s="3">
        <v>7</v>
      </c>
      <c r="B294" s="125" t="str">
        <f>IFERROR(INDEX('S21 Routing Clustered'!$A$3:$A$18, A294), "")</f>
        <v>I-037</v>
      </c>
      <c r="C294" s="3">
        <v>110</v>
      </c>
      <c r="D294" s="391" t="str">
        <f>IFERROR(HLOOKUP(C294, 'S21 Routing Clustered'!$B$2:$I$18, A294+1, 0), "")</f>
        <v/>
      </c>
      <c r="E294" s="391" t="str">
        <f t="shared" si="14"/>
        <v/>
      </c>
      <c r="F294" s="3" t="str">
        <f>IF(E294="", "", VLOOKUP(B294, 'S14 ABC Output'!$A$3:$C$18, 3, 0))</f>
        <v/>
      </c>
      <c r="I294" s="392" t="str">
        <f t="shared" si="16"/>
        <v>WS-10</v>
      </c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</row>
    <row r="295" spans="1:53">
      <c r="A295" s="3">
        <v>7</v>
      </c>
      <c r="B295" s="125" t="str">
        <f>IFERROR(INDEX('S21 Routing Clustered'!$A$3:$A$18, A295), "")</f>
        <v>I-037</v>
      </c>
      <c r="C295" s="3">
        <v>120</v>
      </c>
      <c r="D295" s="391" t="str">
        <f>IFERROR(HLOOKUP(C295, 'S21 Routing Clustered'!$B$2:$I$18, A295+1, 0), "")</f>
        <v/>
      </c>
      <c r="E295" s="391" t="str">
        <f t="shared" si="14"/>
        <v/>
      </c>
      <c r="F295" s="3" t="str">
        <f>IF(E295="", "", VLOOKUP(B295, 'S14 ABC Output'!$A$3:$C$18, 3, 0))</f>
        <v/>
      </c>
      <c r="I295" s="392" t="str">
        <f t="shared" si="16"/>
        <v>WS-11</v>
      </c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</row>
    <row r="296" spans="1:53">
      <c r="A296" s="3">
        <v>7</v>
      </c>
      <c r="B296" s="125" t="str">
        <f>IFERROR(INDEX('S21 Routing Clustered'!$A$3:$A$18, A296), "")</f>
        <v>I-037</v>
      </c>
      <c r="C296" s="3">
        <v>130</v>
      </c>
      <c r="D296" s="391" t="str">
        <f>IFERROR(HLOOKUP(C296, 'S21 Routing Clustered'!$B$2:$I$18, A296+1, 0), "")</f>
        <v/>
      </c>
      <c r="E296" s="391" t="str">
        <f t="shared" si="14"/>
        <v/>
      </c>
      <c r="F296" s="3" t="str">
        <f>IF(E296="", "", VLOOKUP(B296, 'S14 ABC Output'!$A$3:$C$18, 3, 0))</f>
        <v/>
      </c>
      <c r="I296" s="392" t="str">
        <f t="shared" si="16"/>
        <v>WS-12</v>
      </c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</row>
    <row r="297" spans="1:53">
      <c r="A297" s="3">
        <v>7</v>
      </c>
      <c r="B297" s="125" t="str">
        <f>IFERROR(INDEX('S21 Routing Clustered'!$A$3:$A$18, A297), "")</f>
        <v>I-037</v>
      </c>
      <c r="C297" s="3">
        <v>140</v>
      </c>
      <c r="D297" s="391" t="str">
        <f>IFERROR(HLOOKUP(C297, 'S21 Routing Clustered'!$B$2:$I$18, A297+1, 0), "")</f>
        <v/>
      </c>
      <c r="E297" s="391" t="str">
        <f t="shared" si="14"/>
        <v/>
      </c>
      <c r="F297" s="3" t="str">
        <f>IF(E297="", "", VLOOKUP(B297, 'S14 ABC Output'!$A$3:$C$18, 3, 0))</f>
        <v/>
      </c>
      <c r="I297" s="392" t="str">
        <f t="shared" si="16"/>
        <v>WS-13</v>
      </c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</row>
    <row r="298" spans="1:53">
      <c r="A298" s="3">
        <v>7</v>
      </c>
      <c r="B298" s="125" t="str">
        <f>IFERROR(INDEX('S21 Routing Clustered'!$A$3:$A$18, A298), "")</f>
        <v>I-037</v>
      </c>
      <c r="C298" s="3">
        <v>150</v>
      </c>
      <c r="D298" s="391" t="str">
        <f>IFERROR(HLOOKUP(C298, 'S21 Routing Clustered'!$B$2:$I$18, A298+1, 0), "")</f>
        <v/>
      </c>
      <c r="E298" s="391" t="str">
        <f t="shared" si="14"/>
        <v/>
      </c>
      <c r="F298" s="3" t="str">
        <f>IF(E298="", "", VLOOKUP(B298, 'S14 ABC Output'!$A$3:$C$18, 3, 0))</f>
        <v/>
      </c>
      <c r="I298" s="392" t="str">
        <f t="shared" si="16"/>
        <v>WS-14</v>
      </c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</row>
    <row r="299" spans="1:53">
      <c r="A299" s="3">
        <v>7</v>
      </c>
      <c r="B299" s="125" t="str">
        <f>IFERROR(INDEX('S21 Routing Clustered'!$A$3:$A$18, A299), "")</f>
        <v>I-037</v>
      </c>
      <c r="C299" s="3">
        <v>160</v>
      </c>
      <c r="D299" s="391" t="str">
        <f>IFERROR(HLOOKUP(C299, 'S21 Routing Clustered'!$B$2:$I$18, A299+1, 0), "")</f>
        <v/>
      </c>
      <c r="E299" s="391" t="str">
        <f t="shared" si="14"/>
        <v/>
      </c>
      <c r="F299" s="3" t="str">
        <f>IF(E299="", "", VLOOKUP(B299, 'S14 ABC Output'!$A$3:$C$18, 3, 0))</f>
        <v/>
      </c>
      <c r="I299" s="392" t="str">
        <f t="shared" si="16"/>
        <v>WS-15</v>
      </c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</row>
    <row r="300" spans="1:53">
      <c r="A300" s="3">
        <v>7</v>
      </c>
      <c r="B300" s="125" t="str">
        <f>IFERROR(INDEX('S21 Routing Clustered'!$A$3:$A$18, A300), "")</f>
        <v>I-037</v>
      </c>
      <c r="C300" s="3">
        <v>170</v>
      </c>
      <c r="D300" s="391" t="str">
        <f>IFERROR(HLOOKUP(C300, 'S21 Routing Clustered'!$B$2:$I$18, A300+1, 0), "")</f>
        <v/>
      </c>
      <c r="E300" s="391" t="str">
        <f t="shared" si="14"/>
        <v/>
      </c>
      <c r="F300" s="3" t="str">
        <f>IF(E300="", "", VLOOKUP(B300, 'S14 ABC Output'!$A$3:$C$18, 3, 0))</f>
        <v/>
      </c>
      <c r="I300" s="392" t="str">
        <f t="shared" si="16"/>
        <v>WS-16</v>
      </c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</row>
    <row r="301" spans="1:53">
      <c r="A301" s="3">
        <v>7</v>
      </c>
      <c r="B301" s="125" t="str">
        <f>IFERROR(INDEX('S21 Routing Clustered'!$A$3:$A$18, A301), "")</f>
        <v>I-037</v>
      </c>
      <c r="C301" s="3">
        <v>180</v>
      </c>
      <c r="D301" s="391" t="str">
        <f>IFERROR(HLOOKUP(C301, 'S21 Routing Clustered'!$B$2:$I$18, A301+1, 0), "")</f>
        <v/>
      </c>
      <c r="E301" s="391" t="str">
        <f t="shared" si="14"/>
        <v/>
      </c>
      <c r="F301" s="3" t="str">
        <f>IF(E301="", "", VLOOKUP(B301, 'S14 ABC Output'!$A$3:$C$18, 3, 0))</f>
        <v/>
      </c>
      <c r="I301" s="392" t="str">
        <f t="shared" si="16"/>
        <v>WS-17</v>
      </c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</row>
    <row r="302" spans="1:53">
      <c r="A302" s="3">
        <v>7</v>
      </c>
      <c r="B302" s="125" t="str">
        <f>IFERROR(INDEX('S21 Routing Clustered'!$A$3:$A$18, A302), "")</f>
        <v>I-037</v>
      </c>
      <c r="C302" s="3">
        <v>190</v>
      </c>
      <c r="D302" s="391" t="str">
        <f>IFERROR(HLOOKUP(C302, 'S21 Routing Clustered'!$B$2:$I$18, A302+1, 0), "")</f>
        <v/>
      </c>
      <c r="E302" s="391" t="str">
        <f t="shared" si="14"/>
        <v/>
      </c>
      <c r="F302" s="3" t="str">
        <f>IF(E302="", "", VLOOKUP(B302, 'S14 ABC Output'!$A$3:$C$18, 3, 0))</f>
        <v/>
      </c>
      <c r="I302" s="392" t="str">
        <f t="shared" si="16"/>
        <v>WS-18</v>
      </c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</row>
    <row r="303" spans="1:53">
      <c r="A303" s="3">
        <v>7</v>
      </c>
      <c r="B303" s="125" t="str">
        <f>IFERROR(INDEX('S21 Routing Clustered'!$A$3:$A$18, A303), "")</f>
        <v>I-037</v>
      </c>
      <c r="C303" s="3">
        <v>200</v>
      </c>
      <c r="D303" s="391" t="str">
        <f>IFERROR(HLOOKUP(C303, 'S21 Routing Clustered'!$B$2:$I$18, A303+1, 0), "")</f>
        <v/>
      </c>
      <c r="E303" s="391" t="str">
        <f t="shared" si="14"/>
        <v/>
      </c>
      <c r="F303" s="3" t="str">
        <f>IF(E303="", "", VLOOKUP(B303, 'S14 ABC Output'!$A$3:$C$18, 3, 0))</f>
        <v/>
      </c>
      <c r="I303" s="392" t="str">
        <f t="shared" si="16"/>
        <v>WS-19</v>
      </c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</row>
    <row r="304" spans="1:53">
      <c r="A304" s="3">
        <v>7</v>
      </c>
      <c r="B304" s="125" t="str">
        <f>IFERROR(INDEX('S21 Routing Clustered'!$A$3:$A$18, A304), "")</f>
        <v>I-037</v>
      </c>
      <c r="C304" s="3">
        <v>210</v>
      </c>
      <c r="D304" s="391" t="str">
        <f>IFERROR(HLOOKUP(C304, 'S21 Routing Clustered'!$B$2:$I$18, A304+1, 0), "")</f>
        <v/>
      </c>
      <c r="E304" s="391" t="str">
        <f t="shared" si="14"/>
        <v/>
      </c>
      <c r="F304" s="3" t="str">
        <f>IF(E304="", "", VLOOKUP(B304, 'S14 ABC Output'!$A$3:$C$18, 3, 0))</f>
        <v/>
      </c>
      <c r="I304" s="392" t="str">
        <f t="shared" si="16"/>
        <v>WS-20</v>
      </c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</row>
    <row r="305" spans="1:53">
      <c r="A305" s="3">
        <v>7</v>
      </c>
      <c r="B305" s="125" t="str">
        <f>IFERROR(INDEX('S21 Routing Clustered'!$A$3:$A$18, A305), "")</f>
        <v>I-037</v>
      </c>
      <c r="C305" s="3">
        <v>220</v>
      </c>
      <c r="D305" s="391" t="str">
        <f>IFERROR(HLOOKUP(C305, 'S21 Routing Clustered'!$B$2:$I$18, A305+1, 0), "")</f>
        <v/>
      </c>
      <c r="E305" s="391" t="str">
        <f t="shared" si="14"/>
        <v/>
      </c>
      <c r="F305" s="3" t="str">
        <f>IF(E305="", "", VLOOKUP(B305, 'S14 ABC Output'!$A$3:$C$18, 3, 0))</f>
        <v/>
      </c>
      <c r="I305" s="392" t="str">
        <f t="shared" si="16"/>
        <v>WS-21</v>
      </c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>
        <v>125036</v>
      </c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</row>
    <row r="306" spans="1:53">
      <c r="A306" s="3">
        <v>7</v>
      </c>
      <c r="B306" s="125" t="str">
        <f>IFERROR(INDEX('S21 Routing Clustered'!$A$3:$A$18, A306), "")</f>
        <v>I-037</v>
      </c>
      <c r="C306" s="3">
        <v>230</v>
      </c>
      <c r="D306" s="391" t="str">
        <f>IFERROR(HLOOKUP(C306, 'S21 Routing Clustered'!$B$2:$I$18, A306+1, 0), "")</f>
        <v/>
      </c>
      <c r="E306" s="391" t="str">
        <f t="shared" si="14"/>
        <v/>
      </c>
      <c r="F306" s="3" t="str">
        <f>IF(E306="", "", VLOOKUP(B306, 'S14 ABC Output'!$A$3:$C$18, 3, 0))</f>
        <v/>
      </c>
      <c r="I306" s="392" t="str">
        <f t="shared" si="16"/>
        <v>WS-22</v>
      </c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</row>
    <row r="307" spans="1:53">
      <c r="A307" s="3">
        <v>7</v>
      </c>
      <c r="B307" s="125" t="str">
        <f>IFERROR(INDEX('S21 Routing Clustered'!$A$3:$A$18, A307), "")</f>
        <v>I-037</v>
      </c>
      <c r="C307" s="3">
        <v>240</v>
      </c>
      <c r="D307" s="391" t="str">
        <f>IFERROR(HLOOKUP(C307, 'S21 Routing Clustered'!$B$2:$I$18, A307+1, 0), "")</f>
        <v/>
      </c>
      <c r="E307" s="391" t="str">
        <f t="shared" si="14"/>
        <v/>
      </c>
      <c r="F307" s="3" t="str">
        <f>IF(E307="", "", VLOOKUP(B307, 'S14 ABC Output'!$A$3:$C$18, 3, 0))</f>
        <v/>
      </c>
      <c r="I307" s="392" t="str">
        <f t="shared" si="16"/>
        <v>WS-23</v>
      </c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</row>
    <row r="308" spans="1:53">
      <c r="A308" s="3">
        <v>7</v>
      </c>
      <c r="B308" s="125" t="str">
        <f>IFERROR(INDEX('S21 Routing Clustered'!$A$3:$A$18, A308), "")</f>
        <v>I-037</v>
      </c>
      <c r="C308" s="3">
        <v>250</v>
      </c>
      <c r="D308" s="391" t="str">
        <f>IFERROR(HLOOKUP(C308, 'S21 Routing Clustered'!$B$2:$I$18, A308+1, 0), "")</f>
        <v/>
      </c>
      <c r="E308" s="391" t="str">
        <f t="shared" si="14"/>
        <v/>
      </c>
      <c r="F308" s="3" t="str">
        <f>IF(E308="", "", VLOOKUP(B308, 'S14 ABC Output'!$A$3:$C$18, 3, 0))</f>
        <v/>
      </c>
      <c r="I308" s="392" t="str">
        <f t="shared" si="16"/>
        <v>WS-24</v>
      </c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</row>
    <row r="309" spans="1:53">
      <c r="A309" s="3">
        <v>7</v>
      </c>
      <c r="B309" s="125" t="str">
        <f>IFERROR(INDEX('S21 Routing Clustered'!$A$3:$A$18, A309), "")</f>
        <v>I-037</v>
      </c>
      <c r="C309" s="3">
        <v>260</v>
      </c>
      <c r="D309" s="391" t="str">
        <f>IFERROR(HLOOKUP(C309, 'S21 Routing Clustered'!$B$2:$I$18, A309+1, 0), "")</f>
        <v/>
      </c>
      <c r="E309" s="391" t="str">
        <f t="shared" si="14"/>
        <v/>
      </c>
      <c r="F309" s="3" t="str">
        <f>IF(E309="", "", VLOOKUP(B309, 'S14 ABC Output'!$A$3:$C$18, 3, 0))</f>
        <v/>
      </c>
      <c r="I309" s="392" t="str">
        <f t="shared" si="16"/>
        <v>WS-25</v>
      </c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</row>
    <row r="310" spans="1:53">
      <c r="A310" s="3">
        <v>7</v>
      </c>
      <c r="B310" s="125" t="str">
        <f>IFERROR(INDEX('S21 Routing Clustered'!$A$3:$A$18, A310), "")</f>
        <v>I-037</v>
      </c>
      <c r="C310" s="3">
        <v>270</v>
      </c>
      <c r="D310" s="391" t="str">
        <f>IFERROR(HLOOKUP(C310, 'S21 Routing Clustered'!$B$2:$I$18, A310+1, 0), "")</f>
        <v/>
      </c>
      <c r="E310" s="391" t="str">
        <f t="shared" si="14"/>
        <v/>
      </c>
      <c r="F310" s="3" t="str">
        <f>IF(E310="", "", VLOOKUP(B310, 'S14 ABC Output'!$A$3:$C$18, 3, 0))</f>
        <v/>
      </c>
      <c r="I310" s="392" t="str">
        <f t="shared" si="16"/>
        <v>WS-26</v>
      </c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</row>
    <row r="311" spans="1:53">
      <c r="A311" s="3">
        <v>7</v>
      </c>
      <c r="B311" s="125" t="str">
        <f>IFERROR(INDEX('S21 Routing Clustered'!$A$3:$A$18, A311), "")</f>
        <v>I-037</v>
      </c>
      <c r="C311" s="3">
        <v>280</v>
      </c>
      <c r="D311" s="391" t="str">
        <f>IFERROR(HLOOKUP(C311, 'S21 Routing Clustered'!$B$2:$I$18, A311+1, 0), "")</f>
        <v/>
      </c>
      <c r="E311" s="391" t="str">
        <f t="shared" si="14"/>
        <v/>
      </c>
      <c r="F311" s="3" t="str">
        <f>IF(E311="", "", VLOOKUP(B311, 'S14 ABC Output'!$A$3:$C$18, 3, 0))</f>
        <v/>
      </c>
      <c r="I311" s="392" t="str">
        <f t="shared" si="16"/>
        <v>WS-27</v>
      </c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>
        <v>125036</v>
      </c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</row>
    <row r="312" spans="1:53">
      <c r="A312" s="3">
        <v>7</v>
      </c>
      <c r="B312" s="125" t="str">
        <f>IFERROR(INDEX('S21 Routing Clustered'!$A$3:$A$18, A312), "")</f>
        <v>I-037</v>
      </c>
      <c r="C312" s="3">
        <v>290</v>
      </c>
      <c r="D312" s="391" t="str">
        <f>IFERROR(HLOOKUP(C312, 'S21 Routing Clustered'!$B$2:$I$18, A312+1, 0), "")</f>
        <v/>
      </c>
      <c r="E312" s="391" t="str">
        <f t="shared" si="14"/>
        <v/>
      </c>
      <c r="F312" s="3" t="str">
        <f>IF(E312="", "", VLOOKUP(B312, 'S14 ABC Output'!$A$3:$C$18, 3, 0))</f>
        <v/>
      </c>
      <c r="I312" s="392" t="str">
        <f t="shared" si="16"/>
        <v>WS-28</v>
      </c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>
        <v>125036</v>
      </c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</row>
    <row r="313" spans="1:53">
      <c r="A313" s="3">
        <v>7</v>
      </c>
      <c r="B313" s="125" t="str">
        <f>IFERROR(INDEX('S21 Routing Clustered'!$A$3:$A$18, A313), "")</f>
        <v>I-037</v>
      </c>
      <c r="C313" s="3">
        <v>300</v>
      </c>
      <c r="D313" s="391" t="str">
        <f>IFERROR(HLOOKUP(C313, 'S21 Routing Clustered'!$B$2:$I$18, A313+1, 0), "")</f>
        <v/>
      </c>
      <c r="E313" s="391" t="str">
        <f t="shared" si="14"/>
        <v/>
      </c>
      <c r="F313" s="3" t="str">
        <f>IF(E313="", "", VLOOKUP(B313, 'S14 ABC Output'!$A$3:$C$18, 3, 0))</f>
        <v/>
      </c>
      <c r="I313" s="392" t="str">
        <f t="shared" si="16"/>
        <v>WS-29</v>
      </c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</row>
    <row r="314" spans="1:53">
      <c r="A314" s="3">
        <v>7</v>
      </c>
      <c r="B314" s="125" t="str">
        <f>IFERROR(INDEX('S21 Routing Clustered'!$A$3:$A$18, A314), "")</f>
        <v>I-037</v>
      </c>
      <c r="C314" s="3">
        <v>310</v>
      </c>
      <c r="D314" s="391" t="str">
        <f>IFERROR(HLOOKUP(C314, 'S21 Routing Clustered'!$B$2:$I$18, A314+1, 0), "")</f>
        <v/>
      </c>
      <c r="E314" s="391" t="str">
        <f t="shared" si="14"/>
        <v/>
      </c>
      <c r="F314" s="3" t="str">
        <f>IF(E314="", "", VLOOKUP(B314, 'S14 ABC Output'!$A$3:$C$18, 3, 0))</f>
        <v/>
      </c>
      <c r="I314" s="392" t="str">
        <f t="shared" si="16"/>
        <v>WS-30</v>
      </c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</row>
    <row r="315" spans="1:53">
      <c r="A315" s="3">
        <v>7</v>
      </c>
      <c r="B315" s="125" t="str">
        <f>IFERROR(INDEX('S21 Routing Clustered'!$A$3:$A$18, A315), "")</f>
        <v>I-037</v>
      </c>
      <c r="C315" s="3">
        <v>320</v>
      </c>
      <c r="D315" s="391" t="str">
        <f>IFERROR(HLOOKUP(C315, 'S21 Routing Clustered'!$B$2:$I$18, A315+1, 0), "")</f>
        <v/>
      </c>
      <c r="E315" s="391" t="str">
        <f t="shared" si="14"/>
        <v/>
      </c>
      <c r="F315" s="3" t="str">
        <f>IF(E315="", "", VLOOKUP(B315, 'S14 ABC Output'!$A$3:$C$18, 3, 0))</f>
        <v/>
      </c>
      <c r="I315" s="392" t="str">
        <f t="shared" si="16"/>
        <v>WS-31</v>
      </c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</row>
    <row r="316" spans="1:53">
      <c r="A316" s="3">
        <v>7</v>
      </c>
      <c r="B316" s="125" t="str">
        <f>IFERROR(INDEX('S21 Routing Clustered'!$A$3:$A$18, A316), "")</f>
        <v>I-037</v>
      </c>
      <c r="C316" s="3">
        <v>330</v>
      </c>
      <c r="D316" s="391" t="str">
        <f>IFERROR(HLOOKUP(C316, 'S21 Routing Clustered'!$B$2:$I$18, A316+1, 0), "")</f>
        <v/>
      </c>
      <c r="E316" s="391" t="str">
        <f t="shared" si="14"/>
        <v/>
      </c>
      <c r="F316" s="3" t="str">
        <f>IF(E316="", "", VLOOKUP(B316, 'S14 ABC Output'!$A$3:$C$18, 3, 0))</f>
        <v/>
      </c>
      <c r="I316" s="392" t="str">
        <f t="shared" si="16"/>
        <v>WS-32</v>
      </c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>
        <v>125036</v>
      </c>
    </row>
    <row r="317" spans="1:53">
      <c r="A317" s="3">
        <v>7</v>
      </c>
      <c r="B317" s="125" t="str">
        <f>IFERROR(INDEX('S21 Routing Clustered'!$A$3:$A$18, A317), "")</f>
        <v>I-037</v>
      </c>
      <c r="C317" s="3">
        <v>340</v>
      </c>
      <c r="D317" s="391" t="str">
        <f>IFERROR(HLOOKUP(C317, 'S21 Routing Clustered'!$B$2:$I$18, A317+1, 0), "")</f>
        <v/>
      </c>
      <c r="E317" s="391" t="str">
        <f t="shared" si="14"/>
        <v/>
      </c>
      <c r="F317" s="3" t="str">
        <f>IF(E317="", "", VLOOKUP(B317, 'S14 ABC Output'!$A$3:$C$18, 3, 0))</f>
        <v/>
      </c>
      <c r="I317" s="392" t="str">
        <f t="shared" si="16"/>
        <v>WS-33</v>
      </c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</row>
    <row r="318" spans="1:53">
      <c r="A318" s="3">
        <v>7</v>
      </c>
      <c r="B318" s="125" t="str">
        <f>IFERROR(INDEX('S21 Routing Clustered'!$A$3:$A$18, A318), "")</f>
        <v>I-037</v>
      </c>
      <c r="C318" s="3">
        <v>350</v>
      </c>
      <c r="D318" s="391" t="str">
        <f>IFERROR(HLOOKUP(C318, 'S21 Routing Clustered'!$B$2:$I$18, A318+1, 0), "")</f>
        <v/>
      </c>
      <c r="E318" s="391" t="str">
        <f t="shared" si="14"/>
        <v/>
      </c>
      <c r="F318" s="3" t="str">
        <f>IF(E318="", "", VLOOKUP(B318, 'S14 ABC Output'!$A$3:$C$18, 3, 0))</f>
        <v/>
      </c>
      <c r="I318" s="392" t="str">
        <f t="shared" si="16"/>
        <v>WS-34</v>
      </c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</row>
    <row r="319" spans="1:53">
      <c r="A319" s="3">
        <v>7</v>
      </c>
      <c r="B319" s="125" t="str">
        <f>IFERROR(INDEX('S21 Routing Clustered'!$A$3:$A$18, A319), "")</f>
        <v>I-037</v>
      </c>
      <c r="C319" s="3">
        <v>360</v>
      </c>
      <c r="D319" s="391" t="str">
        <f>IFERROR(HLOOKUP(C319, 'S21 Routing Clustered'!$B$2:$I$18, A319+1, 0), "")</f>
        <v/>
      </c>
      <c r="E319" s="391" t="str">
        <f t="shared" si="14"/>
        <v/>
      </c>
      <c r="F319" s="3" t="str">
        <f>IF(E319="", "", VLOOKUP(B319, 'S14 ABC Output'!$A$3:$C$18, 3, 0))</f>
        <v/>
      </c>
      <c r="I319" s="392" t="str">
        <f t="shared" si="16"/>
        <v>WS-35</v>
      </c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</row>
    <row r="320" spans="1:53">
      <c r="A320" s="3">
        <v>7</v>
      </c>
      <c r="B320" s="125" t="str">
        <f>IFERROR(INDEX('S21 Routing Clustered'!$A$3:$A$18, A320), "")</f>
        <v>I-037</v>
      </c>
      <c r="C320" s="3">
        <v>370</v>
      </c>
      <c r="D320" s="391" t="str">
        <f>IFERROR(HLOOKUP(C320, 'S21 Routing Clustered'!$B$2:$I$18, A320+1, 0), "")</f>
        <v/>
      </c>
      <c r="E320" s="391" t="str">
        <f t="shared" si="14"/>
        <v/>
      </c>
      <c r="F320" s="3" t="str">
        <f>IF(E320="", "", VLOOKUP(B320, 'S14 ABC Output'!$A$3:$C$18, 3, 0))</f>
        <v/>
      </c>
      <c r="I320" s="392" t="str">
        <f t="shared" si="16"/>
        <v>WS-36</v>
      </c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</row>
    <row r="321" spans="1:53">
      <c r="A321" s="3">
        <v>7</v>
      </c>
      <c r="B321" s="125" t="str">
        <f>IFERROR(INDEX('S21 Routing Clustered'!$A$3:$A$18, A321), "")</f>
        <v>I-037</v>
      </c>
      <c r="C321" s="3">
        <v>380</v>
      </c>
      <c r="D321" s="391" t="str">
        <f>IFERROR(HLOOKUP(C321, 'S21 Routing Clustered'!$B$2:$I$18, A321+1, 0), "")</f>
        <v/>
      </c>
      <c r="E321" s="391" t="str">
        <f t="shared" si="14"/>
        <v/>
      </c>
      <c r="F321" s="3" t="str">
        <f>IF(E321="", "", VLOOKUP(B321, 'S14 ABC Output'!$A$3:$C$18, 3, 0))</f>
        <v/>
      </c>
      <c r="I321" s="392" t="str">
        <f t="shared" si="16"/>
        <v>WS-37</v>
      </c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</row>
    <row r="322" spans="1:53">
      <c r="A322" s="3">
        <v>7</v>
      </c>
      <c r="B322" s="125" t="str">
        <f>IFERROR(INDEX('S21 Routing Clustered'!$A$3:$A$18, A322), "")</f>
        <v>I-037</v>
      </c>
      <c r="C322" s="3">
        <v>390</v>
      </c>
      <c r="D322" s="391" t="str">
        <f>IFERROR(HLOOKUP(C322, 'S21 Routing Clustered'!$B$2:$I$18, A322+1, 0), "")</f>
        <v/>
      </c>
      <c r="E322" s="391" t="str">
        <f t="shared" si="14"/>
        <v/>
      </c>
      <c r="F322" s="3" t="str">
        <f>IF(E322="", "", VLOOKUP(B322, 'S14 ABC Output'!$A$3:$C$18, 3, 0))</f>
        <v/>
      </c>
      <c r="I322" s="392" t="str">
        <f t="shared" si="16"/>
        <v>WS-38</v>
      </c>
      <c r="J322" s="3"/>
      <c r="K322" s="3"/>
      <c r="L322" s="3"/>
      <c r="M322" s="3"/>
      <c r="N322" s="3"/>
      <c r="O322" s="3"/>
      <c r="P322" s="3">
        <v>125036</v>
      </c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</row>
    <row r="323" spans="1:53">
      <c r="A323" s="3">
        <v>7</v>
      </c>
      <c r="B323" s="125" t="str">
        <f>IFERROR(INDEX('S21 Routing Clustered'!$A$3:$A$18, A323), "")</f>
        <v>I-037</v>
      </c>
      <c r="C323" s="3">
        <v>400</v>
      </c>
      <c r="D323" s="391" t="str">
        <f>IFERROR(HLOOKUP(C323, 'S21 Routing Clustered'!$B$2:$I$18, A323+1, 0), "")</f>
        <v/>
      </c>
      <c r="E323" s="391" t="str">
        <f t="shared" ref="E323:E386" si="17">IF(D323="", "", D324)</f>
        <v/>
      </c>
      <c r="F323" s="3" t="str">
        <f>IF(E323="", "", VLOOKUP(B323, 'S14 ABC Output'!$A$3:$C$18, 3, 0))</f>
        <v/>
      </c>
      <c r="I323" s="392" t="str">
        <f t="shared" si="16"/>
        <v>WS-39</v>
      </c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</row>
    <row r="324" spans="1:53">
      <c r="A324" s="3">
        <v>7</v>
      </c>
      <c r="B324" s="125" t="str">
        <f>IFERROR(INDEX('S21 Routing Clustered'!$A$3:$A$18, A324), "")</f>
        <v>I-037</v>
      </c>
      <c r="C324" s="3">
        <v>410</v>
      </c>
      <c r="D324" s="391" t="str">
        <f>IFERROR(HLOOKUP(C324, 'S21 Routing Clustered'!$B$2:$I$18, A324+1, 0), "")</f>
        <v/>
      </c>
      <c r="E324" s="391" t="str">
        <f t="shared" si="17"/>
        <v/>
      </c>
      <c r="F324" s="3" t="str">
        <f>IF(E324="", "", VLOOKUP(B324, 'S14 ABC Output'!$A$3:$C$18, 3, 0))</f>
        <v/>
      </c>
      <c r="I324" s="392" t="str">
        <f t="shared" si="16"/>
        <v>WS-40</v>
      </c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</row>
    <row r="325" spans="1:53">
      <c r="A325" s="3">
        <v>7</v>
      </c>
      <c r="B325" s="125" t="str">
        <f>IFERROR(INDEX('S21 Routing Clustered'!$A$3:$A$18, A325), "")</f>
        <v>I-037</v>
      </c>
      <c r="C325" s="3">
        <v>420</v>
      </c>
      <c r="D325" s="391" t="str">
        <f>IFERROR(HLOOKUP(C325, 'S21 Routing Clustered'!$B$2:$I$18, A325+1, 0), "")</f>
        <v/>
      </c>
      <c r="E325" s="391" t="str">
        <f t="shared" si="17"/>
        <v/>
      </c>
      <c r="F325" s="3" t="str">
        <f>IF(E325="", "", VLOOKUP(B325, 'S14 ABC Output'!$A$3:$C$18, 3, 0))</f>
        <v/>
      </c>
      <c r="I325" s="392" t="str">
        <f t="shared" si="16"/>
        <v>WS-41</v>
      </c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</row>
    <row r="326" spans="1:53">
      <c r="A326" s="3">
        <v>7</v>
      </c>
      <c r="B326" s="125" t="str">
        <f>IFERROR(INDEX('S21 Routing Clustered'!$A$3:$A$18, A326), "")</f>
        <v>I-037</v>
      </c>
      <c r="C326" s="3">
        <v>430</v>
      </c>
      <c r="D326" s="391" t="str">
        <f>IFERROR(HLOOKUP(C326, 'S21 Routing Clustered'!$B$2:$I$18, A326+1, 0), "")</f>
        <v/>
      </c>
      <c r="E326" s="391" t="str">
        <f t="shared" si="17"/>
        <v/>
      </c>
      <c r="F326" s="3" t="str">
        <f>IF(E326="", "", VLOOKUP(B326, 'S14 ABC Output'!$A$3:$C$18, 3, 0))</f>
        <v/>
      </c>
      <c r="I326" s="392" t="str">
        <f t="shared" si="16"/>
        <v>WS-42</v>
      </c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</row>
    <row r="327" spans="1:53">
      <c r="A327" s="3">
        <v>7</v>
      </c>
      <c r="B327" s="125" t="str">
        <f>IFERROR(INDEX('S21 Routing Clustered'!$A$3:$A$18, A327), "")</f>
        <v>I-037</v>
      </c>
      <c r="C327" s="3">
        <v>440</v>
      </c>
      <c r="D327" s="391" t="str">
        <f>IFERROR(HLOOKUP(C327, 'S21 Routing Clustered'!$B$2:$I$18, A327+1, 0), "")</f>
        <v/>
      </c>
      <c r="E327" s="391" t="str">
        <f t="shared" si="17"/>
        <v/>
      </c>
      <c r="F327" s="3" t="str">
        <f>IF(E327="", "", VLOOKUP(B327, 'S14 ABC Output'!$A$3:$C$18, 3, 0))</f>
        <v/>
      </c>
      <c r="I327" s="392" t="str">
        <f t="shared" si="16"/>
        <v>WS-43</v>
      </c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>
        <v>125036</v>
      </c>
      <c r="AV327" s="3"/>
      <c r="AW327" s="3"/>
      <c r="AX327" s="3"/>
      <c r="AY327" s="3"/>
      <c r="AZ327" s="3"/>
      <c r="BA327" s="3"/>
    </row>
    <row r="328" spans="1:53">
      <c r="A328" s="3">
        <v>7</v>
      </c>
      <c r="B328" s="125" t="str">
        <f>IFERROR(INDEX('S21 Routing Clustered'!$A$3:$A$18, A328), "")</f>
        <v>I-037</v>
      </c>
      <c r="C328" s="3">
        <v>450</v>
      </c>
      <c r="D328" s="391" t="str">
        <f>IFERROR(HLOOKUP(C328, 'S21 Routing Clustered'!$B$2:$I$18, A328+1, 0), "")</f>
        <v/>
      </c>
      <c r="E328" s="391" t="str">
        <f t="shared" si="17"/>
        <v/>
      </c>
      <c r="F328" s="3" t="str">
        <f>IF(E328="", "", VLOOKUP(B328, 'S14 ABC Output'!$A$3:$C$18, 3, 0))</f>
        <v/>
      </c>
      <c r="I328" s="392" t="str">
        <f t="shared" si="16"/>
        <v>WS-44</v>
      </c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</row>
    <row r="329" spans="1:53">
      <c r="B329" s="125" t="str">
        <f>IFERROR(INDEX('S21 Routing Clustered'!$A$3:$A$18, A329), "")</f>
        <v/>
      </c>
      <c r="D329" s="391" t="str">
        <f>IFERROR(HLOOKUP(C329, 'S21 Routing Clustered'!$B$2:$I$18, A329+1, 0), "")</f>
        <v/>
      </c>
      <c r="E329" s="391" t="str">
        <f t="shared" si="17"/>
        <v/>
      </c>
      <c r="F329" s="3" t="str">
        <f>IF(E329="", "", VLOOKUP(B329, 'S14 ABC Output'!$A$3:$C$18, 3, 0))</f>
        <v/>
      </c>
      <c r="I329" s="392"/>
    </row>
    <row r="330" spans="1:53">
      <c r="B330" s="125" t="str">
        <f>IFERROR(INDEX('S21 Routing Clustered'!$A$3:$A$18, A330), "")</f>
        <v/>
      </c>
      <c r="D330" s="391" t="str">
        <f>IFERROR(HLOOKUP(C330, 'S21 Routing Clustered'!$B$2:$I$18, A330+1, 0), "")</f>
        <v/>
      </c>
      <c r="E330" s="391" t="str">
        <f t="shared" si="17"/>
        <v/>
      </c>
      <c r="F330" s="3" t="str">
        <f>IF(E330="", "", VLOOKUP(B330, 'S14 ABC Output'!$A$3:$C$18, 3, 0))</f>
        <v/>
      </c>
      <c r="I330" s="392"/>
    </row>
    <row r="331" spans="1:53">
      <c r="A331" s="3">
        <v>8</v>
      </c>
      <c r="B331" s="125" t="str">
        <f>IFERROR(INDEX('S21 Routing Clustered'!$A$3:$A$18, A331), "")</f>
        <v>I-073</v>
      </c>
      <c r="C331" s="3">
        <v>10</v>
      </c>
      <c r="D331" s="391" t="str">
        <f>IFERROR(HLOOKUP(C331, 'S21 Routing Clustered'!$B$2:$I$18, A331+1, 0), "")</f>
        <v>WS-43</v>
      </c>
      <c r="E331" s="391" t="str">
        <f t="shared" si="17"/>
        <v>WS-38</v>
      </c>
      <c r="F331" s="3">
        <f>IF(E331="", "", VLOOKUP(B331, 'S14 ABC Output'!$A$3:$C$18, 3, 0))</f>
        <v>25689</v>
      </c>
      <c r="I331" s="392"/>
      <c r="J331" s="392" t="str">
        <f>J284</f>
        <v>WS-01</v>
      </c>
      <c r="K331" s="392" t="str">
        <f t="shared" ref="K331:BA331" si="18">K284</f>
        <v>WS-02</v>
      </c>
      <c r="L331" s="392" t="str">
        <f t="shared" si="18"/>
        <v>WS-03</v>
      </c>
      <c r="M331" s="392" t="str">
        <f t="shared" si="18"/>
        <v>WS-04</v>
      </c>
      <c r="N331" s="392" t="str">
        <f t="shared" si="18"/>
        <v>WS-05</v>
      </c>
      <c r="O331" s="392" t="str">
        <f t="shared" si="18"/>
        <v>WS-06</v>
      </c>
      <c r="P331" s="392" t="str">
        <f t="shared" si="18"/>
        <v>WS-07</v>
      </c>
      <c r="Q331" s="392" t="str">
        <f t="shared" si="18"/>
        <v>WS-08</v>
      </c>
      <c r="R331" s="392" t="str">
        <f t="shared" si="18"/>
        <v>WS-09</v>
      </c>
      <c r="S331" s="392" t="str">
        <f t="shared" si="18"/>
        <v>WS-10</v>
      </c>
      <c r="T331" s="392" t="str">
        <f t="shared" si="18"/>
        <v>WS-11</v>
      </c>
      <c r="U331" s="392" t="str">
        <f t="shared" si="18"/>
        <v>WS-12</v>
      </c>
      <c r="V331" s="392" t="str">
        <f t="shared" si="18"/>
        <v>WS-13</v>
      </c>
      <c r="W331" s="392" t="str">
        <f t="shared" si="18"/>
        <v>WS-14</v>
      </c>
      <c r="X331" s="392" t="str">
        <f t="shared" si="18"/>
        <v>WS-15</v>
      </c>
      <c r="Y331" s="392" t="str">
        <f t="shared" si="18"/>
        <v>WS-16</v>
      </c>
      <c r="Z331" s="392" t="str">
        <f t="shared" si="18"/>
        <v>WS-17</v>
      </c>
      <c r="AA331" s="392" t="str">
        <f t="shared" si="18"/>
        <v>WS-18</v>
      </c>
      <c r="AB331" s="392" t="str">
        <f t="shared" si="18"/>
        <v>WS-19</v>
      </c>
      <c r="AC331" s="392" t="str">
        <f t="shared" si="18"/>
        <v>WS-20</v>
      </c>
      <c r="AD331" s="392" t="str">
        <f t="shared" si="18"/>
        <v>WS-21</v>
      </c>
      <c r="AE331" s="392" t="str">
        <f t="shared" si="18"/>
        <v>WS-22</v>
      </c>
      <c r="AF331" s="392" t="str">
        <f t="shared" si="18"/>
        <v>WS-23</v>
      </c>
      <c r="AG331" s="392" t="str">
        <f t="shared" si="18"/>
        <v>WS-24</v>
      </c>
      <c r="AH331" s="392" t="str">
        <f t="shared" si="18"/>
        <v>WS-25</v>
      </c>
      <c r="AI331" s="392" t="str">
        <f t="shared" si="18"/>
        <v>WS-26</v>
      </c>
      <c r="AJ331" s="392" t="str">
        <f t="shared" si="18"/>
        <v>WS-27</v>
      </c>
      <c r="AK331" s="392" t="str">
        <f t="shared" si="18"/>
        <v>WS-28</v>
      </c>
      <c r="AL331" s="392" t="str">
        <f t="shared" si="18"/>
        <v>WS-29</v>
      </c>
      <c r="AM331" s="392" t="str">
        <f t="shared" si="18"/>
        <v>WS-30</v>
      </c>
      <c r="AN331" s="392" t="str">
        <f t="shared" si="18"/>
        <v>WS-31</v>
      </c>
      <c r="AO331" s="392" t="str">
        <f t="shared" si="18"/>
        <v>WS-32</v>
      </c>
      <c r="AP331" s="392" t="str">
        <f t="shared" si="18"/>
        <v>WS-33</v>
      </c>
      <c r="AQ331" s="392" t="str">
        <f t="shared" si="18"/>
        <v>WS-34</v>
      </c>
      <c r="AR331" s="392" t="str">
        <f t="shared" si="18"/>
        <v>WS-35</v>
      </c>
      <c r="AS331" s="392" t="str">
        <f t="shared" si="18"/>
        <v>WS-36</v>
      </c>
      <c r="AT331" s="392" t="str">
        <f t="shared" si="18"/>
        <v>WS-37</v>
      </c>
      <c r="AU331" s="392" t="str">
        <f t="shared" si="18"/>
        <v>WS-38</v>
      </c>
      <c r="AV331" s="392" t="str">
        <f t="shared" si="18"/>
        <v>WS-39</v>
      </c>
      <c r="AW331" s="392" t="str">
        <f t="shared" si="18"/>
        <v>WS-40</v>
      </c>
      <c r="AX331" s="392" t="str">
        <f t="shared" si="18"/>
        <v>WS-41</v>
      </c>
      <c r="AY331" s="392" t="str">
        <f t="shared" si="18"/>
        <v>WS-42</v>
      </c>
      <c r="AZ331" s="392" t="str">
        <f t="shared" si="18"/>
        <v>WS-43</v>
      </c>
      <c r="BA331" s="392" t="str">
        <f t="shared" si="18"/>
        <v>WS-44</v>
      </c>
    </row>
    <row r="332" spans="1:53">
      <c r="A332" s="3">
        <v>8</v>
      </c>
      <c r="B332" s="125" t="str">
        <f>IFERROR(INDEX('S21 Routing Clustered'!$A$3:$A$18, A332), "")</f>
        <v>I-073</v>
      </c>
      <c r="C332" s="3">
        <v>20</v>
      </c>
      <c r="D332" s="391" t="str">
        <f>IFERROR(HLOOKUP(C332, 'S21 Routing Clustered'!$B$2:$I$18, A332+1, 0), "")</f>
        <v>WS-38</v>
      </c>
      <c r="E332" s="391" t="str">
        <f t="shared" si="17"/>
        <v>WS-07</v>
      </c>
      <c r="F332" s="3">
        <f>IF(E332="", "", VLOOKUP(B332, 'S14 ABC Output'!$A$3:$C$18, 3, 0))</f>
        <v>25689</v>
      </c>
      <c r="I332" s="392" t="str">
        <f>I285</f>
        <v>WS-01</v>
      </c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</row>
    <row r="333" spans="1:53">
      <c r="A333" s="3">
        <v>8</v>
      </c>
      <c r="B333" s="125" t="str">
        <f>IFERROR(INDEX('S21 Routing Clustered'!$A$3:$A$18, A333), "")</f>
        <v>I-073</v>
      </c>
      <c r="C333" s="3">
        <v>30</v>
      </c>
      <c r="D333" s="391" t="str">
        <f>IFERROR(HLOOKUP(C333, 'S21 Routing Clustered'!$B$2:$I$18, A333+1, 0), "")</f>
        <v>WS-07</v>
      </c>
      <c r="E333" s="391" t="str">
        <f t="shared" si="17"/>
        <v>WS-21</v>
      </c>
      <c r="F333" s="3">
        <f>IF(E333="", "", VLOOKUP(B333, 'S14 ABC Output'!$A$3:$C$18, 3, 0))</f>
        <v>25689</v>
      </c>
      <c r="I333" s="392" t="str">
        <f t="shared" ref="I333:I375" si="19">I286</f>
        <v>WS-02</v>
      </c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</row>
    <row r="334" spans="1:53">
      <c r="A334" s="3">
        <v>8</v>
      </c>
      <c r="B334" s="125" t="str">
        <f>IFERROR(INDEX('S21 Routing Clustered'!$A$3:$A$18, A334), "")</f>
        <v>I-073</v>
      </c>
      <c r="C334" s="3">
        <v>40</v>
      </c>
      <c r="D334" s="391" t="str">
        <f>IFERROR(HLOOKUP(C334, 'S21 Routing Clustered'!$B$2:$I$18, A334+1, 0), "")</f>
        <v>WS-21</v>
      </c>
      <c r="E334" s="391" t="str">
        <f t="shared" si="17"/>
        <v>WS-28</v>
      </c>
      <c r="F334" s="3">
        <f>IF(E334="", "", VLOOKUP(B334, 'S14 ABC Output'!$A$3:$C$18, 3, 0))</f>
        <v>25689</v>
      </c>
      <c r="I334" s="392" t="str">
        <f t="shared" si="19"/>
        <v>WS-03</v>
      </c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</row>
    <row r="335" spans="1:53">
      <c r="A335" s="3">
        <v>8</v>
      </c>
      <c r="B335" s="125" t="str">
        <f>IFERROR(INDEX('S21 Routing Clustered'!$A$3:$A$18, A335), "")</f>
        <v>I-073</v>
      </c>
      <c r="C335" s="3">
        <v>50</v>
      </c>
      <c r="D335" s="391" t="str">
        <f>IFERROR(HLOOKUP(C335, 'S21 Routing Clustered'!$B$2:$I$18, A335+1, 0), "")</f>
        <v>WS-28</v>
      </c>
      <c r="E335" s="391" t="str">
        <f t="shared" si="17"/>
        <v>WS-27</v>
      </c>
      <c r="F335" s="3">
        <f>IF(E335="", "", VLOOKUP(B335, 'S14 ABC Output'!$A$3:$C$18, 3, 0))</f>
        <v>25689</v>
      </c>
      <c r="I335" s="392" t="str">
        <f t="shared" si="19"/>
        <v>WS-04</v>
      </c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</row>
    <row r="336" spans="1:53">
      <c r="A336" s="3">
        <v>8</v>
      </c>
      <c r="B336" s="125" t="str">
        <f>IFERROR(INDEX('S21 Routing Clustered'!$A$3:$A$18, A336), "")</f>
        <v>I-073</v>
      </c>
      <c r="C336" s="3">
        <v>60</v>
      </c>
      <c r="D336" s="391" t="str">
        <f>IFERROR(HLOOKUP(C336, 'S21 Routing Clustered'!$B$2:$I$18, A336+1, 0), "")</f>
        <v>WS-27</v>
      </c>
      <c r="E336" s="391" t="str">
        <f t="shared" si="17"/>
        <v>WS-32</v>
      </c>
      <c r="F336" s="3">
        <f>IF(E336="", "", VLOOKUP(B336, 'S14 ABC Output'!$A$3:$C$18, 3, 0))</f>
        <v>25689</v>
      </c>
      <c r="I336" s="392" t="str">
        <f t="shared" si="19"/>
        <v>WS-05</v>
      </c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</row>
    <row r="337" spans="1:53">
      <c r="A337" s="3">
        <v>8</v>
      </c>
      <c r="B337" s="125" t="str">
        <f>IFERROR(INDEX('S21 Routing Clustered'!$A$3:$A$18, A337), "")</f>
        <v>I-073</v>
      </c>
      <c r="C337" s="3">
        <v>70</v>
      </c>
      <c r="D337" s="391" t="str">
        <f>IFERROR(HLOOKUP(C337, 'S21 Routing Clustered'!$B$2:$I$18, A337+1, 0), "")</f>
        <v>WS-32</v>
      </c>
      <c r="E337" s="391" t="str">
        <f t="shared" si="17"/>
        <v>WS-44</v>
      </c>
      <c r="F337" s="3">
        <f>IF(E337="", "", VLOOKUP(B337, 'S14 ABC Output'!$A$3:$C$18, 3, 0))</f>
        <v>25689</v>
      </c>
      <c r="I337" s="392" t="str">
        <f t="shared" si="19"/>
        <v>WS-06</v>
      </c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</row>
    <row r="338" spans="1:53">
      <c r="A338" s="3">
        <v>8</v>
      </c>
      <c r="B338" s="125" t="str">
        <f>IFERROR(INDEX('S21 Routing Clustered'!$A$3:$A$18, A338), "")</f>
        <v>I-073</v>
      </c>
      <c r="C338" s="3">
        <v>80</v>
      </c>
      <c r="D338" s="391" t="str">
        <f>IFERROR(HLOOKUP(C338, 'S21 Routing Clustered'!$B$2:$I$18, A338+1, 0), "")</f>
        <v>WS-44</v>
      </c>
      <c r="E338" s="391" t="str">
        <f t="shared" si="17"/>
        <v/>
      </c>
      <c r="F338" s="3" t="str">
        <f>IF(E338="", "", VLOOKUP(B338, 'S14 ABC Output'!$A$3:$C$18, 3, 0))</f>
        <v/>
      </c>
      <c r="I338" s="392" t="str">
        <f t="shared" si="19"/>
        <v>WS-07</v>
      </c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>
        <v>25689</v>
      </c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</row>
    <row r="339" spans="1:53">
      <c r="A339" s="3">
        <v>8</v>
      </c>
      <c r="B339" s="125" t="str">
        <f>IFERROR(INDEX('S21 Routing Clustered'!$A$3:$A$18, A339), "")</f>
        <v>I-073</v>
      </c>
      <c r="C339" s="3">
        <v>90</v>
      </c>
      <c r="D339" s="391" t="str">
        <f>IFERROR(HLOOKUP(C339, 'S21 Routing Clustered'!$B$2:$I$18, A339+1, 0), "")</f>
        <v/>
      </c>
      <c r="E339" s="391" t="str">
        <f t="shared" si="17"/>
        <v/>
      </c>
      <c r="F339" s="3" t="str">
        <f>IF(E339="", "", VLOOKUP(B339, 'S14 ABC Output'!$A$3:$C$18, 3, 0))</f>
        <v/>
      </c>
      <c r="I339" s="392" t="str">
        <f t="shared" si="19"/>
        <v>WS-08</v>
      </c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</row>
    <row r="340" spans="1:53">
      <c r="A340" s="3">
        <v>8</v>
      </c>
      <c r="B340" s="125" t="str">
        <f>IFERROR(INDEX('S21 Routing Clustered'!$A$3:$A$18, A340), "")</f>
        <v>I-073</v>
      </c>
      <c r="C340" s="3">
        <v>100</v>
      </c>
      <c r="D340" s="391" t="str">
        <f>IFERROR(HLOOKUP(C340, 'S21 Routing Clustered'!$B$2:$I$18, A340+1, 0), "")</f>
        <v/>
      </c>
      <c r="E340" s="391" t="str">
        <f t="shared" si="17"/>
        <v/>
      </c>
      <c r="F340" s="3" t="str">
        <f>IF(E340="", "", VLOOKUP(B340, 'S14 ABC Output'!$A$3:$C$18, 3, 0))</f>
        <v/>
      </c>
      <c r="I340" s="392" t="str">
        <f t="shared" si="19"/>
        <v>WS-09</v>
      </c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</row>
    <row r="341" spans="1:53">
      <c r="A341" s="3">
        <v>8</v>
      </c>
      <c r="B341" s="125" t="str">
        <f>IFERROR(INDEX('S21 Routing Clustered'!$A$3:$A$18, A341), "")</f>
        <v>I-073</v>
      </c>
      <c r="C341" s="3">
        <v>110</v>
      </c>
      <c r="D341" s="391" t="str">
        <f>IFERROR(HLOOKUP(C341, 'S21 Routing Clustered'!$B$2:$I$18, A341+1, 0), "")</f>
        <v/>
      </c>
      <c r="E341" s="391" t="str">
        <f t="shared" si="17"/>
        <v/>
      </c>
      <c r="F341" s="3" t="str">
        <f>IF(E341="", "", VLOOKUP(B341, 'S14 ABC Output'!$A$3:$C$18, 3, 0))</f>
        <v/>
      </c>
      <c r="I341" s="392" t="str">
        <f t="shared" si="19"/>
        <v>WS-10</v>
      </c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</row>
    <row r="342" spans="1:53">
      <c r="A342" s="3">
        <v>8</v>
      </c>
      <c r="B342" s="125" t="str">
        <f>IFERROR(INDEX('S21 Routing Clustered'!$A$3:$A$18, A342), "")</f>
        <v>I-073</v>
      </c>
      <c r="C342" s="3">
        <v>120</v>
      </c>
      <c r="D342" s="391" t="str">
        <f>IFERROR(HLOOKUP(C342, 'S21 Routing Clustered'!$B$2:$I$18, A342+1, 0), "")</f>
        <v/>
      </c>
      <c r="E342" s="391" t="str">
        <f t="shared" si="17"/>
        <v/>
      </c>
      <c r="F342" s="3" t="str">
        <f>IF(E342="", "", VLOOKUP(B342, 'S14 ABC Output'!$A$3:$C$18, 3, 0))</f>
        <v/>
      </c>
      <c r="I342" s="392" t="str">
        <f t="shared" si="19"/>
        <v>WS-11</v>
      </c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</row>
    <row r="343" spans="1:53">
      <c r="A343" s="3">
        <v>8</v>
      </c>
      <c r="B343" s="125" t="str">
        <f>IFERROR(INDEX('S21 Routing Clustered'!$A$3:$A$18, A343), "")</f>
        <v>I-073</v>
      </c>
      <c r="C343" s="3">
        <v>130</v>
      </c>
      <c r="D343" s="391" t="str">
        <f>IFERROR(HLOOKUP(C343, 'S21 Routing Clustered'!$B$2:$I$18, A343+1, 0), "")</f>
        <v/>
      </c>
      <c r="E343" s="391" t="str">
        <f t="shared" si="17"/>
        <v/>
      </c>
      <c r="F343" s="3" t="str">
        <f>IF(E343="", "", VLOOKUP(B343, 'S14 ABC Output'!$A$3:$C$18, 3, 0))</f>
        <v/>
      </c>
      <c r="I343" s="392" t="str">
        <f t="shared" si="19"/>
        <v>WS-12</v>
      </c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</row>
    <row r="344" spans="1:53">
      <c r="A344" s="3">
        <v>8</v>
      </c>
      <c r="B344" s="125" t="str">
        <f>IFERROR(INDEX('S21 Routing Clustered'!$A$3:$A$18, A344), "")</f>
        <v>I-073</v>
      </c>
      <c r="C344" s="3">
        <v>140</v>
      </c>
      <c r="D344" s="391" t="str">
        <f>IFERROR(HLOOKUP(C344, 'S21 Routing Clustered'!$B$2:$I$18, A344+1, 0), "")</f>
        <v/>
      </c>
      <c r="E344" s="391" t="str">
        <f t="shared" si="17"/>
        <v/>
      </c>
      <c r="F344" s="3" t="str">
        <f>IF(E344="", "", VLOOKUP(B344, 'S14 ABC Output'!$A$3:$C$18, 3, 0))</f>
        <v/>
      </c>
      <c r="I344" s="392" t="str">
        <f t="shared" si="19"/>
        <v>WS-13</v>
      </c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</row>
    <row r="345" spans="1:53">
      <c r="A345" s="3">
        <v>8</v>
      </c>
      <c r="B345" s="125" t="str">
        <f>IFERROR(INDEX('S21 Routing Clustered'!$A$3:$A$18, A345), "")</f>
        <v>I-073</v>
      </c>
      <c r="C345" s="3">
        <v>150</v>
      </c>
      <c r="D345" s="391" t="str">
        <f>IFERROR(HLOOKUP(C345, 'S21 Routing Clustered'!$B$2:$I$18, A345+1, 0), "")</f>
        <v/>
      </c>
      <c r="E345" s="391" t="str">
        <f t="shared" si="17"/>
        <v/>
      </c>
      <c r="F345" s="3" t="str">
        <f>IF(E345="", "", VLOOKUP(B345, 'S14 ABC Output'!$A$3:$C$18, 3, 0))</f>
        <v/>
      </c>
      <c r="I345" s="392" t="str">
        <f t="shared" si="19"/>
        <v>WS-14</v>
      </c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</row>
    <row r="346" spans="1:53">
      <c r="A346" s="3">
        <v>8</v>
      </c>
      <c r="B346" s="125" t="str">
        <f>IFERROR(INDEX('S21 Routing Clustered'!$A$3:$A$18, A346), "")</f>
        <v>I-073</v>
      </c>
      <c r="C346" s="3">
        <v>160</v>
      </c>
      <c r="D346" s="391" t="str">
        <f>IFERROR(HLOOKUP(C346, 'S21 Routing Clustered'!$B$2:$I$18, A346+1, 0), "")</f>
        <v/>
      </c>
      <c r="E346" s="391" t="str">
        <f t="shared" si="17"/>
        <v/>
      </c>
      <c r="F346" s="3" t="str">
        <f>IF(E346="", "", VLOOKUP(B346, 'S14 ABC Output'!$A$3:$C$18, 3, 0))</f>
        <v/>
      </c>
      <c r="I346" s="392" t="str">
        <f t="shared" si="19"/>
        <v>WS-15</v>
      </c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</row>
    <row r="347" spans="1:53">
      <c r="A347" s="3">
        <v>8</v>
      </c>
      <c r="B347" s="125" t="str">
        <f>IFERROR(INDEX('S21 Routing Clustered'!$A$3:$A$18, A347), "")</f>
        <v>I-073</v>
      </c>
      <c r="C347" s="3">
        <v>170</v>
      </c>
      <c r="D347" s="391" t="str">
        <f>IFERROR(HLOOKUP(C347, 'S21 Routing Clustered'!$B$2:$I$18, A347+1, 0), "")</f>
        <v/>
      </c>
      <c r="E347" s="391" t="str">
        <f t="shared" si="17"/>
        <v/>
      </c>
      <c r="F347" s="3" t="str">
        <f>IF(E347="", "", VLOOKUP(B347, 'S14 ABC Output'!$A$3:$C$18, 3, 0))</f>
        <v/>
      </c>
      <c r="I347" s="392" t="str">
        <f t="shared" si="19"/>
        <v>WS-16</v>
      </c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</row>
    <row r="348" spans="1:53">
      <c r="A348" s="3">
        <v>8</v>
      </c>
      <c r="B348" s="125" t="str">
        <f>IFERROR(INDEX('S21 Routing Clustered'!$A$3:$A$18, A348), "")</f>
        <v>I-073</v>
      </c>
      <c r="C348" s="3">
        <v>180</v>
      </c>
      <c r="D348" s="391" t="str">
        <f>IFERROR(HLOOKUP(C348, 'S21 Routing Clustered'!$B$2:$I$18, A348+1, 0), "")</f>
        <v/>
      </c>
      <c r="E348" s="391" t="str">
        <f t="shared" si="17"/>
        <v/>
      </c>
      <c r="F348" s="3" t="str">
        <f>IF(E348="", "", VLOOKUP(B348, 'S14 ABC Output'!$A$3:$C$18, 3, 0))</f>
        <v/>
      </c>
      <c r="I348" s="392" t="str">
        <f t="shared" si="19"/>
        <v>WS-17</v>
      </c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</row>
    <row r="349" spans="1:53">
      <c r="A349" s="3">
        <v>8</v>
      </c>
      <c r="B349" s="125" t="str">
        <f>IFERROR(INDEX('S21 Routing Clustered'!$A$3:$A$18, A349), "")</f>
        <v>I-073</v>
      </c>
      <c r="C349" s="3">
        <v>190</v>
      </c>
      <c r="D349" s="391" t="str">
        <f>IFERROR(HLOOKUP(C349, 'S21 Routing Clustered'!$B$2:$I$18, A349+1, 0), "")</f>
        <v/>
      </c>
      <c r="E349" s="391" t="str">
        <f t="shared" si="17"/>
        <v/>
      </c>
      <c r="F349" s="3" t="str">
        <f>IF(E349="", "", VLOOKUP(B349, 'S14 ABC Output'!$A$3:$C$18, 3, 0))</f>
        <v/>
      </c>
      <c r="I349" s="392" t="str">
        <f t="shared" si="19"/>
        <v>WS-18</v>
      </c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</row>
    <row r="350" spans="1:53">
      <c r="A350" s="3">
        <v>8</v>
      </c>
      <c r="B350" s="125" t="str">
        <f>IFERROR(INDEX('S21 Routing Clustered'!$A$3:$A$18, A350), "")</f>
        <v>I-073</v>
      </c>
      <c r="C350" s="3">
        <v>200</v>
      </c>
      <c r="D350" s="391" t="str">
        <f>IFERROR(HLOOKUP(C350, 'S21 Routing Clustered'!$B$2:$I$18, A350+1, 0), "")</f>
        <v/>
      </c>
      <c r="E350" s="391" t="str">
        <f t="shared" si="17"/>
        <v/>
      </c>
      <c r="F350" s="3" t="str">
        <f>IF(E350="", "", VLOOKUP(B350, 'S14 ABC Output'!$A$3:$C$18, 3, 0))</f>
        <v/>
      </c>
      <c r="I350" s="392" t="str">
        <f t="shared" si="19"/>
        <v>WS-19</v>
      </c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</row>
    <row r="351" spans="1:53">
      <c r="A351" s="3">
        <v>8</v>
      </c>
      <c r="B351" s="125" t="str">
        <f>IFERROR(INDEX('S21 Routing Clustered'!$A$3:$A$18, A351), "")</f>
        <v>I-073</v>
      </c>
      <c r="C351" s="3">
        <v>210</v>
      </c>
      <c r="D351" s="391" t="str">
        <f>IFERROR(HLOOKUP(C351, 'S21 Routing Clustered'!$B$2:$I$18, A351+1, 0), "")</f>
        <v/>
      </c>
      <c r="E351" s="391" t="str">
        <f t="shared" si="17"/>
        <v/>
      </c>
      <c r="F351" s="3" t="str">
        <f>IF(E351="", "", VLOOKUP(B351, 'S14 ABC Output'!$A$3:$C$18, 3, 0))</f>
        <v/>
      </c>
      <c r="I351" s="392" t="str">
        <f t="shared" si="19"/>
        <v>WS-20</v>
      </c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</row>
    <row r="352" spans="1:53">
      <c r="A352" s="3">
        <v>8</v>
      </c>
      <c r="B352" s="125" t="str">
        <f>IFERROR(INDEX('S21 Routing Clustered'!$A$3:$A$18, A352), "")</f>
        <v>I-073</v>
      </c>
      <c r="C352" s="3">
        <v>220</v>
      </c>
      <c r="D352" s="391" t="str">
        <f>IFERROR(HLOOKUP(C352, 'S21 Routing Clustered'!$B$2:$I$18, A352+1, 0), "")</f>
        <v/>
      </c>
      <c r="E352" s="391" t="str">
        <f t="shared" si="17"/>
        <v/>
      </c>
      <c r="F352" s="3" t="str">
        <f>IF(E352="", "", VLOOKUP(B352, 'S14 ABC Output'!$A$3:$C$18, 3, 0))</f>
        <v/>
      </c>
      <c r="I352" s="392" t="str">
        <f t="shared" si="19"/>
        <v>WS-21</v>
      </c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>
        <v>25689</v>
      </c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</row>
    <row r="353" spans="1:53">
      <c r="A353" s="3">
        <v>8</v>
      </c>
      <c r="B353" s="125" t="str">
        <f>IFERROR(INDEX('S21 Routing Clustered'!$A$3:$A$18, A353), "")</f>
        <v>I-073</v>
      </c>
      <c r="C353" s="3">
        <v>230</v>
      </c>
      <c r="D353" s="391" t="str">
        <f>IFERROR(HLOOKUP(C353, 'S21 Routing Clustered'!$B$2:$I$18, A353+1, 0), "")</f>
        <v/>
      </c>
      <c r="E353" s="391" t="str">
        <f t="shared" si="17"/>
        <v/>
      </c>
      <c r="F353" s="3" t="str">
        <f>IF(E353="", "", VLOOKUP(B353, 'S14 ABC Output'!$A$3:$C$18, 3, 0))</f>
        <v/>
      </c>
      <c r="I353" s="392" t="str">
        <f t="shared" si="19"/>
        <v>WS-22</v>
      </c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</row>
    <row r="354" spans="1:53">
      <c r="A354" s="3">
        <v>8</v>
      </c>
      <c r="B354" s="125" t="str">
        <f>IFERROR(INDEX('S21 Routing Clustered'!$A$3:$A$18, A354), "")</f>
        <v>I-073</v>
      </c>
      <c r="C354" s="3">
        <v>240</v>
      </c>
      <c r="D354" s="391" t="str">
        <f>IFERROR(HLOOKUP(C354, 'S21 Routing Clustered'!$B$2:$I$18, A354+1, 0), "")</f>
        <v/>
      </c>
      <c r="E354" s="391" t="str">
        <f t="shared" si="17"/>
        <v/>
      </c>
      <c r="F354" s="3" t="str">
        <f>IF(E354="", "", VLOOKUP(B354, 'S14 ABC Output'!$A$3:$C$18, 3, 0))</f>
        <v/>
      </c>
      <c r="I354" s="392" t="str">
        <f t="shared" si="19"/>
        <v>WS-23</v>
      </c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</row>
    <row r="355" spans="1:53">
      <c r="A355" s="3">
        <v>8</v>
      </c>
      <c r="B355" s="125" t="str">
        <f>IFERROR(INDEX('S21 Routing Clustered'!$A$3:$A$18, A355), "")</f>
        <v>I-073</v>
      </c>
      <c r="C355" s="3">
        <v>250</v>
      </c>
      <c r="D355" s="391" t="str">
        <f>IFERROR(HLOOKUP(C355, 'S21 Routing Clustered'!$B$2:$I$18, A355+1, 0), "")</f>
        <v/>
      </c>
      <c r="E355" s="391" t="str">
        <f t="shared" si="17"/>
        <v/>
      </c>
      <c r="F355" s="3" t="str">
        <f>IF(E355="", "", VLOOKUP(B355, 'S14 ABC Output'!$A$3:$C$18, 3, 0))</f>
        <v/>
      </c>
      <c r="I355" s="392" t="str">
        <f t="shared" si="19"/>
        <v>WS-24</v>
      </c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</row>
    <row r="356" spans="1:53">
      <c r="A356" s="3">
        <v>8</v>
      </c>
      <c r="B356" s="125" t="str">
        <f>IFERROR(INDEX('S21 Routing Clustered'!$A$3:$A$18, A356), "")</f>
        <v>I-073</v>
      </c>
      <c r="C356" s="3">
        <v>260</v>
      </c>
      <c r="D356" s="391" t="str">
        <f>IFERROR(HLOOKUP(C356, 'S21 Routing Clustered'!$B$2:$I$18, A356+1, 0), "")</f>
        <v/>
      </c>
      <c r="E356" s="391" t="str">
        <f t="shared" si="17"/>
        <v/>
      </c>
      <c r="F356" s="3" t="str">
        <f>IF(E356="", "", VLOOKUP(B356, 'S14 ABC Output'!$A$3:$C$18, 3, 0))</f>
        <v/>
      </c>
      <c r="I356" s="392" t="str">
        <f t="shared" si="19"/>
        <v>WS-25</v>
      </c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</row>
    <row r="357" spans="1:53">
      <c r="A357" s="3">
        <v>8</v>
      </c>
      <c r="B357" s="125" t="str">
        <f>IFERROR(INDEX('S21 Routing Clustered'!$A$3:$A$18, A357), "")</f>
        <v>I-073</v>
      </c>
      <c r="C357" s="3">
        <v>270</v>
      </c>
      <c r="D357" s="391" t="str">
        <f>IFERROR(HLOOKUP(C357, 'S21 Routing Clustered'!$B$2:$I$18, A357+1, 0), "")</f>
        <v/>
      </c>
      <c r="E357" s="391" t="str">
        <f t="shared" si="17"/>
        <v/>
      </c>
      <c r="F357" s="3" t="str">
        <f>IF(E357="", "", VLOOKUP(B357, 'S14 ABC Output'!$A$3:$C$18, 3, 0))</f>
        <v/>
      </c>
      <c r="I357" s="392" t="str">
        <f t="shared" si="19"/>
        <v>WS-26</v>
      </c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</row>
    <row r="358" spans="1:53">
      <c r="A358" s="3">
        <v>8</v>
      </c>
      <c r="B358" s="125" t="str">
        <f>IFERROR(INDEX('S21 Routing Clustered'!$A$3:$A$18, A358), "")</f>
        <v>I-073</v>
      </c>
      <c r="C358" s="3">
        <v>280</v>
      </c>
      <c r="D358" s="391" t="str">
        <f>IFERROR(HLOOKUP(C358, 'S21 Routing Clustered'!$B$2:$I$18, A358+1, 0), "")</f>
        <v/>
      </c>
      <c r="E358" s="391" t="str">
        <f t="shared" si="17"/>
        <v/>
      </c>
      <c r="F358" s="3" t="str">
        <f>IF(E358="", "", VLOOKUP(B358, 'S14 ABC Output'!$A$3:$C$18, 3, 0))</f>
        <v/>
      </c>
      <c r="I358" s="392" t="str">
        <f t="shared" si="19"/>
        <v>WS-27</v>
      </c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>
        <v>25689</v>
      </c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</row>
    <row r="359" spans="1:53">
      <c r="A359" s="3">
        <v>8</v>
      </c>
      <c r="B359" s="125" t="str">
        <f>IFERROR(INDEX('S21 Routing Clustered'!$A$3:$A$18, A359), "")</f>
        <v>I-073</v>
      </c>
      <c r="C359" s="3">
        <v>290</v>
      </c>
      <c r="D359" s="391" t="str">
        <f>IFERROR(HLOOKUP(C359, 'S21 Routing Clustered'!$B$2:$I$18, A359+1, 0), "")</f>
        <v/>
      </c>
      <c r="E359" s="391" t="str">
        <f t="shared" si="17"/>
        <v/>
      </c>
      <c r="F359" s="3" t="str">
        <f>IF(E359="", "", VLOOKUP(B359, 'S14 ABC Output'!$A$3:$C$18, 3, 0))</f>
        <v/>
      </c>
      <c r="I359" s="392" t="str">
        <f t="shared" si="19"/>
        <v>WS-28</v>
      </c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>
        <v>25689</v>
      </c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</row>
    <row r="360" spans="1:53">
      <c r="A360" s="3">
        <v>8</v>
      </c>
      <c r="B360" s="125" t="str">
        <f>IFERROR(INDEX('S21 Routing Clustered'!$A$3:$A$18, A360), "")</f>
        <v>I-073</v>
      </c>
      <c r="C360" s="3">
        <v>300</v>
      </c>
      <c r="D360" s="391" t="str">
        <f>IFERROR(HLOOKUP(C360, 'S21 Routing Clustered'!$B$2:$I$18, A360+1, 0), "")</f>
        <v/>
      </c>
      <c r="E360" s="391" t="str">
        <f t="shared" si="17"/>
        <v/>
      </c>
      <c r="F360" s="3" t="str">
        <f>IF(E360="", "", VLOOKUP(B360, 'S14 ABC Output'!$A$3:$C$18, 3, 0))</f>
        <v/>
      </c>
      <c r="I360" s="392" t="str">
        <f t="shared" si="19"/>
        <v>WS-29</v>
      </c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</row>
    <row r="361" spans="1:53">
      <c r="A361" s="3">
        <v>8</v>
      </c>
      <c r="B361" s="125" t="str">
        <f>IFERROR(INDEX('S21 Routing Clustered'!$A$3:$A$18, A361), "")</f>
        <v>I-073</v>
      </c>
      <c r="C361" s="3">
        <v>310</v>
      </c>
      <c r="D361" s="391" t="str">
        <f>IFERROR(HLOOKUP(C361, 'S21 Routing Clustered'!$B$2:$I$18, A361+1, 0), "")</f>
        <v/>
      </c>
      <c r="E361" s="391" t="str">
        <f t="shared" si="17"/>
        <v/>
      </c>
      <c r="F361" s="3" t="str">
        <f>IF(E361="", "", VLOOKUP(B361, 'S14 ABC Output'!$A$3:$C$18, 3, 0))</f>
        <v/>
      </c>
      <c r="I361" s="392" t="str">
        <f t="shared" si="19"/>
        <v>WS-30</v>
      </c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</row>
    <row r="362" spans="1:53">
      <c r="A362" s="3">
        <v>8</v>
      </c>
      <c r="B362" s="125" t="str">
        <f>IFERROR(INDEX('S21 Routing Clustered'!$A$3:$A$18, A362), "")</f>
        <v>I-073</v>
      </c>
      <c r="C362" s="3">
        <v>320</v>
      </c>
      <c r="D362" s="391" t="str">
        <f>IFERROR(HLOOKUP(C362, 'S21 Routing Clustered'!$B$2:$I$18, A362+1, 0), "")</f>
        <v/>
      </c>
      <c r="E362" s="391" t="str">
        <f t="shared" si="17"/>
        <v/>
      </c>
      <c r="F362" s="3" t="str">
        <f>IF(E362="", "", VLOOKUP(B362, 'S14 ABC Output'!$A$3:$C$18, 3, 0))</f>
        <v/>
      </c>
      <c r="I362" s="392" t="str">
        <f t="shared" si="19"/>
        <v>WS-31</v>
      </c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</row>
    <row r="363" spans="1:53">
      <c r="A363" s="3">
        <v>8</v>
      </c>
      <c r="B363" s="125" t="str">
        <f>IFERROR(INDEX('S21 Routing Clustered'!$A$3:$A$18, A363), "")</f>
        <v>I-073</v>
      </c>
      <c r="C363" s="3">
        <v>330</v>
      </c>
      <c r="D363" s="391" t="str">
        <f>IFERROR(HLOOKUP(C363, 'S21 Routing Clustered'!$B$2:$I$18, A363+1, 0), "")</f>
        <v/>
      </c>
      <c r="E363" s="391" t="str">
        <f t="shared" si="17"/>
        <v/>
      </c>
      <c r="F363" s="3" t="str">
        <f>IF(E363="", "", VLOOKUP(B363, 'S14 ABC Output'!$A$3:$C$18, 3, 0))</f>
        <v/>
      </c>
      <c r="I363" s="392" t="str">
        <f t="shared" si="19"/>
        <v>WS-32</v>
      </c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>
        <v>25689</v>
      </c>
    </row>
    <row r="364" spans="1:53">
      <c r="A364" s="3">
        <v>8</v>
      </c>
      <c r="B364" s="125" t="str">
        <f>IFERROR(INDEX('S21 Routing Clustered'!$A$3:$A$18, A364), "")</f>
        <v>I-073</v>
      </c>
      <c r="C364" s="3">
        <v>340</v>
      </c>
      <c r="D364" s="391" t="str">
        <f>IFERROR(HLOOKUP(C364, 'S21 Routing Clustered'!$B$2:$I$18, A364+1, 0), "")</f>
        <v/>
      </c>
      <c r="E364" s="391" t="str">
        <f t="shared" si="17"/>
        <v/>
      </c>
      <c r="F364" s="3" t="str">
        <f>IF(E364="", "", VLOOKUP(B364, 'S14 ABC Output'!$A$3:$C$18, 3, 0))</f>
        <v/>
      </c>
      <c r="I364" s="392" t="str">
        <f t="shared" si="19"/>
        <v>WS-33</v>
      </c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</row>
    <row r="365" spans="1:53">
      <c r="A365" s="3">
        <v>8</v>
      </c>
      <c r="B365" s="125" t="str">
        <f>IFERROR(INDEX('S21 Routing Clustered'!$A$3:$A$18, A365), "")</f>
        <v>I-073</v>
      </c>
      <c r="C365" s="3">
        <v>350</v>
      </c>
      <c r="D365" s="391" t="str">
        <f>IFERROR(HLOOKUP(C365, 'S21 Routing Clustered'!$B$2:$I$18, A365+1, 0), "")</f>
        <v/>
      </c>
      <c r="E365" s="391" t="str">
        <f t="shared" si="17"/>
        <v/>
      </c>
      <c r="F365" s="3" t="str">
        <f>IF(E365="", "", VLOOKUP(B365, 'S14 ABC Output'!$A$3:$C$18, 3, 0))</f>
        <v/>
      </c>
      <c r="I365" s="392" t="str">
        <f t="shared" si="19"/>
        <v>WS-34</v>
      </c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</row>
    <row r="366" spans="1:53">
      <c r="A366" s="3">
        <v>8</v>
      </c>
      <c r="B366" s="125" t="str">
        <f>IFERROR(INDEX('S21 Routing Clustered'!$A$3:$A$18, A366), "")</f>
        <v>I-073</v>
      </c>
      <c r="C366" s="3">
        <v>360</v>
      </c>
      <c r="D366" s="391" t="str">
        <f>IFERROR(HLOOKUP(C366, 'S21 Routing Clustered'!$B$2:$I$18, A366+1, 0), "")</f>
        <v/>
      </c>
      <c r="E366" s="391" t="str">
        <f t="shared" si="17"/>
        <v/>
      </c>
      <c r="F366" s="3" t="str">
        <f>IF(E366="", "", VLOOKUP(B366, 'S14 ABC Output'!$A$3:$C$18, 3, 0))</f>
        <v/>
      </c>
      <c r="I366" s="392" t="str">
        <f t="shared" si="19"/>
        <v>WS-35</v>
      </c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</row>
    <row r="367" spans="1:53">
      <c r="A367" s="3">
        <v>8</v>
      </c>
      <c r="B367" s="125" t="str">
        <f>IFERROR(INDEX('S21 Routing Clustered'!$A$3:$A$18, A367), "")</f>
        <v>I-073</v>
      </c>
      <c r="C367" s="3">
        <v>370</v>
      </c>
      <c r="D367" s="391" t="str">
        <f>IFERROR(HLOOKUP(C367, 'S21 Routing Clustered'!$B$2:$I$18, A367+1, 0), "")</f>
        <v/>
      </c>
      <c r="E367" s="391" t="str">
        <f t="shared" si="17"/>
        <v/>
      </c>
      <c r="F367" s="3" t="str">
        <f>IF(E367="", "", VLOOKUP(B367, 'S14 ABC Output'!$A$3:$C$18, 3, 0))</f>
        <v/>
      </c>
      <c r="I367" s="392" t="str">
        <f t="shared" si="19"/>
        <v>WS-36</v>
      </c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</row>
    <row r="368" spans="1:53">
      <c r="A368" s="3">
        <v>8</v>
      </c>
      <c r="B368" s="125" t="str">
        <f>IFERROR(INDEX('S21 Routing Clustered'!$A$3:$A$18, A368), "")</f>
        <v>I-073</v>
      </c>
      <c r="C368" s="3">
        <v>380</v>
      </c>
      <c r="D368" s="391" t="str">
        <f>IFERROR(HLOOKUP(C368, 'S21 Routing Clustered'!$B$2:$I$18, A368+1, 0), "")</f>
        <v/>
      </c>
      <c r="E368" s="391" t="str">
        <f t="shared" si="17"/>
        <v/>
      </c>
      <c r="F368" s="3" t="str">
        <f>IF(E368="", "", VLOOKUP(B368, 'S14 ABC Output'!$A$3:$C$18, 3, 0))</f>
        <v/>
      </c>
      <c r="I368" s="392" t="str">
        <f t="shared" si="19"/>
        <v>WS-37</v>
      </c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</row>
    <row r="369" spans="1:53">
      <c r="A369" s="3">
        <v>8</v>
      </c>
      <c r="B369" s="125" t="str">
        <f>IFERROR(INDEX('S21 Routing Clustered'!$A$3:$A$18, A369), "")</f>
        <v>I-073</v>
      </c>
      <c r="C369" s="3">
        <v>390</v>
      </c>
      <c r="D369" s="391" t="str">
        <f>IFERROR(HLOOKUP(C369, 'S21 Routing Clustered'!$B$2:$I$18, A369+1, 0), "")</f>
        <v/>
      </c>
      <c r="E369" s="391" t="str">
        <f t="shared" si="17"/>
        <v/>
      </c>
      <c r="F369" s="3" t="str">
        <f>IF(E369="", "", VLOOKUP(B369, 'S14 ABC Output'!$A$3:$C$18, 3, 0))</f>
        <v/>
      </c>
      <c r="I369" s="392" t="str">
        <f t="shared" si="19"/>
        <v>WS-38</v>
      </c>
      <c r="J369" s="3"/>
      <c r="K369" s="3"/>
      <c r="L369" s="3"/>
      <c r="M369" s="3"/>
      <c r="N369" s="3"/>
      <c r="O369" s="3"/>
      <c r="P369" s="3">
        <v>25689</v>
      </c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</row>
    <row r="370" spans="1:53">
      <c r="A370" s="3">
        <v>8</v>
      </c>
      <c r="B370" s="125" t="str">
        <f>IFERROR(INDEX('S21 Routing Clustered'!$A$3:$A$18, A370), "")</f>
        <v>I-073</v>
      </c>
      <c r="C370" s="3">
        <v>400</v>
      </c>
      <c r="D370" s="391" t="str">
        <f>IFERROR(HLOOKUP(C370, 'S21 Routing Clustered'!$B$2:$I$18, A370+1, 0), "")</f>
        <v/>
      </c>
      <c r="E370" s="391" t="str">
        <f t="shared" si="17"/>
        <v/>
      </c>
      <c r="F370" s="3" t="str">
        <f>IF(E370="", "", VLOOKUP(B370, 'S14 ABC Output'!$A$3:$C$18, 3, 0))</f>
        <v/>
      </c>
      <c r="I370" s="392" t="str">
        <f t="shared" si="19"/>
        <v>WS-39</v>
      </c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</row>
    <row r="371" spans="1:53">
      <c r="A371" s="3">
        <v>8</v>
      </c>
      <c r="B371" s="125" t="str">
        <f>IFERROR(INDEX('S21 Routing Clustered'!$A$3:$A$18, A371), "")</f>
        <v>I-073</v>
      </c>
      <c r="C371" s="3">
        <v>410</v>
      </c>
      <c r="D371" s="391" t="str">
        <f>IFERROR(HLOOKUP(C371, 'S21 Routing Clustered'!$B$2:$I$18, A371+1, 0), "")</f>
        <v/>
      </c>
      <c r="E371" s="391" t="str">
        <f t="shared" si="17"/>
        <v/>
      </c>
      <c r="F371" s="3" t="str">
        <f>IF(E371="", "", VLOOKUP(B371, 'S14 ABC Output'!$A$3:$C$18, 3, 0))</f>
        <v/>
      </c>
      <c r="I371" s="392" t="str">
        <f t="shared" si="19"/>
        <v>WS-40</v>
      </c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</row>
    <row r="372" spans="1:53">
      <c r="A372" s="3">
        <v>8</v>
      </c>
      <c r="B372" s="125" t="str">
        <f>IFERROR(INDEX('S21 Routing Clustered'!$A$3:$A$18, A372), "")</f>
        <v>I-073</v>
      </c>
      <c r="C372" s="3">
        <v>420</v>
      </c>
      <c r="D372" s="391" t="str">
        <f>IFERROR(HLOOKUP(C372, 'S21 Routing Clustered'!$B$2:$I$18, A372+1, 0), "")</f>
        <v/>
      </c>
      <c r="E372" s="391" t="str">
        <f t="shared" si="17"/>
        <v/>
      </c>
      <c r="F372" s="3" t="str">
        <f>IF(E372="", "", VLOOKUP(B372, 'S14 ABC Output'!$A$3:$C$18, 3, 0))</f>
        <v/>
      </c>
      <c r="I372" s="392" t="str">
        <f t="shared" si="19"/>
        <v>WS-41</v>
      </c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</row>
    <row r="373" spans="1:53">
      <c r="A373" s="3">
        <v>8</v>
      </c>
      <c r="B373" s="125" t="str">
        <f>IFERROR(INDEX('S21 Routing Clustered'!$A$3:$A$18, A373), "")</f>
        <v>I-073</v>
      </c>
      <c r="C373" s="3">
        <v>430</v>
      </c>
      <c r="D373" s="391" t="str">
        <f>IFERROR(HLOOKUP(C373, 'S21 Routing Clustered'!$B$2:$I$18, A373+1, 0), "")</f>
        <v/>
      </c>
      <c r="E373" s="391" t="str">
        <f t="shared" si="17"/>
        <v/>
      </c>
      <c r="F373" s="3" t="str">
        <f>IF(E373="", "", VLOOKUP(B373, 'S14 ABC Output'!$A$3:$C$18, 3, 0))</f>
        <v/>
      </c>
      <c r="I373" s="392" t="str">
        <f t="shared" si="19"/>
        <v>WS-42</v>
      </c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</row>
    <row r="374" spans="1:53">
      <c r="A374" s="3">
        <v>8</v>
      </c>
      <c r="B374" s="125" t="str">
        <f>IFERROR(INDEX('S21 Routing Clustered'!$A$3:$A$18, A374), "")</f>
        <v>I-073</v>
      </c>
      <c r="C374" s="3">
        <v>440</v>
      </c>
      <c r="D374" s="391" t="str">
        <f>IFERROR(HLOOKUP(C374, 'S21 Routing Clustered'!$B$2:$I$18, A374+1, 0), "")</f>
        <v/>
      </c>
      <c r="E374" s="391" t="str">
        <f t="shared" si="17"/>
        <v/>
      </c>
      <c r="F374" s="3" t="str">
        <f>IF(E374="", "", VLOOKUP(B374, 'S14 ABC Output'!$A$3:$C$18, 3, 0))</f>
        <v/>
      </c>
      <c r="I374" s="392" t="str">
        <f t="shared" si="19"/>
        <v>WS-43</v>
      </c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>
        <v>25689</v>
      </c>
      <c r="AV374" s="3"/>
      <c r="AW374" s="3"/>
      <c r="AX374" s="3"/>
      <c r="AY374" s="3"/>
      <c r="AZ374" s="3"/>
      <c r="BA374" s="3"/>
    </row>
    <row r="375" spans="1:53">
      <c r="A375" s="3">
        <v>8</v>
      </c>
      <c r="B375" s="125" t="str">
        <f>IFERROR(INDEX('S21 Routing Clustered'!$A$3:$A$18, A375), "")</f>
        <v>I-073</v>
      </c>
      <c r="C375" s="3">
        <v>450</v>
      </c>
      <c r="D375" s="391" t="str">
        <f>IFERROR(HLOOKUP(C375, 'S21 Routing Clustered'!$B$2:$I$18, A375+1, 0), "")</f>
        <v/>
      </c>
      <c r="E375" s="391" t="str">
        <f t="shared" si="17"/>
        <v/>
      </c>
      <c r="F375" s="3" t="str">
        <f>IF(E375="", "", VLOOKUP(B375, 'S14 ABC Output'!$A$3:$C$18, 3, 0))</f>
        <v/>
      </c>
      <c r="I375" s="392" t="str">
        <f t="shared" si="19"/>
        <v>WS-44</v>
      </c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</row>
    <row r="376" spans="1:53">
      <c r="B376" s="125" t="str">
        <f>IFERROR(INDEX('S21 Routing Clustered'!$A$3:$A$18, A376), "")</f>
        <v/>
      </c>
      <c r="D376" s="391" t="str">
        <f>IFERROR(HLOOKUP(C376, 'S21 Routing Clustered'!$B$2:$I$18, A376+1, 0), "")</f>
        <v/>
      </c>
      <c r="E376" s="391" t="str">
        <f t="shared" si="17"/>
        <v/>
      </c>
      <c r="F376" s="3" t="str">
        <f>IF(E376="", "", VLOOKUP(B376, 'S14 ABC Output'!$A$3:$C$18, 3, 0))</f>
        <v/>
      </c>
      <c r="I376" s="392"/>
    </row>
    <row r="377" spans="1:53">
      <c r="B377" s="125" t="str">
        <f>IFERROR(INDEX('S21 Routing Clustered'!$A$3:$A$18, A377), "")</f>
        <v/>
      </c>
      <c r="D377" s="391" t="str">
        <f>IFERROR(HLOOKUP(C377, 'S21 Routing Clustered'!$B$2:$I$18, A377+1, 0), "")</f>
        <v/>
      </c>
      <c r="E377" s="391" t="str">
        <f t="shared" si="17"/>
        <v/>
      </c>
      <c r="F377" s="3" t="str">
        <f>IF(E377="", "", VLOOKUP(B377, 'S14 ABC Output'!$A$3:$C$18, 3, 0))</f>
        <v/>
      </c>
      <c r="I377" s="392"/>
    </row>
    <row r="378" spans="1:53">
      <c r="A378" s="3">
        <v>9</v>
      </c>
      <c r="B378" s="125" t="str">
        <f>IFERROR(INDEX('S21 Routing Clustered'!$A$3:$A$18, A378), "")</f>
        <v>I-074</v>
      </c>
      <c r="C378" s="3">
        <v>10</v>
      </c>
      <c r="D378" s="391" t="str">
        <f>IFERROR(HLOOKUP(C378, 'S21 Routing Clustered'!$B$2:$I$18, A378+1, 0), "")</f>
        <v>WS-43</v>
      </c>
      <c r="E378" s="391" t="str">
        <f t="shared" si="17"/>
        <v>WS-38</v>
      </c>
      <c r="F378" s="3">
        <f>IF(E378="", "", VLOOKUP(B378, 'S14 ABC Output'!$A$3:$C$18, 3, 0))</f>
        <v>25468</v>
      </c>
      <c r="I378" s="392"/>
      <c r="J378" s="392" t="str">
        <f>J331</f>
        <v>WS-01</v>
      </c>
      <c r="K378" s="392" t="str">
        <f t="shared" ref="K378:BA378" si="20">K331</f>
        <v>WS-02</v>
      </c>
      <c r="L378" s="392" t="str">
        <f t="shared" si="20"/>
        <v>WS-03</v>
      </c>
      <c r="M378" s="392" t="str">
        <f t="shared" si="20"/>
        <v>WS-04</v>
      </c>
      <c r="N378" s="392" t="str">
        <f t="shared" si="20"/>
        <v>WS-05</v>
      </c>
      <c r="O378" s="392" t="str">
        <f t="shared" si="20"/>
        <v>WS-06</v>
      </c>
      <c r="P378" s="392" t="str">
        <f t="shared" si="20"/>
        <v>WS-07</v>
      </c>
      <c r="Q378" s="392" t="str">
        <f t="shared" si="20"/>
        <v>WS-08</v>
      </c>
      <c r="R378" s="392" t="str">
        <f t="shared" si="20"/>
        <v>WS-09</v>
      </c>
      <c r="S378" s="392" t="str">
        <f t="shared" si="20"/>
        <v>WS-10</v>
      </c>
      <c r="T378" s="392" t="str">
        <f t="shared" si="20"/>
        <v>WS-11</v>
      </c>
      <c r="U378" s="392" t="str">
        <f t="shared" si="20"/>
        <v>WS-12</v>
      </c>
      <c r="V378" s="392" t="str">
        <f t="shared" si="20"/>
        <v>WS-13</v>
      </c>
      <c r="W378" s="392" t="str">
        <f t="shared" si="20"/>
        <v>WS-14</v>
      </c>
      <c r="X378" s="392" t="str">
        <f t="shared" si="20"/>
        <v>WS-15</v>
      </c>
      <c r="Y378" s="392" t="str">
        <f t="shared" si="20"/>
        <v>WS-16</v>
      </c>
      <c r="Z378" s="392" t="str">
        <f t="shared" si="20"/>
        <v>WS-17</v>
      </c>
      <c r="AA378" s="392" t="str">
        <f t="shared" si="20"/>
        <v>WS-18</v>
      </c>
      <c r="AB378" s="392" t="str">
        <f t="shared" si="20"/>
        <v>WS-19</v>
      </c>
      <c r="AC378" s="392" t="str">
        <f t="shared" si="20"/>
        <v>WS-20</v>
      </c>
      <c r="AD378" s="392" t="str">
        <f t="shared" si="20"/>
        <v>WS-21</v>
      </c>
      <c r="AE378" s="392" t="str">
        <f t="shared" si="20"/>
        <v>WS-22</v>
      </c>
      <c r="AF378" s="392" t="str">
        <f t="shared" si="20"/>
        <v>WS-23</v>
      </c>
      <c r="AG378" s="392" t="str">
        <f t="shared" si="20"/>
        <v>WS-24</v>
      </c>
      <c r="AH378" s="392" t="str">
        <f t="shared" si="20"/>
        <v>WS-25</v>
      </c>
      <c r="AI378" s="392" t="str">
        <f t="shared" si="20"/>
        <v>WS-26</v>
      </c>
      <c r="AJ378" s="392" t="str">
        <f t="shared" si="20"/>
        <v>WS-27</v>
      </c>
      <c r="AK378" s="392" t="str">
        <f t="shared" si="20"/>
        <v>WS-28</v>
      </c>
      <c r="AL378" s="392" t="str">
        <f t="shared" si="20"/>
        <v>WS-29</v>
      </c>
      <c r="AM378" s="392" t="str">
        <f t="shared" si="20"/>
        <v>WS-30</v>
      </c>
      <c r="AN378" s="392" t="str">
        <f t="shared" si="20"/>
        <v>WS-31</v>
      </c>
      <c r="AO378" s="392" t="str">
        <f t="shared" si="20"/>
        <v>WS-32</v>
      </c>
      <c r="AP378" s="392" t="str">
        <f t="shared" si="20"/>
        <v>WS-33</v>
      </c>
      <c r="AQ378" s="392" t="str">
        <f t="shared" si="20"/>
        <v>WS-34</v>
      </c>
      <c r="AR378" s="392" t="str">
        <f t="shared" si="20"/>
        <v>WS-35</v>
      </c>
      <c r="AS378" s="392" t="str">
        <f t="shared" si="20"/>
        <v>WS-36</v>
      </c>
      <c r="AT378" s="392" t="str">
        <f t="shared" si="20"/>
        <v>WS-37</v>
      </c>
      <c r="AU378" s="392" t="str">
        <f t="shared" si="20"/>
        <v>WS-38</v>
      </c>
      <c r="AV378" s="392" t="str">
        <f t="shared" si="20"/>
        <v>WS-39</v>
      </c>
      <c r="AW378" s="392" t="str">
        <f t="shared" si="20"/>
        <v>WS-40</v>
      </c>
      <c r="AX378" s="392" t="str">
        <f t="shared" si="20"/>
        <v>WS-41</v>
      </c>
      <c r="AY378" s="392" t="str">
        <f t="shared" si="20"/>
        <v>WS-42</v>
      </c>
      <c r="AZ378" s="392" t="str">
        <f t="shared" si="20"/>
        <v>WS-43</v>
      </c>
      <c r="BA378" s="392" t="str">
        <f t="shared" si="20"/>
        <v>WS-44</v>
      </c>
    </row>
    <row r="379" spans="1:53">
      <c r="A379" s="3">
        <v>9</v>
      </c>
      <c r="B379" s="125" t="str">
        <f>IFERROR(INDEX('S21 Routing Clustered'!$A$3:$A$18, A379), "")</f>
        <v>I-074</v>
      </c>
      <c r="C379" s="3">
        <v>20</v>
      </c>
      <c r="D379" s="391" t="str">
        <f>IFERROR(HLOOKUP(C379, 'S21 Routing Clustered'!$B$2:$I$18, A379+1, 0), "")</f>
        <v>WS-38</v>
      </c>
      <c r="E379" s="391" t="str">
        <f t="shared" si="17"/>
        <v>WS-07</v>
      </c>
      <c r="F379" s="3">
        <f>IF(E379="", "", VLOOKUP(B379, 'S14 ABC Output'!$A$3:$C$18, 3, 0))</f>
        <v>25468</v>
      </c>
      <c r="I379" s="392" t="str">
        <f>I332</f>
        <v>WS-01</v>
      </c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</row>
    <row r="380" spans="1:53">
      <c r="A380" s="3">
        <v>9</v>
      </c>
      <c r="B380" s="125" t="str">
        <f>IFERROR(INDEX('S21 Routing Clustered'!$A$3:$A$18, A380), "")</f>
        <v>I-074</v>
      </c>
      <c r="C380" s="3">
        <v>30</v>
      </c>
      <c r="D380" s="391" t="str">
        <f>IFERROR(HLOOKUP(C380, 'S21 Routing Clustered'!$B$2:$I$18, A380+1, 0), "")</f>
        <v>WS-07</v>
      </c>
      <c r="E380" s="391" t="str">
        <f t="shared" si="17"/>
        <v>WS-21</v>
      </c>
      <c r="F380" s="3">
        <f>IF(E380="", "", VLOOKUP(B380, 'S14 ABC Output'!$A$3:$C$18, 3, 0))</f>
        <v>25468</v>
      </c>
      <c r="I380" s="392" t="str">
        <f t="shared" ref="I380:I422" si="21">I333</f>
        <v>WS-02</v>
      </c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</row>
    <row r="381" spans="1:53">
      <c r="A381" s="3">
        <v>9</v>
      </c>
      <c r="B381" s="125" t="str">
        <f>IFERROR(INDEX('S21 Routing Clustered'!$A$3:$A$18, A381), "")</f>
        <v>I-074</v>
      </c>
      <c r="C381" s="3">
        <v>40</v>
      </c>
      <c r="D381" s="391" t="str">
        <f>IFERROR(HLOOKUP(C381, 'S21 Routing Clustered'!$B$2:$I$18, A381+1, 0), "")</f>
        <v>WS-21</v>
      </c>
      <c r="E381" s="391" t="str">
        <f t="shared" si="17"/>
        <v>WS-28</v>
      </c>
      <c r="F381" s="3">
        <f>IF(E381="", "", VLOOKUP(B381, 'S14 ABC Output'!$A$3:$C$18, 3, 0))</f>
        <v>25468</v>
      </c>
      <c r="I381" s="392" t="str">
        <f t="shared" si="21"/>
        <v>WS-03</v>
      </c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</row>
    <row r="382" spans="1:53">
      <c r="A382" s="3">
        <v>9</v>
      </c>
      <c r="B382" s="125" t="str">
        <f>IFERROR(INDEX('S21 Routing Clustered'!$A$3:$A$18, A382), "")</f>
        <v>I-074</v>
      </c>
      <c r="C382" s="3">
        <v>50</v>
      </c>
      <c r="D382" s="391" t="str">
        <f>IFERROR(HLOOKUP(C382, 'S21 Routing Clustered'!$B$2:$I$18, A382+1, 0), "")</f>
        <v>WS-28</v>
      </c>
      <c r="E382" s="391" t="str">
        <f t="shared" si="17"/>
        <v>WS-27</v>
      </c>
      <c r="F382" s="3">
        <f>IF(E382="", "", VLOOKUP(B382, 'S14 ABC Output'!$A$3:$C$18, 3, 0))</f>
        <v>25468</v>
      </c>
      <c r="I382" s="392" t="str">
        <f t="shared" si="21"/>
        <v>WS-04</v>
      </c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</row>
    <row r="383" spans="1:53">
      <c r="A383" s="3">
        <v>9</v>
      </c>
      <c r="B383" s="125" t="str">
        <f>IFERROR(INDEX('S21 Routing Clustered'!$A$3:$A$18, A383), "")</f>
        <v>I-074</v>
      </c>
      <c r="C383" s="3">
        <v>60</v>
      </c>
      <c r="D383" s="391" t="str">
        <f>IFERROR(HLOOKUP(C383, 'S21 Routing Clustered'!$B$2:$I$18, A383+1, 0), "")</f>
        <v>WS-27</v>
      </c>
      <c r="E383" s="391" t="str">
        <f t="shared" si="17"/>
        <v>WS-32</v>
      </c>
      <c r="F383" s="3">
        <f>IF(E383="", "", VLOOKUP(B383, 'S14 ABC Output'!$A$3:$C$18, 3, 0))</f>
        <v>25468</v>
      </c>
      <c r="I383" s="392" t="str">
        <f t="shared" si="21"/>
        <v>WS-05</v>
      </c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</row>
    <row r="384" spans="1:53">
      <c r="A384" s="3">
        <v>9</v>
      </c>
      <c r="B384" s="125" t="str">
        <f>IFERROR(INDEX('S21 Routing Clustered'!$A$3:$A$18, A384), "")</f>
        <v>I-074</v>
      </c>
      <c r="C384" s="3">
        <v>70</v>
      </c>
      <c r="D384" s="391" t="str">
        <f>IFERROR(HLOOKUP(C384, 'S21 Routing Clustered'!$B$2:$I$18, A384+1, 0), "")</f>
        <v>WS-32</v>
      </c>
      <c r="E384" s="391" t="str">
        <f t="shared" si="17"/>
        <v>WS-44</v>
      </c>
      <c r="F384" s="3">
        <f>IF(E384="", "", VLOOKUP(B384, 'S14 ABC Output'!$A$3:$C$18, 3, 0))</f>
        <v>25468</v>
      </c>
      <c r="I384" s="392" t="str">
        <f t="shared" si="21"/>
        <v>WS-06</v>
      </c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</row>
    <row r="385" spans="1:53">
      <c r="A385" s="3">
        <v>9</v>
      </c>
      <c r="B385" s="125" t="str">
        <f>IFERROR(INDEX('S21 Routing Clustered'!$A$3:$A$18, A385), "")</f>
        <v>I-074</v>
      </c>
      <c r="C385" s="3">
        <v>80</v>
      </c>
      <c r="D385" s="391" t="str">
        <f>IFERROR(HLOOKUP(C385, 'S21 Routing Clustered'!$B$2:$I$18, A385+1, 0), "")</f>
        <v>WS-44</v>
      </c>
      <c r="E385" s="391" t="str">
        <f t="shared" si="17"/>
        <v/>
      </c>
      <c r="F385" s="3" t="str">
        <f>IF(E385="", "", VLOOKUP(B385, 'S14 ABC Output'!$A$3:$C$18, 3, 0))</f>
        <v/>
      </c>
      <c r="I385" s="392" t="str">
        <f t="shared" si="21"/>
        <v>WS-07</v>
      </c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>
        <v>25468</v>
      </c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</row>
    <row r="386" spans="1:53">
      <c r="A386" s="3">
        <v>9</v>
      </c>
      <c r="B386" s="125" t="str">
        <f>IFERROR(INDEX('S21 Routing Clustered'!$A$3:$A$18, A386), "")</f>
        <v>I-074</v>
      </c>
      <c r="C386" s="3">
        <v>90</v>
      </c>
      <c r="D386" s="391" t="str">
        <f>IFERROR(HLOOKUP(C386, 'S21 Routing Clustered'!$B$2:$I$18, A386+1, 0), "")</f>
        <v/>
      </c>
      <c r="E386" s="391" t="str">
        <f t="shared" si="17"/>
        <v/>
      </c>
      <c r="F386" s="3" t="str">
        <f>IF(E386="", "", VLOOKUP(B386, 'S14 ABC Output'!$A$3:$C$18, 3, 0))</f>
        <v/>
      </c>
      <c r="I386" s="392" t="str">
        <f t="shared" si="21"/>
        <v>WS-08</v>
      </c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</row>
    <row r="387" spans="1:53">
      <c r="A387" s="3">
        <v>9</v>
      </c>
      <c r="B387" s="125" t="str">
        <f>IFERROR(INDEX('S21 Routing Clustered'!$A$3:$A$18, A387), "")</f>
        <v>I-074</v>
      </c>
      <c r="C387" s="3">
        <v>100</v>
      </c>
      <c r="D387" s="391" t="str">
        <f>IFERROR(HLOOKUP(C387, 'S21 Routing Clustered'!$B$2:$I$18, A387+1, 0), "")</f>
        <v/>
      </c>
      <c r="E387" s="391" t="str">
        <f t="shared" ref="E387:E450" si="22">IF(D387="", "", D388)</f>
        <v/>
      </c>
      <c r="F387" s="3" t="str">
        <f>IF(E387="", "", VLOOKUP(B387, 'S14 ABC Output'!$A$3:$C$18, 3, 0))</f>
        <v/>
      </c>
      <c r="I387" s="392" t="str">
        <f t="shared" si="21"/>
        <v>WS-09</v>
      </c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</row>
    <row r="388" spans="1:53">
      <c r="A388" s="3">
        <v>9</v>
      </c>
      <c r="B388" s="125" t="str">
        <f>IFERROR(INDEX('S21 Routing Clustered'!$A$3:$A$18, A388), "")</f>
        <v>I-074</v>
      </c>
      <c r="C388" s="3">
        <v>110</v>
      </c>
      <c r="D388" s="391" t="str">
        <f>IFERROR(HLOOKUP(C388, 'S21 Routing Clustered'!$B$2:$I$18, A388+1, 0), "")</f>
        <v/>
      </c>
      <c r="E388" s="391" t="str">
        <f t="shared" si="22"/>
        <v/>
      </c>
      <c r="F388" s="3" t="str">
        <f>IF(E388="", "", VLOOKUP(B388, 'S14 ABC Output'!$A$3:$C$18, 3, 0))</f>
        <v/>
      </c>
      <c r="I388" s="392" t="str">
        <f t="shared" si="21"/>
        <v>WS-10</v>
      </c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</row>
    <row r="389" spans="1:53">
      <c r="A389" s="3">
        <v>9</v>
      </c>
      <c r="B389" s="125" t="str">
        <f>IFERROR(INDEX('S21 Routing Clustered'!$A$3:$A$18, A389), "")</f>
        <v>I-074</v>
      </c>
      <c r="C389" s="3">
        <v>120</v>
      </c>
      <c r="D389" s="391" t="str">
        <f>IFERROR(HLOOKUP(C389, 'S21 Routing Clustered'!$B$2:$I$18, A389+1, 0), "")</f>
        <v/>
      </c>
      <c r="E389" s="391" t="str">
        <f t="shared" si="22"/>
        <v/>
      </c>
      <c r="F389" s="3" t="str">
        <f>IF(E389="", "", VLOOKUP(B389, 'S14 ABC Output'!$A$3:$C$18, 3, 0))</f>
        <v/>
      </c>
      <c r="I389" s="392" t="str">
        <f t="shared" si="21"/>
        <v>WS-11</v>
      </c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</row>
    <row r="390" spans="1:53">
      <c r="A390" s="3">
        <v>9</v>
      </c>
      <c r="B390" s="125" t="str">
        <f>IFERROR(INDEX('S21 Routing Clustered'!$A$3:$A$18, A390), "")</f>
        <v>I-074</v>
      </c>
      <c r="C390" s="3">
        <v>130</v>
      </c>
      <c r="D390" s="391" t="str">
        <f>IFERROR(HLOOKUP(C390, 'S21 Routing Clustered'!$B$2:$I$18, A390+1, 0), "")</f>
        <v/>
      </c>
      <c r="E390" s="391" t="str">
        <f t="shared" si="22"/>
        <v/>
      </c>
      <c r="F390" s="3" t="str">
        <f>IF(E390="", "", VLOOKUP(B390, 'S14 ABC Output'!$A$3:$C$18, 3, 0))</f>
        <v/>
      </c>
      <c r="I390" s="392" t="str">
        <f t="shared" si="21"/>
        <v>WS-12</v>
      </c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</row>
    <row r="391" spans="1:53">
      <c r="A391" s="3">
        <v>9</v>
      </c>
      <c r="B391" s="125" t="str">
        <f>IFERROR(INDEX('S21 Routing Clustered'!$A$3:$A$18, A391), "")</f>
        <v>I-074</v>
      </c>
      <c r="C391" s="3">
        <v>140</v>
      </c>
      <c r="D391" s="391" t="str">
        <f>IFERROR(HLOOKUP(C391, 'S21 Routing Clustered'!$B$2:$I$18, A391+1, 0), "")</f>
        <v/>
      </c>
      <c r="E391" s="391" t="str">
        <f t="shared" si="22"/>
        <v/>
      </c>
      <c r="F391" s="3" t="str">
        <f>IF(E391="", "", VLOOKUP(B391, 'S14 ABC Output'!$A$3:$C$18, 3, 0))</f>
        <v/>
      </c>
      <c r="I391" s="392" t="str">
        <f t="shared" si="21"/>
        <v>WS-13</v>
      </c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</row>
    <row r="392" spans="1:53">
      <c r="A392" s="3">
        <v>9</v>
      </c>
      <c r="B392" s="125" t="str">
        <f>IFERROR(INDEX('S21 Routing Clustered'!$A$3:$A$18, A392), "")</f>
        <v>I-074</v>
      </c>
      <c r="C392" s="3">
        <v>150</v>
      </c>
      <c r="D392" s="391" t="str">
        <f>IFERROR(HLOOKUP(C392, 'S21 Routing Clustered'!$B$2:$I$18, A392+1, 0), "")</f>
        <v/>
      </c>
      <c r="E392" s="391" t="str">
        <f t="shared" si="22"/>
        <v/>
      </c>
      <c r="F392" s="3" t="str">
        <f>IF(E392="", "", VLOOKUP(B392, 'S14 ABC Output'!$A$3:$C$18, 3, 0))</f>
        <v/>
      </c>
      <c r="I392" s="392" t="str">
        <f t="shared" si="21"/>
        <v>WS-14</v>
      </c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</row>
    <row r="393" spans="1:53">
      <c r="A393" s="3">
        <v>9</v>
      </c>
      <c r="B393" s="125" t="str">
        <f>IFERROR(INDEX('S21 Routing Clustered'!$A$3:$A$18, A393), "")</f>
        <v>I-074</v>
      </c>
      <c r="C393" s="3">
        <v>160</v>
      </c>
      <c r="D393" s="391" t="str">
        <f>IFERROR(HLOOKUP(C393, 'S21 Routing Clustered'!$B$2:$I$18, A393+1, 0), "")</f>
        <v/>
      </c>
      <c r="E393" s="391" t="str">
        <f t="shared" si="22"/>
        <v/>
      </c>
      <c r="F393" s="3" t="str">
        <f>IF(E393="", "", VLOOKUP(B393, 'S14 ABC Output'!$A$3:$C$18, 3, 0))</f>
        <v/>
      </c>
      <c r="I393" s="392" t="str">
        <f t="shared" si="21"/>
        <v>WS-15</v>
      </c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</row>
    <row r="394" spans="1:53">
      <c r="A394" s="3">
        <v>9</v>
      </c>
      <c r="B394" s="125" t="str">
        <f>IFERROR(INDEX('S21 Routing Clustered'!$A$3:$A$18, A394), "")</f>
        <v>I-074</v>
      </c>
      <c r="C394" s="3">
        <v>170</v>
      </c>
      <c r="D394" s="391" t="str">
        <f>IFERROR(HLOOKUP(C394, 'S21 Routing Clustered'!$B$2:$I$18, A394+1, 0), "")</f>
        <v/>
      </c>
      <c r="E394" s="391" t="str">
        <f t="shared" si="22"/>
        <v/>
      </c>
      <c r="F394" s="3" t="str">
        <f>IF(E394="", "", VLOOKUP(B394, 'S14 ABC Output'!$A$3:$C$18, 3, 0))</f>
        <v/>
      </c>
      <c r="I394" s="392" t="str">
        <f t="shared" si="21"/>
        <v>WS-16</v>
      </c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</row>
    <row r="395" spans="1:53">
      <c r="A395" s="3">
        <v>9</v>
      </c>
      <c r="B395" s="125" t="str">
        <f>IFERROR(INDEX('S21 Routing Clustered'!$A$3:$A$18, A395), "")</f>
        <v>I-074</v>
      </c>
      <c r="C395" s="3">
        <v>180</v>
      </c>
      <c r="D395" s="391" t="str">
        <f>IFERROR(HLOOKUP(C395, 'S21 Routing Clustered'!$B$2:$I$18, A395+1, 0), "")</f>
        <v/>
      </c>
      <c r="E395" s="391" t="str">
        <f t="shared" si="22"/>
        <v/>
      </c>
      <c r="F395" s="3" t="str">
        <f>IF(E395="", "", VLOOKUP(B395, 'S14 ABC Output'!$A$3:$C$18, 3, 0))</f>
        <v/>
      </c>
      <c r="I395" s="392" t="str">
        <f t="shared" si="21"/>
        <v>WS-17</v>
      </c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</row>
    <row r="396" spans="1:53">
      <c r="A396" s="3">
        <v>9</v>
      </c>
      <c r="B396" s="125" t="str">
        <f>IFERROR(INDEX('S21 Routing Clustered'!$A$3:$A$18, A396), "")</f>
        <v>I-074</v>
      </c>
      <c r="C396" s="3">
        <v>190</v>
      </c>
      <c r="D396" s="391" t="str">
        <f>IFERROR(HLOOKUP(C396, 'S21 Routing Clustered'!$B$2:$I$18, A396+1, 0), "")</f>
        <v/>
      </c>
      <c r="E396" s="391" t="str">
        <f t="shared" si="22"/>
        <v/>
      </c>
      <c r="F396" s="3" t="str">
        <f>IF(E396="", "", VLOOKUP(B396, 'S14 ABC Output'!$A$3:$C$18, 3, 0))</f>
        <v/>
      </c>
      <c r="I396" s="392" t="str">
        <f t="shared" si="21"/>
        <v>WS-18</v>
      </c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</row>
    <row r="397" spans="1:53">
      <c r="A397" s="3">
        <v>9</v>
      </c>
      <c r="B397" s="125" t="str">
        <f>IFERROR(INDEX('S21 Routing Clustered'!$A$3:$A$18, A397), "")</f>
        <v>I-074</v>
      </c>
      <c r="C397" s="3">
        <v>200</v>
      </c>
      <c r="D397" s="391" t="str">
        <f>IFERROR(HLOOKUP(C397, 'S21 Routing Clustered'!$B$2:$I$18, A397+1, 0), "")</f>
        <v/>
      </c>
      <c r="E397" s="391" t="str">
        <f t="shared" si="22"/>
        <v/>
      </c>
      <c r="F397" s="3" t="str">
        <f>IF(E397="", "", VLOOKUP(B397, 'S14 ABC Output'!$A$3:$C$18, 3, 0))</f>
        <v/>
      </c>
      <c r="I397" s="392" t="str">
        <f t="shared" si="21"/>
        <v>WS-19</v>
      </c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</row>
    <row r="398" spans="1:53">
      <c r="A398" s="3">
        <v>9</v>
      </c>
      <c r="B398" s="125" t="str">
        <f>IFERROR(INDEX('S21 Routing Clustered'!$A$3:$A$18, A398), "")</f>
        <v>I-074</v>
      </c>
      <c r="C398" s="3">
        <v>210</v>
      </c>
      <c r="D398" s="391" t="str">
        <f>IFERROR(HLOOKUP(C398, 'S21 Routing Clustered'!$B$2:$I$18, A398+1, 0), "")</f>
        <v/>
      </c>
      <c r="E398" s="391" t="str">
        <f t="shared" si="22"/>
        <v/>
      </c>
      <c r="F398" s="3" t="str">
        <f>IF(E398="", "", VLOOKUP(B398, 'S14 ABC Output'!$A$3:$C$18, 3, 0))</f>
        <v/>
      </c>
      <c r="I398" s="392" t="str">
        <f t="shared" si="21"/>
        <v>WS-20</v>
      </c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</row>
    <row r="399" spans="1:53">
      <c r="A399" s="3">
        <v>9</v>
      </c>
      <c r="B399" s="125" t="str">
        <f>IFERROR(INDEX('S21 Routing Clustered'!$A$3:$A$18, A399), "")</f>
        <v>I-074</v>
      </c>
      <c r="C399" s="3">
        <v>220</v>
      </c>
      <c r="D399" s="391" t="str">
        <f>IFERROR(HLOOKUP(C399, 'S21 Routing Clustered'!$B$2:$I$18, A399+1, 0), "")</f>
        <v/>
      </c>
      <c r="E399" s="391" t="str">
        <f t="shared" si="22"/>
        <v/>
      </c>
      <c r="F399" s="3" t="str">
        <f>IF(E399="", "", VLOOKUP(B399, 'S14 ABC Output'!$A$3:$C$18, 3, 0))</f>
        <v/>
      </c>
      <c r="I399" s="392" t="str">
        <f t="shared" si="21"/>
        <v>WS-21</v>
      </c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>
        <v>25468</v>
      </c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</row>
    <row r="400" spans="1:53">
      <c r="A400" s="3">
        <v>9</v>
      </c>
      <c r="B400" s="125" t="str">
        <f>IFERROR(INDEX('S21 Routing Clustered'!$A$3:$A$18, A400), "")</f>
        <v>I-074</v>
      </c>
      <c r="C400" s="3">
        <v>230</v>
      </c>
      <c r="D400" s="391" t="str">
        <f>IFERROR(HLOOKUP(C400, 'S21 Routing Clustered'!$B$2:$I$18, A400+1, 0), "")</f>
        <v/>
      </c>
      <c r="E400" s="391" t="str">
        <f t="shared" si="22"/>
        <v/>
      </c>
      <c r="F400" s="3" t="str">
        <f>IF(E400="", "", VLOOKUP(B400, 'S14 ABC Output'!$A$3:$C$18, 3, 0))</f>
        <v/>
      </c>
      <c r="I400" s="392" t="str">
        <f t="shared" si="21"/>
        <v>WS-22</v>
      </c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</row>
    <row r="401" spans="1:53">
      <c r="A401" s="3">
        <v>9</v>
      </c>
      <c r="B401" s="125" t="str">
        <f>IFERROR(INDEX('S21 Routing Clustered'!$A$3:$A$18, A401), "")</f>
        <v>I-074</v>
      </c>
      <c r="C401" s="3">
        <v>240</v>
      </c>
      <c r="D401" s="391" t="str">
        <f>IFERROR(HLOOKUP(C401, 'S21 Routing Clustered'!$B$2:$I$18, A401+1, 0), "")</f>
        <v/>
      </c>
      <c r="E401" s="391" t="str">
        <f t="shared" si="22"/>
        <v/>
      </c>
      <c r="F401" s="3" t="str">
        <f>IF(E401="", "", VLOOKUP(B401, 'S14 ABC Output'!$A$3:$C$18, 3, 0))</f>
        <v/>
      </c>
      <c r="I401" s="392" t="str">
        <f t="shared" si="21"/>
        <v>WS-23</v>
      </c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</row>
    <row r="402" spans="1:53">
      <c r="A402" s="3">
        <v>9</v>
      </c>
      <c r="B402" s="125" t="str">
        <f>IFERROR(INDEX('S21 Routing Clustered'!$A$3:$A$18, A402), "")</f>
        <v>I-074</v>
      </c>
      <c r="C402" s="3">
        <v>250</v>
      </c>
      <c r="D402" s="391" t="str">
        <f>IFERROR(HLOOKUP(C402, 'S21 Routing Clustered'!$B$2:$I$18, A402+1, 0), "")</f>
        <v/>
      </c>
      <c r="E402" s="391" t="str">
        <f t="shared" si="22"/>
        <v/>
      </c>
      <c r="F402" s="3" t="str">
        <f>IF(E402="", "", VLOOKUP(B402, 'S14 ABC Output'!$A$3:$C$18, 3, 0))</f>
        <v/>
      </c>
      <c r="I402" s="392" t="str">
        <f t="shared" si="21"/>
        <v>WS-24</v>
      </c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</row>
    <row r="403" spans="1:53">
      <c r="A403" s="3">
        <v>9</v>
      </c>
      <c r="B403" s="125" t="str">
        <f>IFERROR(INDEX('S21 Routing Clustered'!$A$3:$A$18, A403), "")</f>
        <v>I-074</v>
      </c>
      <c r="C403" s="3">
        <v>260</v>
      </c>
      <c r="D403" s="391" t="str">
        <f>IFERROR(HLOOKUP(C403, 'S21 Routing Clustered'!$B$2:$I$18, A403+1, 0), "")</f>
        <v/>
      </c>
      <c r="E403" s="391" t="str">
        <f t="shared" si="22"/>
        <v/>
      </c>
      <c r="F403" s="3" t="str">
        <f>IF(E403="", "", VLOOKUP(B403, 'S14 ABC Output'!$A$3:$C$18, 3, 0))</f>
        <v/>
      </c>
      <c r="I403" s="392" t="str">
        <f t="shared" si="21"/>
        <v>WS-25</v>
      </c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</row>
    <row r="404" spans="1:53">
      <c r="A404" s="3">
        <v>9</v>
      </c>
      <c r="B404" s="125" t="str">
        <f>IFERROR(INDEX('S21 Routing Clustered'!$A$3:$A$18, A404), "")</f>
        <v>I-074</v>
      </c>
      <c r="C404" s="3">
        <v>270</v>
      </c>
      <c r="D404" s="391" t="str">
        <f>IFERROR(HLOOKUP(C404, 'S21 Routing Clustered'!$B$2:$I$18, A404+1, 0), "")</f>
        <v/>
      </c>
      <c r="E404" s="391" t="str">
        <f t="shared" si="22"/>
        <v/>
      </c>
      <c r="F404" s="3" t="str">
        <f>IF(E404="", "", VLOOKUP(B404, 'S14 ABC Output'!$A$3:$C$18, 3, 0))</f>
        <v/>
      </c>
      <c r="I404" s="392" t="str">
        <f t="shared" si="21"/>
        <v>WS-26</v>
      </c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</row>
    <row r="405" spans="1:53">
      <c r="A405" s="3">
        <v>9</v>
      </c>
      <c r="B405" s="125" t="str">
        <f>IFERROR(INDEX('S21 Routing Clustered'!$A$3:$A$18, A405), "")</f>
        <v>I-074</v>
      </c>
      <c r="C405" s="3">
        <v>280</v>
      </c>
      <c r="D405" s="391" t="str">
        <f>IFERROR(HLOOKUP(C405, 'S21 Routing Clustered'!$B$2:$I$18, A405+1, 0), "")</f>
        <v/>
      </c>
      <c r="E405" s="391" t="str">
        <f t="shared" si="22"/>
        <v/>
      </c>
      <c r="F405" s="3" t="str">
        <f>IF(E405="", "", VLOOKUP(B405, 'S14 ABC Output'!$A$3:$C$18, 3, 0))</f>
        <v/>
      </c>
      <c r="I405" s="392" t="str">
        <f t="shared" si="21"/>
        <v>WS-27</v>
      </c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>
        <v>25468</v>
      </c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</row>
    <row r="406" spans="1:53">
      <c r="A406" s="3">
        <v>9</v>
      </c>
      <c r="B406" s="125" t="str">
        <f>IFERROR(INDEX('S21 Routing Clustered'!$A$3:$A$18, A406), "")</f>
        <v>I-074</v>
      </c>
      <c r="C406" s="3">
        <v>290</v>
      </c>
      <c r="D406" s="391" t="str">
        <f>IFERROR(HLOOKUP(C406, 'S21 Routing Clustered'!$B$2:$I$18, A406+1, 0), "")</f>
        <v/>
      </c>
      <c r="E406" s="391" t="str">
        <f t="shared" si="22"/>
        <v/>
      </c>
      <c r="F406" s="3" t="str">
        <f>IF(E406="", "", VLOOKUP(B406, 'S14 ABC Output'!$A$3:$C$18, 3, 0))</f>
        <v/>
      </c>
      <c r="I406" s="392" t="str">
        <f t="shared" si="21"/>
        <v>WS-28</v>
      </c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>
        <v>25468</v>
      </c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</row>
    <row r="407" spans="1:53">
      <c r="A407" s="3">
        <v>9</v>
      </c>
      <c r="B407" s="125" t="str">
        <f>IFERROR(INDEX('S21 Routing Clustered'!$A$3:$A$18, A407), "")</f>
        <v>I-074</v>
      </c>
      <c r="C407" s="3">
        <v>300</v>
      </c>
      <c r="D407" s="391" t="str">
        <f>IFERROR(HLOOKUP(C407, 'S21 Routing Clustered'!$B$2:$I$18, A407+1, 0), "")</f>
        <v/>
      </c>
      <c r="E407" s="391" t="str">
        <f t="shared" si="22"/>
        <v/>
      </c>
      <c r="F407" s="3" t="str">
        <f>IF(E407="", "", VLOOKUP(B407, 'S14 ABC Output'!$A$3:$C$18, 3, 0))</f>
        <v/>
      </c>
      <c r="I407" s="392" t="str">
        <f t="shared" si="21"/>
        <v>WS-29</v>
      </c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</row>
    <row r="408" spans="1:53">
      <c r="A408" s="3">
        <v>9</v>
      </c>
      <c r="B408" s="125" t="str">
        <f>IFERROR(INDEX('S21 Routing Clustered'!$A$3:$A$18, A408), "")</f>
        <v>I-074</v>
      </c>
      <c r="C408" s="3">
        <v>310</v>
      </c>
      <c r="D408" s="391" t="str">
        <f>IFERROR(HLOOKUP(C408, 'S21 Routing Clustered'!$B$2:$I$18, A408+1, 0), "")</f>
        <v/>
      </c>
      <c r="E408" s="391" t="str">
        <f t="shared" si="22"/>
        <v/>
      </c>
      <c r="F408" s="3" t="str">
        <f>IF(E408="", "", VLOOKUP(B408, 'S14 ABC Output'!$A$3:$C$18, 3, 0))</f>
        <v/>
      </c>
      <c r="I408" s="392" t="str">
        <f t="shared" si="21"/>
        <v>WS-30</v>
      </c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</row>
    <row r="409" spans="1:53">
      <c r="A409" s="3">
        <v>9</v>
      </c>
      <c r="B409" s="125" t="str">
        <f>IFERROR(INDEX('S21 Routing Clustered'!$A$3:$A$18, A409), "")</f>
        <v>I-074</v>
      </c>
      <c r="C409" s="3">
        <v>320</v>
      </c>
      <c r="D409" s="391" t="str">
        <f>IFERROR(HLOOKUP(C409, 'S21 Routing Clustered'!$B$2:$I$18, A409+1, 0), "")</f>
        <v/>
      </c>
      <c r="E409" s="391" t="str">
        <f t="shared" si="22"/>
        <v/>
      </c>
      <c r="F409" s="3" t="str">
        <f>IF(E409="", "", VLOOKUP(B409, 'S14 ABC Output'!$A$3:$C$18, 3, 0))</f>
        <v/>
      </c>
      <c r="I409" s="392" t="str">
        <f t="shared" si="21"/>
        <v>WS-31</v>
      </c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</row>
    <row r="410" spans="1:53">
      <c r="A410" s="3">
        <v>9</v>
      </c>
      <c r="B410" s="125" t="str">
        <f>IFERROR(INDEX('S21 Routing Clustered'!$A$3:$A$18, A410), "")</f>
        <v>I-074</v>
      </c>
      <c r="C410" s="3">
        <v>330</v>
      </c>
      <c r="D410" s="391" t="str">
        <f>IFERROR(HLOOKUP(C410, 'S21 Routing Clustered'!$B$2:$I$18, A410+1, 0), "")</f>
        <v/>
      </c>
      <c r="E410" s="391" t="str">
        <f t="shared" si="22"/>
        <v/>
      </c>
      <c r="F410" s="3" t="str">
        <f>IF(E410="", "", VLOOKUP(B410, 'S14 ABC Output'!$A$3:$C$18, 3, 0))</f>
        <v/>
      </c>
      <c r="I410" s="392" t="str">
        <f t="shared" si="21"/>
        <v>WS-32</v>
      </c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>
        <v>25468</v>
      </c>
    </row>
    <row r="411" spans="1:53">
      <c r="A411" s="3">
        <v>9</v>
      </c>
      <c r="B411" s="125" t="str">
        <f>IFERROR(INDEX('S21 Routing Clustered'!$A$3:$A$18, A411), "")</f>
        <v>I-074</v>
      </c>
      <c r="C411" s="3">
        <v>340</v>
      </c>
      <c r="D411" s="391" t="str">
        <f>IFERROR(HLOOKUP(C411, 'S21 Routing Clustered'!$B$2:$I$18, A411+1, 0), "")</f>
        <v/>
      </c>
      <c r="E411" s="391" t="str">
        <f t="shared" si="22"/>
        <v/>
      </c>
      <c r="F411" s="3" t="str">
        <f>IF(E411="", "", VLOOKUP(B411, 'S14 ABC Output'!$A$3:$C$18, 3, 0))</f>
        <v/>
      </c>
      <c r="I411" s="392" t="str">
        <f t="shared" si="21"/>
        <v>WS-33</v>
      </c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</row>
    <row r="412" spans="1:53">
      <c r="A412" s="3">
        <v>9</v>
      </c>
      <c r="B412" s="125" t="str">
        <f>IFERROR(INDEX('S21 Routing Clustered'!$A$3:$A$18, A412), "")</f>
        <v>I-074</v>
      </c>
      <c r="C412" s="3">
        <v>350</v>
      </c>
      <c r="D412" s="391" t="str">
        <f>IFERROR(HLOOKUP(C412, 'S21 Routing Clustered'!$B$2:$I$18, A412+1, 0), "")</f>
        <v/>
      </c>
      <c r="E412" s="391" t="str">
        <f t="shared" si="22"/>
        <v/>
      </c>
      <c r="F412" s="3" t="str">
        <f>IF(E412="", "", VLOOKUP(B412, 'S14 ABC Output'!$A$3:$C$18, 3, 0))</f>
        <v/>
      </c>
      <c r="I412" s="392" t="str">
        <f t="shared" si="21"/>
        <v>WS-34</v>
      </c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</row>
    <row r="413" spans="1:53">
      <c r="A413" s="3">
        <v>9</v>
      </c>
      <c r="B413" s="125" t="str">
        <f>IFERROR(INDEX('S21 Routing Clustered'!$A$3:$A$18, A413), "")</f>
        <v>I-074</v>
      </c>
      <c r="C413" s="3">
        <v>360</v>
      </c>
      <c r="D413" s="391" t="str">
        <f>IFERROR(HLOOKUP(C413, 'S21 Routing Clustered'!$B$2:$I$18, A413+1, 0), "")</f>
        <v/>
      </c>
      <c r="E413" s="391" t="str">
        <f t="shared" si="22"/>
        <v/>
      </c>
      <c r="F413" s="3" t="str">
        <f>IF(E413="", "", VLOOKUP(B413, 'S14 ABC Output'!$A$3:$C$18, 3, 0))</f>
        <v/>
      </c>
      <c r="I413" s="392" t="str">
        <f t="shared" si="21"/>
        <v>WS-35</v>
      </c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</row>
    <row r="414" spans="1:53">
      <c r="A414" s="3">
        <v>9</v>
      </c>
      <c r="B414" s="125" t="str">
        <f>IFERROR(INDEX('S21 Routing Clustered'!$A$3:$A$18, A414), "")</f>
        <v>I-074</v>
      </c>
      <c r="C414" s="3">
        <v>370</v>
      </c>
      <c r="D414" s="391" t="str">
        <f>IFERROR(HLOOKUP(C414, 'S21 Routing Clustered'!$B$2:$I$18, A414+1, 0), "")</f>
        <v/>
      </c>
      <c r="E414" s="391" t="str">
        <f t="shared" si="22"/>
        <v/>
      </c>
      <c r="F414" s="3" t="str">
        <f>IF(E414="", "", VLOOKUP(B414, 'S14 ABC Output'!$A$3:$C$18, 3, 0))</f>
        <v/>
      </c>
      <c r="I414" s="392" t="str">
        <f t="shared" si="21"/>
        <v>WS-36</v>
      </c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</row>
    <row r="415" spans="1:53">
      <c r="A415" s="3">
        <v>9</v>
      </c>
      <c r="B415" s="125" t="str">
        <f>IFERROR(INDEX('S21 Routing Clustered'!$A$3:$A$18, A415), "")</f>
        <v>I-074</v>
      </c>
      <c r="C415" s="3">
        <v>380</v>
      </c>
      <c r="D415" s="391" t="str">
        <f>IFERROR(HLOOKUP(C415, 'S21 Routing Clustered'!$B$2:$I$18, A415+1, 0), "")</f>
        <v/>
      </c>
      <c r="E415" s="391" t="str">
        <f t="shared" si="22"/>
        <v/>
      </c>
      <c r="F415" s="3" t="str">
        <f>IF(E415="", "", VLOOKUP(B415, 'S14 ABC Output'!$A$3:$C$18, 3, 0))</f>
        <v/>
      </c>
      <c r="I415" s="392" t="str">
        <f t="shared" si="21"/>
        <v>WS-37</v>
      </c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</row>
    <row r="416" spans="1:53">
      <c r="A416" s="3">
        <v>9</v>
      </c>
      <c r="B416" s="125" t="str">
        <f>IFERROR(INDEX('S21 Routing Clustered'!$A$3:$A$18, A416), "")</f>
        <v>I-074</v>
      </c>
      <c r="C416" s="3">
        <v>390</v>
      </c>
      <c r="D416" s="391" t="str">
        <f>IFERROR(HLOOKUP(C416, 'S21 Routing Clustered'!$B$2:$I$18, A416+1, 0), "")</f>
        <v/>
      </c>
      <c r="E416" s="391" t="str">
        <f t="shared" si="22"/>
        <v/>
      </c>
      <c r="F416" s="3" t="str">
        <f>IF(E416="", "", VLOOKUP(B416, 'S14 ABC Output'!$A$3:$C$18, 3, 0))</f>
        <v/>
      </c>
      <c r="I416" s="392" t="str">
        <f t="shared" si="21"/>
        <v>WS-38</v>
      </c>
      <c r="J416" s="3"/>
      <c r="K416" s="3"/>
      <c r="L416" s="3"/>
      <c r="M416" s="3"/>
      <c r="N416" s="3"/>
      <c r="O416" s="3"/>
      <c r="P416" s="3">
        <v>25468</v>
      </c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</row>
    <row r="417" spans="1:53">
      <c r="A417" s="3">
        <v>9</v>
      </c>
      <c r="B417" s="125" t="str">
        <f>IFERROR(INDEX('S21 Routing Clustered'!$A$3:$A$18, A417), "")</f>
        <v>I-074</v>
      </c>
      <c r="C417" s="3">
        <v>400</v>
      </c>
      <c r="D417" s="391" t="str">
        <f>IFERROR(HLOOKUP(C417, 'S21 Routing Clustered'!$B$2:$I$18, A417+1, 0), "")</f>
        <v/>
      </c>
      <c r="E417" s="391" t="str">
        <f t="shared" si="22"/>
        <v/>
      </c>
      <c r="F417" s="3" t="str">
        <f>IF(E417="", "", VLOOKUP(B417, 'S14 ABC Output'!$A$3:$C$18, 3, 0))</f>
        <v/>
      </c>
      <c r="I417" s="392" t="str">
        <f t="shared" si="21"/>
        <v>WS-39</v>
      </c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</row>
    <row r="418" spans="1:53">
      <c r="A418" s="3">
        <v>9</v>
      </c>
      <c r="B418" s="125" t="str">
        <f>IFERROR(INDEX('S21 Routing Clustered'!$A$3:$A$18, A418), "")</f>
        <v>I-074</v>
      </c>
      <c r="C418" s="3">
        <v>410</v>
      </c>
      <c r="D418" s="391" t="str">
        <f>IFERROR(HLOOKUP(C418, 'S21 Routing Clustered'!$B$2:$I$18, A418+1, 0), "")</f>
        <v/>
      </c>
      <c r="E418" s="391" t="str">
        <f t="shared" si="22"/>
        <v/>
      </c>
      <c r="F418" s="3" t="str">
        <f>IF(E418="", "", VLOOKUP(B418, 'S14 ABC Output'!$A$3:$C$18, 3, 0))</f>
        <v/>
      </c>
      <c r="I418" s="392" t="str">
        <f t="shared" si="21"/>
        <v>WS-40</v>
      </c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</row>
    <row r="419" spans="1:53">
      <c r="A419" s="3">
        <v>9</v>
      </c>
      <c r="B419" s="125" t="str">
        <f>IFERROR(INDEX('S21 Routing Clustered'!$A$3:$A$18, A419), "")</f>
        <v>I-074</v>
      </c>
      <c r="C419" s="3">
        <v>420</v>
      </c>
      <c r="D419" s="391" t="str">
        <f>IFERROR(HLOOKUP(C419, 'S21 Routing Clustered'!$B$2:$I$18, A419+1, 0), "")</f>
        <v/>
      </c>
      <c r="E419" s="391" t="str">
        <f t="shared" si="22"/>
        <v/>
      </c>
      <c r="F419" s="3" t="str">
        <f>IF(E419="", "", VLOOKUP(B419, 'S14 ABC Output'!$A$3:$C$18, 3, 0))</f>
        <v/>
      </c>
      <c r="I419" s="392" t="str">
        <f t="shared" si="21"/>
        <v>WS-41</v>
      </c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</row>
    <row r="420" spans="1:53">
      <c r="A420" s="3">
        <v>9</v>
      </c>
      <c r="B420" s="125" t="str">
        <f>IFERROR(INDEX('S21 Routing Clustered'!$A$3:$A$18, A420), "")</f>
        <v>I-074</v>
      </c>
      <c r="C420" s="3">
        <v>430</v>
      </c>
      <c r="D420" s="391" t="str">
        <f>IFERROR(HLOOKUP(C420, 'S21 Routing Clustered'!$B$2:$I$18, A420+1, 0), "")</f>
        <v/>
      </c>
      <c r="E420" s="391" t="str">
        <f t="shared" si="22"/>
        <v/>
      </c>
      <c r="F420" s="3" t="str">
        <f>IF(E420="", "", VLOOKUP(B420, 'S14 ABC Output'!$A$3:$C$18, 3, 0))</f>
        <v/>
      </c>
      <c r="I420" s="392" t="str">
        <f t="shared" si="21"/>
        <v>WS-42</v>
      </c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</row>
    <row r="421" spans="1:53">
      <c r="A421" s="3">
        <v>9</v>
      </c>
      <c r="B421" s="125" t="str">
        <f>IFERROR(INDEX('S21 Routing Clustered'!$A$3:$A$18, A421), "")</f>
        <v>I-074</v>
      </c>
      <c r="C421" s="3">
        <v>440</v>
      </c>
      <c r="D421" s="391" t="str">
        <f>IFERROR(HLOOKUP(C421, 'S21 Routing Clustered'!$B$2:$I$18, A421+1, 0), "")</f>
        <v/>
      </c>
      <c r="E421" s="391" t="str">
        <f t="shared" si="22"/>
        <v/>
      </c>
      <c r="F421" s="3" t="str">
        <f>IF(E421="", "", VLOOKUP(B421, 'S14 ABC Output'!$A$3:$C$18, 3, 0))</f>
        <v/>
      </c>
      <c r="I421" s="392" t="str">
        <f t="shared" si="21"/>
        <v>WS-43</v>
      </c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>
        <v>25468</v>
      </c>
      <c r="AV421" s="3"/>
      <c r="AW421" s="3"/>
      <c r="AX421" s="3"/>
      <c r="AY421" s="3"/>
      <c r="AZ421" s="3"/>
      <c r="BA421" s="3"/>
    </row>
    <row r="422" spans="1:53">
      <c r="A422" s="3">
        <v>9</v>
      </c>
      <c r="B422" s="125" t="str">
        <f>IFERROR(INDEX('S21 Routing Clustered'!$A$3:$A$18, A422), "")</f>
        <v>I-074</v>
      </c>
      <c r="C422" s="3">
        <v>450</v>
      </c>
      <c r="D422" s="391" t="str">
        <f>IFERROR(HLOOKUP(C422, 'S21 Routing Clustered'!$B$2:$I$18, A422+1, 0), "")</f>
        <v/>
      </c>
      <c r="E422" s="391" t="str">
        <f t="shared" si="22"/>
        <v/>
      </c>
      <c r="F422" s="3" t="str">
        <f>IF(E422="", "", VLOOKUP(B422, 'S14 ABC Output'!$A$3:$C$18, 3, 0))</f>
        <v/>
      </c>
      <c r="I422" s="392" t="str">
        <f t="shared" si="21"/>
        <v>WS-44</v>
      </c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</row>
    <row r="423" spans="1:53">
      <c r="B423" s="125" t="str">
        <f>IFERROR(INDEX('S21 Routing Clustered'!$A$3:$A$18, A423), "")</f>
        <v/>
      </c>
      <c r="D423" s="391" t="str">
        <f>IFERROR(HLOOKUP(C423, 'S21 Routing Clustered'!$B$2:$I$18, A423+1, 0), "")</f>
        <v/>
      </c>
      <c r="E423" s="391" t="str">
        <f t="shared" si="22"/>
        <v/>
      </c>
      <c r="F423" s="3" t="str">
        <f>IF(E423="", "", VLOOKUP(B423, 'S14 ABC Output'!$A$3:$C$18, 3, 0))</f>
        <v/>
      </c>
      <c r="I423" s="392"/>
    </row>
    <row r="424" spans="1:53">
      <c r="B424" s="125" t="str">
        <f>IFERROR(INDEX('S21 Routing Clustered'!$A$3:$A$18, A424), "")</f>
        <v/>
      </c>
      <c r="D424" s="391" t="str">
        <f>IFERROR(HLOOKUP(C424, 'S21 Routing Clustered'!$B$2:$I$18, A424+1, 0), "")</f>
        <v/>
      </c>
      <c r="E424" s="391" t="str">
        <f t="shared" si="22"/>
        <v/>
      </c>
      <c r="F424" s="3" t="str">
        <f>IF(E424="", "", VLOOKUP(B424, 'S14 ABC Output'!$A$3:$C$18, 3, 0))</f>
        <v/>
      </c>
      <c r="I424" s="392"/>
    </row>
    <row r="425" spans="1:53">
      <c r="A425" s="3">
        <v>10</v>
      </c>
      <c r="B425" s="125" t="str">
        <f>IFERROR(INDEX('S21 Routing Clustered'!$A$3:$A$18, A425), "")</f>
        <v>I-006</v>
      </c>
      <c r="C425" s="3">
        <v>10</v>
      </c>
      <c r="D425" s="391" t="str">
        <f>IFERROR(HLOOKUP(C425, 'S21 Routing Clustered'!$B$2:$I$18, A425+1, 0), "")</f>
        <v>WS-43</v>
      </c>
      <c r="E425" s="391" t="str">
        <f t="shared" si="22"/>
        <v>WS-40</v>
      </c>
      <c r="F425" s="3">
        <f>IF(E425="", "", VLOOKUP(B425, 'S14 ABC Output'!$A$3:$C$18, 3, 0))</f>
        <v>25689</v>
      </c>
      <c r="I425" s="392"/>
      <c r="J425" s="392" t="str">
        <f>J378</f>
        <v>WS-01</v>
      </c>
      <c r="K425" s="392" t="str">
        <f t="shared" ref="K425:BA425" si="23">K378</f>
        <v>WS-02</v>
      </c>
      <c r="L425" s="392" t="str">
        <f t="shared" si="23"/>
        <v>WS-03</v>
      </c>
      <c r="M425" s="392" t="str">
        <f t="shared" si="23"/>
        <v>WS-04</v>
      </c>
      <c r="N425" s="392" t="str">
        <f t="shared" si="23"/>
        <v>WS-05</v>
      </c>
      <c r="O425" s="392" t="str">
        <f t="shared" si="23"/>
        <v>WS-06</v>
      </c>
      <c r="P425" s="392" t="str">
        <f t="shared" si="23"/>
        <v>WS-07</v>
      </c>
      <c r="Q425" s="392" t="str">
        <f t="shared" si="23"/>
        <v>WS-08</v>
      </c>
      <c r="R425" s="392" t="str">
        <f t="shared" si="23"/>
        <v>WS-09</v>
      </c>
      <c r="S425" s="392" t="str">
        <f t="shared" si="23"/>
        <v>WS-10</v>
      </c>
      <c r="T425" s="392" t="str">
        <f t="shared" si="23"/>
        <v>WS-11</v>
      </c>
      <c r="U425" s="392" t="str">
        <f t="shared" si="23"/>
        <v>WS-12</v>
      </c>
      <c r="V425" s="392" t="str">
        <f t="shared" si="23"/>
        <v>WS-13</v>
      </c>
      <c r="W425" s="392" t="str">
        <f t="shared" si="23"/>
        <v>WS-14</v>
      </c>
      <c r="X425" s="392" t="str">
        <f t="shared" si="23"/>
        <v>WS-15</v>
      </c>
      <c r="Y425" s="392" t="str">
        <f t="shared" si="23"/>
        <v>WS-16</v>
      </c>
      <c r="Z425" s="392" t="str">
        <f t="shared" si="23"/>
        <v>WS-17</v>
      </c>
      <c r="AA425" s="392" t="str">
        <f t="shared" si="23"/>
        <v>WS-18</v>
      </c>
      <c r="AB425" s="392" t="str">
        <f t="shared" si="23"/>
        <v>WS-19</v>
      </c>
      <c r="AC425" s="392" t="str">
        <f t="shared" si="23"/>
        <v>WS-20</v>
      </c>
      <c r="AD425" s="392" t="str">
        <f t="shared" si="23"/>
        <v>WS-21</v>
      </c>
      <c r="AE425" s="392" t="str">
        <f t="shared" si="23"/>
        <v>WS-22</v>
      </c>
      <c r="AF425" s="392" t="str">
        <f t="shared" si="23"/>
        <v>WS-23</v>
      </c>
      <c r="AG425" s="392" t="str">
        <f t="shared" si="23"/>
        <v>WS-24</v>
      </c>
      <c r="AH425" s="392" t="str">
        <f t="shared" si="23"/>
        <v>WS-25</v>
      </c>
      <c r="AI425" s="392" t="str">
        <f t="shared" si="23"/>
        <v>WS-26</v>
      </c>
      <c r="AJ425" s="392" t="str">
        <f t="shared" si="23"/>
        <v>WS-27</v>
      </c>
      <c r="AK425" s="392" t="str">
        <f t="shared" si="23"/>
        <v>WS-28</v>
      </c>
      <c r="AL425" s="392" t="str">
        <f t="shared" si="23"/>
        <v>WS-29</v>
      </c>
      <c r="AM425" s="392" t="str">
        <f t="shared" si="23"/>
        <v>WS-30</v>
      </c>
      <c r="AN425" s="392" t="str">
        <f t="shared" si="23"/>
        <v>WS-31</v>
      </c>
      <c r="AO425" s="392" t="str">
        <f t="shared" si="23"/>
        <v>WS-32</v>
      </c>
      <c r="AP425" s="392" t="str">
        <f t="shared" si="23"/>
        <v>WS-33</v>
      </c>
      <c r="AQ425" s="392" t="str">
        <f t="shared" si="23"/>
        <v>WS-34</v>
      </c>
      <c r="AR425" s="392" t="str">
        <f t="shared" si="23"/>
        <v>WS-35</v>
      </c>
      <c r="AS425" s="392" t="str">
        <f t="shared" si="23"/>
        <v>WS-36</v>
      </c>
      <c r="AT425" s="392" t="str">
        <f t="shared" si="23"/>
        <v>WS-37</v>
      </c>
      <c r="AU425" s="392" t="str">
        <f t="shared" si="23"/>
        <v>WS-38</v>
      </c>
      <c r="AV425" s="392" t="str">
        <f t="shared" si="23"/>
        <v>WS-39</v>
      </c>
      <c r="AW425" s="392" t="str">
        <f t="shared" si="23"/>
        <v>WS-40</v>
      </c>
      <c r="AX425" s="392" t="str">
        <f t="shared" si="23"/>
        <v>WS-41</v>
      </c>
      <c r="AY425" s="392" t="str">
        <f t="shared" si="23"/>
        <v>WS-42</v>
      </c>
      <c r="AZ425" s="392" t="str">
        <f t="shared" si="23"/>
        <v>WS-43</v>
      </c>
      <c r="BA425" s="392" t="str">
        <f t="shared" si="23"/>
        <v>WS-44</v>
      </c>
    </row>
    <row r="426" spans="1:53">
      <c r="A426" s="3">
        <v>10</v>
      </c>
      <c r="B426" s="125" t="str">
        <f>IFERROR(INDEX('S21 Routing Clustered'!$A$3:$A$18, A426), "")</f>
        <v>I-006</v>
      </c>
      <c r="C426" s="3">
        <v>20</v>
      </c>
      <c r="D426" s="391" t="str">
        <f>IFERROR(HLOOKUP(C426, 'S21 Routing Clustered'!$B$2:$I$18, A426+1, 0), "")</f>
        <v>WS-40</v>
      </c>
      <c r="E426" s="391" t="str">
        <f t="shared" si="22"/>
        <v>WS-02</v>
      </c>
      <c r="F426" s="3">
        <f>IF(E426="", "", VLOOKUP(B426, 'S14 ABC Output'!$A$3:$C$18, 3, 0))</f>
        <v>25689</v>
      </c>
      <c r="I426" s="392" t="str">
        <f>I379</f>
        <v>WS-01</v>
      </c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</row>
    <row r="427" spans="1:53">
      <c r="A427" s="3">
        <v>10</v>
      </c>
      <c r="B427" s="125" t="str">
        <f>IFERROR(INDEX('S21 Routing Clustered'!$A$3:$A$18, A427), "")</f>
        <v>I-006</v>
      </c>
      <c r="C427" s="3">
        <v>30</v>
      </c>
      <c r="D427" s="391" t="str">
        <f>IFERROR(HLOOKUP(C427, 'S21 Routing Clustered'!$B$2:$I$18, A427+1, 0), "")</f>
        <v>WS-02</v>
      </c>
      <c r="E427" s="391" t="str">
        <f t="shared" si="22"/>
        <v>WS-18</v>
      </c>
      <c r="F427" s="3">
        <f>IF(E427="", "", VLOOKUP(B427, 'S14 ABC Output'!$A$3:$C$18, 3, 0))</f>
        <v>25689</v>
      </c>
      <c r="I427" s="392" t="str">
        <f t="shared" ref="I427:I469" si="24">I380</f>
        <v>WS-02</v>
      </c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>
        <v>25689</v>
      </c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</row>
    <row r="428" spans="1:53">
      <c r="A428" s="3">
        <v>10</v>
      </c>
      <c r="B428" s="125" t="str">
        <f>IFERROR(INDEX('S21 Routing Clustered'!$A$3:$A$18, A428), "")</f>
        <v>I-006</v>
      </c>
      <c r="C428" s="3">
        <v>40</v>
      </c>
      <c r="D428" s="391" t="str">
        <f>IFERROR(HLOOKUP(C428, 'S21 Routing Clustered'!$B$2:$I$18, A428+1, 0), "")</f>
        <v>WS-18</v>
      </c>
      <c r="E428" s="391" t="str">
        <f t="shared" si="22"/>
        <v>WS-24</v>
      </c>
      <c r="F428" s="3">
        <f>IF(E428="", "", VLOOKUP(B428, 'S14 ABC Output'!$A$3:$C$18, 3, 0))</f>
        <v>25689</v>
      </c>
      <c r="I428" s="392" t="str">
        <f t="shared" si="24"/>
        <v>WS-03</v>
      </c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</row>
    <row r="429" spans="1:53">
      <c r="A429" s="3">
        <v>10</v>
      </c>
      <c r="B429" s="125" t="str">
        <f>IFERROR(INDEX('S21 Routing Clustered'!$A$3:$A$18, A429), "")</f>
        <v>I-006</v>
      </c>
      <c r="C429" s="3">
        <v>50</v>
      </c>
      <c r="D429" s="391" t="str">
        <f>IFERROR(HLOOKUP(C429, 'S21 Routing Clustered'!$B$2:$I$18, A429+1, 0), "")</f>
        <v>WS-24</v>
      </c>
      <c r="E429" s="391" t="str">
        <f t="shared" si="22"/>
        <v>WS-29</v>
      </c>
      <c r="F429" s="3">
        <f>IF(E429="", "", VLOOKUP(B429, 'S14 ABC Output'!$A$3:$C$18, 3, 0))</f>
        <v>25689</v>
      </c>
      <c r="I429" s="392" t="str">
        <f t="shared" si="24"/>
        <v>WS-04</v>
      </c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</row>
    <row r="430" spans="1:53">
      <c r="A430" s="3">
        <v>10</v>
      </c>
      <c r="B430" s="125" t="str">
        <f>IFERROR(INDEX('S21 Routing Clustered'!$A$3:$A$18, A430), "")</f>
        <v>I-006</v>
      </c>
      <c r="C430" s="3">
        <v>60</v>
      </c>
      <c r="D430" s="391" t="str">
        <f>IFERROR(HLOOKUP(C430, 'S21 Routing Clustered'!$B$2:$I$18, A430+1, 0), "")</f>
        <v>WS-29</v>
      </c>
      <c r="E430" s="391" t="str">
        <f t="shared" si="22"/>
        <v>WS-33</v>
      </c>
      <c r="F430" s="3">
        <f>IF(E430="", "", VLOOKUP(B430, 'S14 ABC Output'!$A$3:$C$18, 3, 0))</f>
        <v>25689</v>
      </c>
      <c r="I430" s="392" t="str">
        <f t="shared" si="24"/>
        <v>WS-05</v>
      </c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</row>
    <row r="431" spans="1:53">
      <c r="A431" s="3">
        <v>10</v>
      </c>
      <c r="B431" s="125" t="str">
        <f>IFERROR(INDEX('S21 Routing Clustered'!$A$3:$A$18, A431), "")</f>
        <v>I-006</v>
      </c>
      <c r="C431" s="3">
        <v>70</v>
      </c>
      <c r="D431" s="391" t="str">
        <f>IFERROR(HLOOKUP(C431, 'S21 Routing Clustered'!$B$2:$I$18, A431+1, 0), "")</f>
        <v>WS-33</v>
      </c>
      <c r="E431" s="391" t="str">
        <f t="shared" si="22"/>
        <v>WS-44</v>
      </c>
      <c r="F431" s="3">
        <f>IF(E431="", "", VLOOKUP(B431, 'S14 ABC Output'!$A$3:$C$18, 3, 0))</f>
        <v>25689</v>
      </c>
      <c r="I431" s="392" t="str">
        <f t="shared" si="24"/>
        <v>WS-06</v>
      </c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</row>
    <row r="432" spans="1:53">
      <c r="A432" s="3">
        <v>10</v>
      </c>
      <c r="B432" s="125" t="str">
        <f>IFERROR(INDEX('S21 Routing Clustered'!$A$3:$A$18, A432), "")</f>
        <v>I-006</v>
      </c>
      <c r="C432" s="3">
        <v>80</v>
      </c>
      <c r="D432" s="391" t="str">
        <f>IFERROR(HLOOKUP(C432, 'S21 Routing Clustered'!$B$2:$I$18, A432+1, 0), "")</f>
        <v>WS-44</v>
      </c>
      <c r="E432" s="391" t="str">
        <f t="shared" si="22"/>
        <v/>
      </c>
      <c r="F432" s="3" t="str">
        <f>IF(E432="", "", VLOOKUP(B432, 'S14 ABC Output'!$A$3:$C$18, 3, 0))</f>
        <v/>
      </c>
      <c r="I432" s="392" t="str">
        <f t="shared" si="24"/>
        <v>WS-07</v>
      </c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</row>
    <row r="433" spans="1:53">
      <c r="A433" s="3">
        <v>10</v>
      </c>
      <c r="B433" s="125" t="str">
        <f>IFERROR(INDEX('S21 Routing Clustered'!$A$3:$A$18, A433), "")</f>
        <v>I-006</v>
      </c>
      <c r="C433" s="3">
        <v>90</v>
      </c>
      <c r="D433" s="391" t="str">
        <f>IFERROR(HLOOKUP(C433, 'S21 Routing Clustered'!$B$2:$I$18, A433+1, 0), "")</f>
        <v/>
      </c>
      <c r="E433" s="391" t="str">
        <f t="shared" si="22"/>
        <v/>
      </c>
      <c r="F433" s="3" t="str">
        <f>IF(E433="", "", VLOOKUP(B433, 'S14 ABC Output'!$A$3:$C$18, 3, 0))</f>
        <v/>
      </c>
      <c r="I433" s="392" t="str">
        <f t="shared" si="24"/>
        <v>WS-08</v>
      </c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</row>
    <row r="434" spans="1:53">
      <c r="A434" s="3">
        <v>10</v>
      </c>
      <c r="B434" s="125" t="str">
        <f>IFERROR(INDEX('S21 Routing Clustered'!$A$3:$A$18, A434), "")</f>
        <v>I-006</v>
      </c>
      <c r="C434" s="3">
        <v>100</v>
      </c>
      <c r="D434" s="391" t="str">
        <f>IFERROR(HLOOKUP(C434, 'S21 Routing Clustered'!$B$2:$I$18, A434+1, 0), "")</f>
        <v/>
      </c>
      <c r="E434" s="391" t="str">
        <f t="shared" si="22"/>
        <v/>
      </c>
      <c r="F434" s="3" t="str">
        <f>IF(E434="", "", VLOOKUP(B434, 'S14 ABC Output'!$A$3:$C$18, 3, 0))</f>
        <v/>
      </c>
      <c r="I434" s="392" t="str">
        <f t="shared" si="24"/>
        <v>WS-09</v>
      </c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</row>
    <row r="435" spans="1:53">
      <c r="A435" s="3">
        <v>10</v>
      </c>
      <c r="B435" s="125" t="str">
        <f>IFERROR(INDEX('S21 Routing Clustered'!$A$3:$A$18, A435), "")</f>
        <v>I-006</v>
      </c>
      <c r="C435" s="3">
        <v>110</v>
      </c>
      <c r="D435" s="391" t="str">
        <f>IFERROR(HLOOKUP(C435, 'S21 Routing Clustered'!$B$2:$I$18, A435+1, 0), "")</f>
        <v/>
      </c>
      <c r="E435" s="391" t="str">
        <f t="shared" si="22"/>
        <v/>
      </c>
      <c r="F435" s="3" t="str">
        <f>IF(E435="", "", VLOOKUP(B435, 'S14 ABC Output'!$A$3:$C$18, 3, 0))</f>
        <v/>
      </c>
      <c r="I435" s="392" t="str">
        <f t="shared" si="24"/>
        <v>WS-10</v>
      </c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</row>
    <row r="436" spans="1:53">
      <c r="A436" s="3">
        <v>10</v>
      </c>
      <c r="B436" s="125" t="str">
        <f>IFERROR(INDEX('S21 Routing Clustered'!$A$3:$A$18, A436), "")</f>
        <v>I-006</v>
      </c>
      <c r="C436" s="3">
        <v>120</v>
      </c>
      <c r="D436" s="391" t="str">
        <f>IFERROR(HLOOKUP(C436, 'S21 Routing Clustered'!$B$2:$I$18, A436+1, 0), "")</f>
        <v/>
      </c>
      <c r="E436" s="391" t="str">
        <f t="shared" si="22"/>
        <v/>
      </c>
      <c r="F436" s="3" t="str">
        <f>IF(E436="", "", VLOOKUP(B436, 'S14 ABC Output'!$A$3:$C$18, 3, 0))</f>
        <v/>
      </c>
      <c r="I436" s="392" t="str">
        <f t="shared" si="24"/>
        <v>WS-11</v>
      </c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</row>
    <row r="437" spans="1:53">
      <c r="A437" s="3">
        <v>10</v>
      </c>
      <c r="B437" s="125" t="str">
        <f>IFERROR(INDEX('S21 Routing Clustered'!$A$3:$A$18, A437), "")</f>
        <v>I-006</v>
      </c>
      <c r="C437" s="3">
        <v>130</v>
      </c>
      <c r="D437" s="391" t="str">
        <f>IFERROR(HLOOKUP(C437, 'S21 Routing Clustered'!$B$2:$I$18, A437+1, 0), "")</f>
        <v/>
      </c>
      <c r="E437" s="391" t="str">
        <f t="shared" si="22"/>
        <v/>
      </c>
      <c r="F437" s="3" t="str">
        <f>IF(E437="", "", VLOOKUP(B437, 'S14 ABC Output'!$A$3:$C$18, 3, 0))</f>
        <v/>
      </c>
      <c r="I437" s="392" t="str">
        <f t="shared" si="24"/>
        <v>WS-12</v>
      </c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</row>
    <row r="438" spans="1:53">
      <c r="A438" s="3">
        <v>10</v>
      </c>
      <c r="B438" s="125" t="str">
        <f>IFERROR(INDEX('S21 Routing Clustered'!$A$3:$A$18, A438), "")</f>
        <v>I-006</v>
      </c>
      <c r="C438" s="3">
        <v>140</v>
      </c>
      <c r="D438" s="391" t="str">
        <f>IFERROR(HLOOKUP(C438, 'S21 Routing Clustered'!$B$2:$I$18, A438+1, 0), "")</f>
        <v/>
      </c>
      <c r="E438" s="391" t="str">
        <f t="shared" si="22"/>
        <v/>
      </c>
      <c r="F438" s="3" t="str">
        <f>IF(E438="", "", VLOOKUP(B438, 'S14 ABC Output'!$A$3:$C$18, 3, 0))</f>
        <v/>
      </c>
      <c r="I438" s="392" t="str">
        <f t="shared" si="24"/>
        <v>WS-13</v>
      </c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</row>
    <row r="439" spans="1:53">
      <c r="A439" s="3">
        <v>10</v>
      </c>
      <c r="B439" s="125" t="str">
        <f>IFERROR(INDEX('S21 Routing Clustered'!$A$3:$A$18, A439), "")</f>
        <v>I-006</v>
      </c>
      <c r="C439" s="3">
        <v>150</v>
      </c>
      <c r="D439" s="391" t="str">
        <f>IFERROR(HLOOKUP(C439, 'S21 Routing Clustered'!$B$2:$I$18, A439+1, 0), "")</f>
        <v/>
      </c>
      <c r="E439" s="391" t="str">
        <f t="shared" si="22"/>
        <v/>
      </c>
      <c r="F439" s="3" t="str">
        <f>IF(E439="", "", VLOOKUP(B439, 'S14 ABC Output'!$A$3:$C$18, 3, 0))</f>
        <v/>
      </c>
      <c r="I439" s="392" t="str">
        <f t="shared" si="24"/>
        <v>WS-14</v>
      </c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</row>
    <row r="440" spans="1:53">
      <c r="A440" s="3">
        <v>10</v>
      </c>
      <c r="B440" s="125" t="str">
        <f>IFERROR(INDEX('S21 Routing Clustered'!$A$3:$A$18, A440), "")</f>
        <v>I-006</v>
      </c>
      <c r="C440" s="3">
        <v>160</v>
      </c>
      <c r="D440" s="391" t="str">
        <f>IFERROR(HLOOKUP(C440, 'S21 Routing Clustered'!$B$2:$I$18, A440+1, 0), "")</f>
        <v/>
      </c>
      <c r="E440" s="391" t="str">
        <f t="shared" si="22"/>
        <v/>
      </c>
      <c r="F440" s="3" t="str">
        <f>IF(E440="", "", VLOOKUP(B440, 'S14 ABC Output'!$A$3:$C$18, 3, 0))</f>
        <v/>
      </c>
      <c r="I440" s="392" t="str">
        <f t="shared" si="24"/>
        <v>WS-15</v>
      </c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</row>
    <row r="441" spans="1:53">
      <c r="A441" s="3">
        <v>10</v>
      </c>
      <c r="B441" s="125" t="str">
        <f>IFERROR(INDEX('S21 Routing Clustered'!$A$3:$A$18, A441), "")</f>
        <v>I-006</v>
      </c>
      <c r="C441" s="3">
        <v>170</v>
      </c>
      <c r="D441" s="391" t="str">
        <f>IFERROR(HLOOKUP(C441, 'S21 Routing Clustered'!$B$2:$I$18, A441+1, 0), "")</f>
        <v/>
      </c>
      <c r="E441" s="391" t="str">
        <f t="shared" si="22"/>
        <v/>
      </c>
      <c r="F441" s="3" t="str">
        <f>IF(E441="", "", VLOOKUP(B441, 'S14 ABC Output'!$A$3:$C$18, 3, 0))</f>
        <v/>
      </c>
      <c r="I441" s="392" t="str">
        <f t="shared" si="24"/>
        <v>WS-16</v>
      </c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</row>
    <row r="442" spans="1:53">
      <c r="A442" s="3">
        <v>10</v>
      </c>
      <c r="B442" s="125" t="str">
        <f>IFERROR(INDEX('S21 Routing Clustered'!$A$3:$A$18, A442), "")</f>
        <v>I-006</v>
      </c>
      <c r="C442" s="3">
        <v>180</v>
      </c>
      <c r="D442" s="391" t="str">
        <f>IFERROR(HLOOKUP(C442, 'S21 Routing Clustered'!$B$2:$I$18, A442+1, 0), "")</f>
        <v/>
      </c>
      <c r="E442" s="391" t="str">
        <f t="shared" si="22"/>
        <v/>
      </c>
      <c r="F442" s="3" t="str">
        <f>IF(E442="", "", VLOOKUP(B442, 'S14 ABC Output'!$A$3:$C$18, 3, 0))</f>
        <v/>
      </c>
      <c r="I442" s="392" t="str">
        <f t="shared" si="24"/>
        <v>WS-17</v>
      </c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</row>
    <row r="443" spans="1:53">
      <c r="A443" s="3">
        <v>10</v>
      </c>
      <c r="B443" s="125" t="str">
        <f>IFERROR(INDEX('S21 Routing Clustered'!$A$3:$A$18, A443), "")</f>
        <v>I-006</v>
      </c>
      <c r="C443" s="3">
        <v>190</v>
      </c>
      <c r="D443" s="391" t="str">
        <f>IFERROR(HLOOKUP(C443, 'S21 Routing Clustered'!$B$2:$I$18, A443+1, 0), "")</f>
        <v/>
      </c>
      <c r="E443" s="391" t="str">
        <f t="shared" si="22"/>
        <v/>
      </c>
      <c r="F443" s="3" t="str">
        <f>IF(E443="", "", VLOOKUP(B443, 'S14 ABC Output'!$A$3:$C$18, 3, 0))</f>
        <v/>
      </c>
      <c r="I443" s="392" t="str">
        <f t="shared" si="24"/>
        <v>WS-18</v>
      </c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>
        <v>25689</v>
      </c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</row>
    <row r="444" spans="1:53">
      <c r="A444" s="3">
        <v>10</v>
      </c>
      <c r="B444" s="125" t="str">
        <f>IFERROR(INDEX('S21 Routing Clustered'!$A$3:$A$18, A444), "")</f>
        <v>I-006</v>
      </c>
      <c r="C444" s="3">
        <v>200</v>
      </c>
      <c r="D444" s="391" t="str">
        <f>IFERROR(HLOOKUP(C444, 'S21 Routing Clustered'!$B$2:$I$18, A444+1, 0), "")</f>
        <v/>
      </c>
      <c r="E444" s="391" t="str">
        <f t="shared" si="22"/>
        <v/>
      </c>
      <c r="F444" s="3" t="str">
        <f>IF(E444="", "", VLOOKUP(B444, 'S14 ABC Output'!$A$3:$C$18, 3, 0))</f>
        <v/>
      </c>
      <c r="I444" s="392" t="str">
        <f t="shared" si="24"/>
        <v>WS-19</v>
      </c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</row>
    <row r="445" spans="1:53">
      <c r="A445" s="3">
        <v>10</v>
      </c>
      <c r="B445" s="125" t="str">
        <f>IFERROR(INDEX('S21 Routing Clustered'!$A$3:$A$18, A445), "")</f>
        <v>I-006</v>
      </c>
      <c r="C445" s="3">
        <v>210</v>
      </c>
      <c r="D445" s="391" t="str">
        <f>IFERROR(HLOOKUP(C445, 'S21 Routing Clustered'!$B$2:$I$18, A445+1, 0), "")</f>
        <v/>
      </c>
      <c r="E445" s="391" t="str">
        <f t="shared" si="22"/>
        <v/>
      </c>
      <c r="F445" s="3" t="str">
        <f>IF(E445="", "", VLOOKUP(B445, 'S14 ABC Output'!$A$3:$C$18, 3, 0))</f>
        <v/>
      </c>
      <c r="I445" s="392" t="str">
        <f t="shared" si="24"/>
        <v>WS-20</v>
      </c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</row>
    <row r="446" spans="1:53">
      <c r="A446" s="3">
        <v>10</v>
      </c>
      <c r="B446" s="125" t="str">
        <f>IFERROR(INDEX('S21 Routing Clustered'!$A$3:$A$18, A446), "")</f>
        <v>I-006</v>
      </c>
      <c r="C446" s="3">
        <v>220</v>
      </c>
      <c r="D446" s="391" t="str">
        <f>IFERROR(HLOOKUP(C446, 'S21 Routing Clustered'!$B$2:$I$18, A446+1, 0), "")</f>
        <v/>
      </c>
      <c r="E446" s="391" t="str">
        <f t="shared" si="22"/>
        <v/>
      </c>
      <c r="F446" s="3" t="str">
        <f>IF(E446="", "", VLOOKUP(B446, 'S14 ABC Output'!$A$3:$C$18, 3, 0))</f>
        <v/>
      </c>
      <c r="I446" s="392" t="str">
        <f t="shared" si="24"/>
        <v>WS-21</v>
      </c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</row>
    <row r="447" spans="1:53">
      <c r="A447" s="3">
        <v>10</v>
      </c>
      <c r="B447" s="125" t="str">
        <f>IFERROR(INDEX('S21 Routing Clustered'!$A$3:$A$18, A447), "")</f>
        <v>I-006</v>
      </c>
      <c r="C447" s="3">
        <v>230</v>
      </c>
      <c r="D447" s="391" t="str">
        <f>IFERROR(HLOOKUP(C447, 'S21 Routing Clustered'!$B$2:$I$18, A447+1, 0), "")</f>
        <v/>
      </c>
      <c r="E447" s="391" t="str">
        <f t="shared" si="22"/>
        <v/>
      </c>
      <c r="F447" s="3" t="str">
        <f>IF(E447="", "", VLOOKUP(B447, 'S14 ABC Output'!$A$3:$C$18, 3, 0))</f>
        <v/>
      </c>
      <c r="I447" s="392" t="str">
        <f t="shared" si="24"/>
        <v>WS-22</v>
      </c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</row>
    <row r="448" spans="1:53">
      <c r="A448" s="3">
        <v>10</v>
      </c>
      <c r="B448" s="125" t="str">
        <f>IFERROR(INDEX('S21 Routing Clustered'!$A$3:$A$18, A448), "")</f>
        <v>I-006</v>
      </c>
      <c r="C448" s="3">
        <v>240</v>
      </c>
      <c r="D448" s="391" t="str">
        <f>IFERROR(HLOOKUP(C448, 'S21 Routing Clustered'!$B$2:$I$18, A448+1, 0), "")</f>
        <v/>
      </c>
      <c r="E448" s="391" t="str">
        <f t="shared" si="22"/>
        <v/>
      </c>
      <c r="F448" s="3" t="str">
        <f>IF(E448="", "", VLOOKUP(B448, 'S14 ABC Output'!$A$3:$C$18, 3, 0))</f>
        <v/>
      </c>
      <c r="I448" s="392" t="str">
        <f t="shared" si="24"/>
        <v>WS-23</v>
      </c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</row>
    <row r="449" spans="1:53">
      <c r="A449" s="3">
        <v>10</v>
      </c>
      <c r="B449" s="125" t="str">
        <f>IFERROR(INDEX('S21 Routing Clustered'!$A$3:$A$18, A449), "")</f>
        <v>I-006</v>
      </c>
      <c r="C449" s="3">
        <v>250</v>
      </c>
      <c r="D449" s="391" t="str">
        <f>IFERROR(HLOOKUP(C449, 'S21 Routing Clustered'!$B$2:$I$18, A449+1, 0), "")</f>
        <v/>
      </c>
      <c r="E449" s="391" t="str">
        <f t="shared" si="22"/>
        <v/>
      </c>
      <c r="F449" s="3" t="str">
        <f>IF(E449="", "", VLOOKUP(B449, 'S14 ABC Output'!$A$3:$C$18, 3, 0))</f>
        <v/>
      </c>
      <c r="I449" s="392" t="str">
        <f t="shared" si="24"/>
        <v>WS-24</v>
      </c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>
        <v>25689</v>
      </c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</row>
    <row r="450" spans="1:53">
      <c r="A450" s="3">
        <v>10</v>
      </c>
      <c r="B450" s="125" t="str">
        <f>IFERROR(INDEX('S21 Routing Clustered'!$A$3:$A$18, A450), "")</f>
        <v>I-006</v>
      </c>
      <c r="C450" s="3">
        <v>260</v>
      </c>
      <c r="D450" s="391" t="str">
        <f>IFERROR(HLOOKUP(C450, 'S21 Routing Clustered'!$B$2:$I$18, A450+1, 0), "")</f>
        <v/>
      </c>
      <c r="E450" s="391" t="str">
        <f t="shared" si="22"/>
        <v/>
      </c>
      <c r="F450" s="3" t="str">
        <f>IF(E450="", "", VLOOKUP(B450, 'S14 ABC Output'!$A$3:$C$18, 3, 0))</f>
        <v/>
      </c>
      <c r="I450" s="392" t="str">
        <f t="shared" si="24"/>
        <v>WS-25</v>
      </c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</row>
    <row r="451" spans="1:53">
      <c r="A451" s="3">
        <v>10</v>
      </c>
      <c r="B451" s="125" t="str">
        <f>IFERROR(INDEX('S21 Routing Clustered'!$A$3:$A$18, A451), "")</f>
        <v>I-006</v>
      </c>
      <c r="C451" s="3">
        <v>270</v>
      </c>
      <c r="D451" s="391" t="str">
        <f>IFERROR(HLOOKUP(C451, 'S21 Routing Clustered'!$B$2:$I$18, A451+1, 0), "")</f>
        <v/>
      </c>
      <c r="E451" s="391" t="str">
        <f t="shared" ref="E451:E514" si="25">IF(D451="", "", D452)</f>
        <v/>
      </c>
      <c r="F451" s="3" t="str">
        <f>IF(E451="", "", VLOOKUP(B451, 'S14 ABC Output'!$A$3:$C$18, 3, 0))</f>
        <v/>
      </c>
      <c r="I451" s="392" t="str">
        <f t="shared" si="24"/>
        <v>WS-26</v>
      </c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</row>
    <row r="452" spans="1:53">
      <c r="A452" s="3">
        <v>10</v>
      </c>
      <c r="B452" s="125" t="str">
        <f>IFERROR(INDEX('S21 Routing Clustered'!$A$3:$A$18, A452), "")</f>
        <v>I-006</v>
      </c>
      <c r="C452" s="3">
        <v>280</v>
      </c>
      <c r="D452" s="391" t="str">
        <f>IFERROR(HLOOKUP(C452, 'S21 Routing Clustered'!$B$2:$I$18, A452+1, 0), "")</f>
        <v/>
      </c>
      <c r="E452" s="391" t="str">
        <f t="shared" si="25"/>
        <v/>
      </c>
      <c r="F452" s="3" t="str">
        <f>IF(E452="", "", VLOOKUP(B452, 'S14 ABC Output'!$A$3:$C$18, 3, 0))</f>
        <v/>
      </c>
      <c r="I452" s="392" t="str">
        <f t="shared" si="24"/>
        <v>WS-27</v>
      </c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</row>
    <row r="453" spans="1:53">
      <c r="A453" s="3">
        <v>10</v>
      </c>
      <c r="B453" s="125" t="str">
        <f>IFERROR(INDEX('S21 Routing Clustered'!$A$3:$A$18, A453), "")</f>
        <v>I-006</v>
      </c>
      <c r="C453" s="3">
        <v>290</v>
      </c>
      <c r="D453" s="391" t="str">
        <f>IFERROR(HLOOKUP(C453, 'S21 Routing Clustered'!$B$2:$I$18, A453+1, 0), "")</f>
        <v/>
      </c>
      <c r="E453" s="391" t="str">
        <f t="shared" si="25"/>
        <v/>
      </c>
      <c r="F453" s="3" t="str">
        <f>IF(E453="", "", VLOOKUP(B453, 'S14 ABC Output'!$A$3:$C$18, 3, 0))</f>
        <v/>
      </c>
      <c r="I453" s="392" t="str">
        <f t="shared" si="24"/>
        <v>WS-28</v>
      </c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</row>
    <row r="454" spans="1:53">
      <c r="A454" s="3">
        <v>10</v>
      </c>
      <c r="B454" s="125" t="str">
        <f>IFERROR(INDEX('S21 Routing Clustered'!$A$3:$A$18, A454), "")</f>
        <v>I-006</v>
      </c>
      <c r="C454" s="3">
        <v>300</v>
      </c>
      <c r="D454" s="391" t="str">
        <f>IFERROR(HLOOKUP(C454, 'S21 Routing Clustered'!$B$2:$I$18, A454+1, 0), "")</f>
        <v/>
      </c>
      <c r="E454" s="391" t="str">
        <f t="shared" si="25"/>
        <v/>
      </c>
      <c r="F454" s="3" t="str">
        <f>IF(E454="", "", VLOOKUP(B454, 'S14 ABC Output'!$A$3:$C$18, 3, 0))</f>
        <v/>
      </c>
      <c r="I454" s="392" t="str">
        <f t="shared" si="24"/>
        <v>WS-29</v>
      </c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>
        <v>25689</v>
      </c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</row>
    <row r="455" spans="1:53">
      <c r="A455" s="3">
        <v>10</v>
      </c>
      <c r="B455" s="125" t="str">
        <f>IFERROR(INDEX('S21 Routing Clustered'!$A$3:$A$18, A455), "")</f>
        <v>I-006</v>
      </c>
      <c r="C455" s="3">
        <v>310</v>
      </c>
      <c r="D455" s="391" t="str">
        <f>IFERROR(HLOOKUP(C455, 'S21 Routing Clustered'!$B$2:$I$18, A455+1, 0), "")</f>
        <v/>
      </c>
      <c r="E455" s="391" t="str">
        <f t="shared" si="25"/>
        <v/>
      </c>
      <c r="F455" s="3" t="str">
        <f>IF(E455="", "", VLOOKUP(B455, 'S14 ABC Output'!$A$3:$C$18, 3, 0))</f>
        <v/>
      </c>
      <c r="I455" s="392" t="str">
        <f t="shared" si="24"/>
        <v>WS-30</v>
      </c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</row>
    <row r="456" spans="1:53">
      <c r="A456" s="3">
        <v>10</v>
      </c>
      <c r="B456" s="125" t="str">
        <f>IFERROR(INDEX('S21 Routing Clustered'!$A$3:$A$18, A456), "")</f>
        <v>I-006</v>
      </c>
      <c r="C456" s="3">
        <v>320</v>
      </c>
      <c r="D456" s="391" t="str">
        <f>IFERROR(HLOOKUP(C456, 'S21 Routing Clustered'!$B$2:$I$18, A456+1, 0), "")</f>
        <v/>
      </c>
      <c r="E456" s="391" t="str">
        <f t="shared" si="25"/>
        <v/>
      </c>
      <c r="F456" s="3" t="str">
        <f>IF(E456="", "", VLOOKUP(B456, 'S14 ABC Output'!$A$3:$C$18, 3, 0))</f>
        <v/>
      </c>
      <c r="I456" s="392" t="str">
        <f t="shared" si="24"/>
        <v>WS-31</v>
      </c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</row>
    <row r="457" spans="1:53">
      <c r="A457" s="3">
        <v>10</v>
      </c>
      <c r="B457" s="125" t="str">
        <f>IFERROR(INDEX('S21 Routing Clustered'!$A$3:$A$18, A457), "")</f>
        <v>I-006</v>
      </c>
      <c r="C457" s="3">
        <v>330</v>
      </c>
      <c r="D457" s="391" t="str">
        <f>IFERROR(HLOOKUP(C457, 'S21 Routing Clustered'!$B$2:$I$18, A457+1, 0), "")</f>
        <v/>
      </c>
      <c r="E457" s="391" t="str">
        <f t="shared" si="25"/>
        <v/>
      </c>
      <c r="F457" s="3" t="str">
        <f>IF(E457="", "", VLOOKUP(B457, 'S14 ABC Output'!$A$3:$C$18, 3, 0))</f>
        <v/>
      </c>
      <c r="I457" s="392" t="str">
        <f t="shared" si="24"/>
        <v>WS-32</v>
      </c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</row>
    <row r="458" spans="1:53">
      <c r="A458" s="3">
        <v>10</v>
      </c>
      <c r="B458" s="125" t="str">
        <f>IFERROR(INDEX('S21 Routing Clustered'!$A$3:$A$18, A458), "")</f>
        <v>I-006</v>
      </c>
      <c r="C458" s="3">
        <v>340</v>
      </c>
      <c r="D458" s="391" t="str">
        <f>IFERROR(HLOOKUP(C458, 'S21 Routing Clustered'!$B$2:$I$18, A458+1, 0), "")</f>
        <v/>
      </c>
      <c r="E458" s="391" t="str">
        <f t="shared" si="25"/>
        <v/>
      </c>
      <c r="F458" s="3" t="str">
        <f>IF(E458="", "", VLOOKUP(B458, 'S14 ABC Output'!$A$3:$C$18, 3, 0))</f>
        <v/>
      </c>
      <c r="I458" s="392" t="str">
        <f t="shared" si="24"/>
        <v>WS-33</v>
      </c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>
        <v>25689</v>
      </c>
    </row>
    <row r="459" spans="1:53">
      <c r="A459" s="3">
        <v>10</v>
      </c>
      <c r="B459" s="125" t="str">
        <f>IFERROR(INDEX('S21 Routing Clustered'!$A$3:$A$18, A459), "")</f>
        <v>I-006</v>
      </c>
      <c r="C459" s="3">
        <v>350</v>
      </c>
      <c r="D459" s="391" t="str">
        <f>IFERROR(HLOOKUP(C459, 'S21 Routing Clustered'!$B$2:$I$18, A459+1, 0), "")</f>
        <v/>
      </c>
      <c r="E459" s="391" t="str">
        <f t="shared" si="25"/>
        <v/>
      </c>
      <c r="F459" s="3" t="str">
        <f>IF(E459="", "", VLOOKUP(B459, 'S14 ABC Output'!$A$3:$C$18, 3, 0))</f>
        <v/>
      </c>
      <c r="I459" s="392" t="str">
        <f t="shared" si="24"/>
        <v>WS-34</v>
      </c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</row>
    <row r="460" spans="1:53">
      <c r="A460" s="3">
        <v>10</v>
      </c>
      <c r="B460" s="125" t="str">
        <f>IFERROR(INDEX('S21 Routing Clustered'!$A$3:$A$18, A460), "")</f>
        <v>I-006</v>
      </c>
      <c r="C460" s="3">
        <v>360</v>
      </c>
      <c r="D460" s="391" t="str">
        <f>IFERROR(HLOOKUP(C460, 'S21 Routing Clustered'!$B$2:$I$18, A460+1, 0), "")</f>
        <v/>
      </c>
      <c r="E460" s="391" t="str">
        <f t="shared" si="25"/>
        <v/>
      </c>
      <c r="F460" s="3" t="str">
        <f>IF(E460="", "", VLOOKUP(B460, 'S14 ABC Output'!$A$3:$C$18, 3, 0))</f>
        <v/>
      </c>
      <c r="I460" s="392" t="str">
        <f t="shared" si="24"/>
        <v>WS-35</v>
      </c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</row>
    <row r="461" spans="1:53">
      <c r="A461" s="3">
        <v>10</v>
      </c>
      <c r="B461" s="125" t="str">
        <f>IFERROR(INDEX('S21 Routing Clustered'!$A$3:$A$18, A461), "")</f>
        <v>I-006</v>
      </c>
      <c r="C461" s="3">
        <v>370</v>
      </c>
      <c r="D461" s="391" t="str">
        <f>IFERROR(HLOOKUP(C461, 'S21 Routing Clustered'!$B$2:$I$18, A461+1, 0), "")</f>
        <v/>
      </c>
      <c r="E461" s="391" t="str">
        <f t="shared" si="25"/>
        <v/>
      </c>
      <c r="F461" s="3" t="str">
        <f>IF(E461="", "", VLOOKUP(B461, 'S14 ABC Output'!$A$3:$C$18, 3, 0))</f>
        <v/>
      </c>
      <c r="I461" s="392" t="str">
        <f t="shared" si="24"/>
        <v>WS-36</v>
      </c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</row>
    <row r="462" spans="1:53">
      <c r="A462" s="3">
        <v>10</v>
      </c>
      <c r="B462" s="125" t="str">
        <f>IFERROR(INDEX('S21 Routing Clustered'!$A$3:$A$18, A462), "")</f>
        <v>I-006</v>
      </c>
      <c r="C462" s="3">
        <v>380</v>
      </c>
      <c r="D462" s="391" t="str">
        <f>IFERROR(HLOOKUP(C462, 'S21 Routing Clustered'!$B$2:$I$18, A462+1, 0), "")</f>
        <v/>
      </c>
      <c r="E462" s="391" t="str">
        <f t="shared" si="25"/>
        <v/>
      </c>
      <c r="F462" s="3" t="str">
        <f>IF(E462="", "", VLOOKUP(B462, 'S14 ABC Output'!$A$3:$C$18, 3, 0))</f>
        <v/>
      </c>
      <c r="I462" s="392" t="str">
        <f t="shared" si="24"/>
        <v>WS-37</v>
      </c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</row>
    <row r="463" spans="1:53">
      <c r="A463" s="3">
        <v>10</v>
      </c>
      <c r="B463" s="125" t="str">
        <f>IFERROR(INDEX('S21 Routing Clustered'!$A$3:$A$18, A463), "")</f>
        <v>I-006</v>
      </c>
      <c r="C463" s="3">
        <v>390</v>
      </c>
      <c r="D463" s="391" t="str">
        <f>IFERROR(HLOOKUP(C463, 'S21 Routing Clustered'!$B$2:$I$18, A463+1, 0), "")</f>
        <v/>
      </c>
      <c r="E463" s="391" t="str">
        <f t="shared" si="25"/>
        <v/>
      </c>
      <c r="F463" s="3" t="str">
        <f>IF(E463="", "", VLOOKUP(B463, 'S14 ABC Output'!$A$3:$C$18, 3, 0))</f>
        <v/>
      </c>
      <c r="I463" s="392" t="str">
        <f t="shared" si="24"/>
        <v>WS-38</v>
      </c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</row>
    <row r="464" spans="1:53">
      <c r="A464" s="3">
        <v>10</v>
      </c>
      <c r="B464" s="125" t="str">
        <f>IFERROR(INDEX('S21 Routing Clustered'!$A$3:$A$18, A464), "")</f>
        <v>I-006</v>
      </c>
      <c r="C464" s="3">
        <v>400</v>
      </c>
      <c r="D464" s="391" t="str">
        <f>IFERROR(HLOOKUP(C464, 'S21 Routing Clustered'!$B$2:$I$18, A464+1, 0), "")</f>
        <v/>
      </c>
      <c r="E464" s="391" t="str">
        <f t="shared" si="25"/>
        <v/>
      </c>
      <c r="F464" s="3" t="str">
        <f>IF(E464="", "", VLOOKUP(B464, 'S14 ABC Output'!$A$3:$C$18, 3, 0))</f>
        <v/>
      </c>
      <c r="I464" s="392" t="str">
        <f t="shared" si="24"/>
        <v>WS-39</v>
      </c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</row>
    <row r="465" spans="1:53">
      <c r="A465" s="3">
        <v>10</v>
      </c>
      <c r="B465" s="125" t="str">
        <f>IFERROR(INDEX('S21 Routing Clustered'!$A$3:$A$18, A465), "")</f>
        <v>I-006</v>
      </c>
      <c r="C465" s="3">
        <v>410</v>
      </c>
      <c r="D465" s="391" t="str">
        <f>IFERROR(HLOOKUP(C465, 'S21 Routing Clustered'!$B$2:$I$18, A465+1, 0), "")</f>
        <v/>
      </c>
      <c r="E465" s="391" t="str">
        <f t="shared" si="25"/>
        <v/>
      </c>
      <c r="F465" s="3" t="str">
        <f>IF(E465="", "", VLOOKUP(B465, 'S14 ABC Output'!$A$3:$C$18, 3, 0))</f>
        <v/>
      </c>
      <c r="I465" s="392" t="str">
        <f t="shared" si="24"/>
        <v>WS-40</v>
      </c>
      <c r="J465" s="3"/>
      <c r="K465" s="3">
        <v>25689</v>
      </c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</row>
    <row r="466" spans="1:53">
      <c r="A466" s="3">
        <v>10</v>
      </c>
      <c r="B466" s="125" t="str">
        <f>IFERROR(INDEX('S21 Routing Clustered'!$A$3:$A$18, A466), "")</f>
        <v>I-006</v>
      </c>
      <c r="C466" s="3">
        <v>420</v>
      </c>
      <c r="D466" s="391" t="str">
        <f>IFERROR(HLOOKUP(C466, 'S21 Routing Clustered'!$B$2:$I$18, A466+1, 0), "")</f>
        <v/>
      </c>
      <c r="E466" s="391" t="str">
        <f t="shared" si="25"/>
        <v/>
      </c>
      <c r="F466" s="3" t="str">
        <f>IF(E466="", "", VLOOKUP(B466, 'S14 ABC Output'!$A$3:$C$18, 3, 0))</f>
        <v/>
      </c>
      <c r="I466" s="392" t="str">
        <f t="shared" si="24"/>
        <v>WS-41</v>
      </c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</row>
    <row r="467" spans="1:53">
      <c r="A467" s="3">
        <v>10</v>
      </c>
      <c r="B467" s="125" t="str">
        <f>IFERROR(INDEX('S21 Routing Clustered'!$A$3:$A$18, A467), "")</f>
        <v>I-006</v>
      </c>
      <c r="C467" s="3">
        <v>430</v>
      </c>
      <c r="D467" s="391" t="str">
        <f>IFERROR(HLOOKUP(C467, 'S21 Routing Clustered'!$B$2:$I$18, A467+1, 0), "")</f>
        <v/>
      </c>
      <c r="E467" s="391" t="str">
        <f t="shared" si="25"/>
        <v/>
      </c>
      <c r="F467" s="3" t="str">
        <f>IF(E467="", "", VLOOKUP(B467, 'S14 ABC Output'!$A$3:$C$18, 3, 0))</f>
        <v/>
      </c>
      <c r="I467" s="392" t="str">
        <f t="shared" si="24"/>
        <v>WS-42</v>
      </c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</row>
    <row r="468" spans="1:53">
      <c r="A468" s="3">
        <v>10</v>
      </c>
      <c r="B468" s="125" t="str">
        <f>IFERROR(INDEX('S21 Routing Clustered'!$A$3:$A$18, A468), "")</f>
        <v>I-006</v>
      </c>
      <c r="C468" s="3">
        <v>440</v>
      </c>
      <c r="D468" s="391" t="str">
        <f>IFERROR(HLOOKUP(C468, 'S21 Routing Clustered'!$B$2:$I$18, A468+1, 0), "")</f>
        <v/>
      </c>
      <c r="E468" s="391" t="str">
        <f t="shared" si="25"/>
        <v/>
      </c>
      <c r="F468" s="3" t="str">
        <f>IF(E468="", "", VLOOKUP(B468, 'S14 ABC Output'!$A$3:$C$18, 3, 0))</f>
        <v/>
      </c>
      <c r="I468" s="392" t="str">
        <f t="shared" si="24"/>
        <v>WS-43</v>
      </c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>
        <v>25689</v>
      </c>
      <c r="AX468" s="3"/>
      <c r="AY468" s="3"/>
      <c r="AZ468" s="3"/>
      <c r="BA468" s="3"/>
    </row>
    <row r="469" spans="1:53">
      <c r="A469" s="3">
        <v>10</v>
      </c>
      <c r="B469" s="125" t="str">
        <f>IFERROR(INDEX('S21 Routing Clustered'!$A$3:$A$18, A469), "")</f>
        <v>I-006</v>
      </c>
      <c r="C469" s="3">
        <v>450</v>
      </c>
      <c r="D469" s="391" t="str">
        <f>IFERROR(HLOOKUP(C469, 'S21 Routing Clustered'!$B$2:$I$18, A469+1, 0), "")</f>
        <v/>
      </c>
      <c r="E469" s="391" t="str">
        <f t="shared" si="25"/>
        <v/>
      </c>
      <c r="F469" s="3" t="str">
        <f>IF(E469="", "", VLOOKUP(B469, 'S14 ABC Output'!$A$3:$C$18, 3, 0))</f>
        <v/>
      </c>
      <c r="I469" s="392" t="str">
        <f t="shared" si="24"/>
        <v>WS-44</v>
      </c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</row>
    <row r="470" spans="1:53">
      <c r="B470" s="125" t="str">
        <f>IFERROR(INDEX('S21 Routing Clustered'!$A$3:$A$18, A470), "")</f>
        <v/>
      </c>
      <c r="D470" s="391" t="str">
        <f>IFERROR(HLOOKUP(C470, 'S21 Routing Clustered'!$B$2:$I$18, A470+1, 0), "")</f>
        <v/>
      </c>
      <c r="E470" s="391" t="str">
        <f t="shared" si="25"/>
        <v/>
      </c>
      <c r="F470" s="3" t="str">
        <f>IF(E470="", "", VLOOKUP(B470, 'S14 ABC Output'!$A$3:$C$18, 3, 0))</f>
        <v/>
      </c>
      <c r="I470" s="392"/>
    </row>
    <row r="471" spans="1:53">
      <c r="B471" s="125" t="str">
        <f>IFERROR(INDEX('S21 Routing Clustered'!$A$3:$A$18, A471), "")</f>
        <v/>
      </c>
      <c r="D471" s="391" t="str">
        <f>IFERROR(HLOOKUP(C471, 'S21 Routing Clustered'!$B$2:$I$18, A471+1, 0), "")</f>
        <v/>
      </c>
      <c r="E471" s="391" t="str">
        <f t="shared" si="25"/>
        <v/>
      </c>
      <c r="F471" s="3" t="str">
        <f>IF(E471="", "", VLOOKUP(B471, 'S14 ABC Output'!$A$3:$C$18, 3, 0))</f>
        <v/>
      </c>
      <c r="I471" s="392"/>
    </row>
    <row r="472" spans="1:53">
      <c r="A472" s="3">
        <v>11</v>
      </c>
      <c r="B472" s="125" t="str">
        <f>IFERROR(INDEX('S21 Routing Clustered'!$A$3:$A$18, A472), "")</f>
        <v>I-007</v>
      </c>
      <c r="C472" s="3">
        <v>10</v>
      </c>
      <c r="D472" s="391" t="str">
        <f>IFERROR(HLOOKUP(C472, 'S21 Routing Clustered'!$B$2:$I$18, A472+1, 0), "")</f>
        <v>WS-43</v>
      </c>
      <c r="E472" s="391" t="str">
        <f t="shared" si="25"/>
        <v>WS-40</v>
      </c>
      <c r="F472" s="3">
        <f>IF(E472="", "", VLOOKUP(B472, 'S14 ABC Output'!$A$3:$C$18, 3, 0))</f>
        <v>25639</v>
      </c>
      <c r="I472" s="392"/>
      <c r="J472" s="392" t="str">
        <f>J425</f>
        <v>WS-01</v>
      </c>
      <c r="K472" s="392" t="str">
        <f t="shared" ref="K472:BA472" si="26">K425</f>
        <v>WS-02</v>
      </c>
      <c r="L472" s="392" t="str">
        <f t="shared" si="26"/>
        <v>WS-03</v>
      </c>
      <c r="M472" s="392" t="str">
        <f t="shared" si="26"/>
        <v>WS-04</v>
      </c>
      <c r="N472" s="392" t="str">
        <f t="shared" si="26"/>
        <v>WS-05</v>
      </c>
      <c r="O472" s="392" t="str">
        <f t="shared" si="26"/>
        <v>WS-06</v>
      </c>
      <c r="P472" s="392" t="str">
        <f t="shared" si="26"/>
        <v>WS-07</v>
      </c>
      <c r="Q472" s="392" t="str">
        <f t="shared" si="26"/>
        <v>WS-08</v>
      </c>
      <c r="R472" s="392" t="str">
        <f t="shared" si="26"/>
        <v>WS-09</v>
      </c>
      <c r="S472" s="392" t="str">
        <f t="shared" si="26"/>
        <v>WS-10</v>
      </c>
      <c r="T472" s="392" t="str">
        <f t="shared" si="26"/>
        <v>WS-11</v>
      </c>
      <c r="U472" s="392" t="str">
        <f t="shared" si="26"/>
        <v>WS-12</v>
      </c>
      <c r="V472" s="392" t="str">
        <f t="shared" si="26"/>
        <v>WS-13</v>
      </c>
      <c r="W472" s="392" t="str">
        <f t="shared" si="26"/>
        <v>WS-14</v>
      </c>
      <c r="X472" s="392" t="str">
        <f t="shared" si="26"/>
        <v>WS-15</v>
      </c>
      <c r="Y472" s="392" t="str">
        <f t="shared" si="26"/>
        <v>WS-16</v>
      </c>
      <c r="Z472" s="392" t="str">
        <f t="shared" si="26"/>
        <v>WS-17</v>
      </c>
      <c r="AA472" s="392" t="str">
        <f t="shared" si="26"/>
        <v>WS-18</v>
      </c>
      <c r="AB472" s="392" t="str">
        <f t="shared" si="26"/>
        <v>WS-19</v>
      </c>
      <c r="AC472" s="392" t="str">
        <f t="shared" si="26"/>
        <v>WS-20</v>
      </c>
      <c r="AD472" s="392" t="str">
        <f t="shared" si="26"/>
        <v>WS-21</v>
      </c>
      <c r="AE472" s="392" t="str">
        <f t="shared" si="26"/>
        <v>WS-22</v>
      </c>
      <c r="AF472" s="392" t="str">
        <f t="shared" si="26"/>
        <v>WS-23</v>
      </c>
      <c r="AG472" s="392" t="str">
        <f t="shared" si="26"/>
        <v>WS-24</v>
      </c>
      <c r="AH472" s="392" t="str">
        <f t="shared" si="26"/>
        <v>WS-25</v>
      </c>
      <c r="AI472" s="392" t="str">
        <f t="shared" si="26"/>
        <v>WS-26</v>
      </c>
      <c r="AJ472" s="392" t="str">
        <f t="shared" si="26"/>
        <v>WS-27</v>
      </c>
      <c r="AK472" s="392" t="str">
        <f t="shared" si="26"/>
        <v>WS-28</v>
      </c>
      <c r="AL472" s="392" t="str">
        <f t="shared" si="26"/>
        <v>WS-29</v>
      </c>
      <c r="AM472" s="392" t="str">
        <f t="shared" si="26"/>
        <v>WS-30</v>
      </c>
      <c r="AN472" s="392" t="str">
        <f t="shared" si="26"/>
        <v>WS-31</v>
      </c>
      <c r="AO472" s="392" t="str">
        <f t="shared" si="26"/>
        <v>WS-32</v>
      </c>
      <c r="AP472" s="392" t="str">
        <f t="shared" si="26"/>
        <v>WS-33</v>
      </c>
      <c r="AQ472" s="392" t="str">
        <f t="shared" si="26"/>
        <v>WS-34</v>
      </c>
      <c r="AR472" s="392" t="str">
        <f t="shared" si="26"/>
        <v>WS-35</v>
      </c>
      <c r="AS472" s="392" t="str">
        <f t="shared" si="26"/>
        <v>WS-36</v>
      </c>
      <c r="AT472" s="392" t="str">
        <f t="shared" si="26"/>
        <v>WS-37</v>
      </c>
      <c r="AU472" s="392" t="str">
        <f t="shared" si="26"/>
        <v>WS-38</v>
      </c>
      <c r="AV472" s="392" t="str">
        <f t="shared" si="26"/>
        <v>WS-39</v>
      </c>
      <c r="AW472" s="392" t="str">
        <f t="shared" si="26"/>
        <v>WS-40</v>
      </c>
      <c r="AX472" s="392" t="str">
        <f t="shared" si="26"/>
        <v>WS-41</v>
      </c>
      <c r="AY472" s="392" t="str">
        <f t="shared" si="26"/>
        <v>WS-42</v>
      </c>
      <c r="AZ472" s="392" t="str">
        <f t="shared" si="26"/>
        <v>WS-43</v>
      </c>
      <c r="BA472" s="392" t="str">
        <f t="shared" si="26"/>
        <v>WS-44</v>
      </c>
    </row>
    <row r="473" spans="1:53">
      <c r="A473" s="3">
        <v>11</v>
      </c>
      <c r="B473" s="125" t="str">
        <f>IFERROR(INDEX('S21 Routing Clustered'!$A$3:$A$18, A473), "")</f>
        <v>I-007</v>
      </c>
      <c r="C473" s="3">
        <v>20</v>
      </c>
      <c r="D473" s="391" t="str">
        <f>IFERROR(HLOOKUP(C473, 'S21 Routing Clustered'!$B$2:$I$18, A473+1, 0), "")</f>
        <v>WS-40</v>
      </c>
      <c r="E473" s="391" t="str">
        <f t="shared" si="25"/>
        <v>WS-02</v>
      </c>
      <c r="F473" s="3">
        <f>IF(E473="", "", VLOOKUP(B473, 'S14 ABC Output'!$A$3:$C$18, 3, 0))</f>
        <v>25639</v>
      </c>
      <c r="I473" s="392" t="str">
        <f>I426</f>
        <v>WS-01</v>
      </c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</row>
    <row r="474" spans="1:53">
      <c r="A474" s="3">
        <v>11</v>
      </c>
      <c r="B474" s="125" t="str">
        <f>IFERROR(INDEX('S21 Routing Clustered'!$A$3:$A$18, A474), "")</f>
        <v>I-007</v>
      </c>
      <c r="C474" s="3">
        <v>30</v>
      </c>
      <c r="D474" s="391" t="str">
        <f>IFERROR(HLOOKUP(C474, 'S21 Routing Clustered'!$B$2:$I$18, A474+1, 0), "")</f>
        <v>WS-02</v>
      </c>
      <c r="E474" s="391" t="str">
        <f t="shared" si="25"/>
        <v>WS-18</v>
      </c>
      <c r="F474" s="3">
        <f>IF(E474="", "", VLOOKUP(B474, 'S14 ABC Output'!$A$3:$C$18, 3, 0))</f>
        <v>25639</v>
      </c>
      <c r="I474" s="392" t="str">
        <f t="shared" ref="I474:I516" si="27">I427</f>
        <v>WS-02</v>
      </c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>
        <v>25639</v>
      </c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</row>
    <row r="475" spans="1:53">
      <c r="A475" s="3">
        <v>11</v>
      </c>
      <c r="B475" s="125" t="str">
        <f>IFERROR(INDEX('S21 Routing Clustered'!$A$3:$A$18, A475), "")</f>
        <v>I-007</v>
      </c>
      <c r="C475" s="3">
        <v>40</v>
      </c>
      <c r="D475" s="391" t="str">
        <f>IFERROR(HLOOKUP(C475, 'S21 Routing Clustered'!$B$2:$I$18, A475+1, 0), "")</f>
        <v>WS-18</v>
      </c>
      <c r="E475" s="391" t="str">
        <f t="shared" si="25"/>
        <v>WS-24</v>
      </c>
      <c r="F475" s="3">
        <f>IF(E475="", "", VLOOKUP(B475, 'S14 ABC Output'!$A$3:$C$18, 3, 0))</f>
        <v>25639</v>
      </c>
      <c r="I475" s="392" t="str">
        <f t="shared" si="27"/>
        <v>WS-03</v>
      </c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</row>
    <row r="476" spans="1:53">
      <c r="A476" s="3">
        <v>11</v>
      </c>
      <c r="B476" s="125" t="str">
        <f>IFERROR(INDEX('S21 Routing Clustered'!$A$3:$A$18, A476), "")</f>
        <v>I-007</v>
      </c>
      <c r="C476" s="3">
        <v>50</v>
      </c>
      <c r="D476" s="391" t="str">
        <f>IFERROR(HLOOKUP(C476, 'S21 Routing Clustered'!$B$2:$I$18, A476+1, 0), "")</f>
        <v>WS-24</v>
      </c>
      <c r="E476" s="391" t="str">
        <f t="shared" si="25"/>
        <v>WS-29</v>
      </c>
      <c r="F476" s="3">
        <f>IF(E476="", "", VLOOKUP(B476, 'S14 ABC Output'!$A$3:$C$18, 3, 0))</f>
        <v>25639</v>
      </c>
      <c r="I476" s="392" t="str">
        <f t="shared" si="27"/>
        <v>WS-04</v>
      </c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</row>
    <row r="477" spans="1:53">
      <c r="A477" s="3">
        <v>11</v>
      </c>
      <c r="B477" s="125" t="str">
        <f>IFERROR(INDEX('S21 Routing Clustered'!$A$3:$A$18, A477), "")</f>
        <v>I-007</v>
      </c>
      <c r="C477" s="3">
        <v>60</v>
      </c>
      <c r="D477" s="391" t="str">
        <f>IFERROR(HLOOKUP(C477, 'S21 Routing Clustered'!$B$2:$I$18, A477+1, 0), "")</f>
        <v>WS-29</v>
      </c>
      <c r="E477" s="391" t="str">
        <f t="shared" si="25"/>
        <v>WS-33</v>
      </c>
      <c r="F477" s="3">
        <f>IF(E477="", "", VLOOKUP(B477, 'S14 ABC Output'!$A$3:$C$18, 3, 0))</f>
        <v>25639</v>
      </c>
      <c r="I477" s="392" t="str">
        <f t="shared" si="27"/>
        <v>WS-05</v>
      </c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</row>
    <row r="478" spans="1:53">
      <c r="A478" s="3">
        <v>11</v>
      </c>
      <c r="B478" s="125" t="str">
        <f>IFERROR(INDEX('S21 Routing Clustered'!$A$3:$A$18, A478), "")</f>
        <v>I-007</v>
      </c>
      <c r="C478" s="3">
        <v>70</v>
      </c>
      <c r="D478" s="391" t="str">
        <f>IFERROR(HLOOKUP(C478, 'S21 Routing Clustered'!$B$2:$I$18, A478+1, 0), "")</f>
        <v>WS-33</v>
      </c>
      <c r="E478" s="391" t="str">
        <f t="shared" si="25"/>
        <v>WS-44</v>
      </c>
      <c r="F478" s="3">
        <f>IF(E478="", "", VLOOKUP(B478, 'S14 ABC Output'!$A$3:$C$18, 3, 0))</f>
        <v>25639</v>
      </c>
      <c r="I478" s="392" t="str">
        <f t="shared" si="27"/>
        <v>WS-06</v>
      </c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</row>
    <row r="479" spans="1:53">
      <c r="A479" s="3">
        <v>11</v>
      </c>
      <c r="B479" s="125" t="str">
        <f>IFERROR(INDEX('S21 Routing Clustered'!$A$3:$A$18, A479), "")</f>
        <v>I-007</v>
      </c>
      <c r="C479" s="3">
        <v>80</v>
      </c>
      <c r="D479" s="391" t="str">
        <f>IFERROR(HLOOKUP(C479, 'S21 Routing Clustered'!$B$2:$I$18, A479+1, 0), "")</f>
        <v>WS-44</v>
      </c>
      <c r="E479" s="391" t="str">
        <f t="shared" si="25"/>
        <v/>
      </c>
      <c r="F479" s="3" t="str">
        <f>IF(E479="", "", VLOOKUP(B479, 'S14 ABC Output'!$A$3:$C$18, 3, 0))</f>
        <v/>
      </c>
      <c r="I479" s="392" t="str">
        <f t="shared" si="27"/>
        <v>WS-07</v>
      </c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</row>
    <row r="480" spans="1:53">
      <c r="A480" s="3">
        <v>11</v>
      </c>
      <c r="B480" s="125" t="str">
        <f>IFERROR(INDEX('S21 Routing Clustered'!$A$3:$A$18, A480), "")</f>
        <v>I-007</v>
      </c>
      <c r="C480" s="3">
        <v>90</v>
      </c>
      <c r="D480" s="391" t="str">
        <f>IFERROR(HLOOKUP(C480, 'S21 Routing Clustered'!$B$2:$I$18, A480+1, 0), "")</f>
        <v/>
      </c>
      <c r="E480" s="391" t="str">
        <f t="shared" si="25"/>
        <v/>
      </c>
      <c r="F480" s="3" t="str">
        <f>IF(E480="", "", VLOOKUP(B480, 'S14 ABC Output'!$A$3:$C$18, 3, 0))</f>
        <v/>
      </c>
      <c r="I480" s="392" t="str">
        <f t="shared" si="27"/>
        <v>WS-08</v>
      </c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</row>
    <row r="481" spans="1:53">
      <c r="A481" s="3">
        <v>11</v>
      </c>
      <c r="B481" s="125" t="str">
        <f>IFERROR(INDEX('S21 Routing Clustered'!$A$3:$A$18, A481), "")</f>
        <v>I-007</v>
      </c>
      <c r="C481" s="3">
        <v>100</v>
      </c>
      <c r="D481" s="391" t="str">
        <f>IFERROR(HLOOKUP(C481, 'S21 Routing Clustered'!$B$2:$I$18, A481+1, 0), "")</f>
        <v/>
      </c>
      <c r="E481" s="391" t="str">
        <f t="shared" si="25"/>
        <v/>
      </c>
      <c r="F481" s="3" t="str">
        <f>IF(E481="", "", VLOOKUP(B481, 'S14 ABC Output'!$A$3:$C$18, 3, 0))</f>
        <v/>
      </c>
      <c r="I481" s="392" t="str">
        <f t="shared" si="27"/>
        <v>WS-09</v>
      </c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</row>
    <row r="482" spans="1:53">
      <c r="A482" s="3">
        <v>11</v>
      </c>
      <c r="B482" s="125" t="str">
        <f>IFERROR(INDEX('S21 Routing Clustered'!$A$3:$A$18, A482), "")</f>
        <v>I-007</v>
      </c>
      <c r="C482" s="3">
        <v>110</v>
      </c>
      <c r="D482" s="391" t="str">
        <f>IFERROR(HLOOKUP(C482, 'S21 Routing Clustered'!$B$2:$I$18, A482+1, 0), "")</f>
        <v/>
      </c>
      <c r="E482" s="391" t="str">
        <f t="shared" si="25"/>
        <v/>
      </c>
      <c r="F482" s="3" t="str">
        <f>IF(E482="", "", VLOOKUP(B482, 'S14 ABC Output'!$A$3:$C$18, 3, 0))</f>
        <v/>
      </c>
      <c r="I482" s="392" t="str">
        <f t="shared" si="27"/>
        <v>WS-10</v>
      </c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</row>
    <row r="483" spans="1:53">
      <c r="A483" s="3">
        <v>11</v>
      </c>
      <c r="B483" s="125" t="str">
        <f>IFERROR(INDEX('S21 Routing Clustered'!$A$3:$A$18, A483), "")</f>
        <v>I-007</v>
      </c>
      <c r="C483" s="3">
        <v>120</v>
      </c>
      <c r="D483" s="391" t="str">
        <f>IFERROR(HLOOKUP(C483, 'S21 Routing Clustered'!$B$2:$I$18, A483+1, 0), "")</f>
        <v/>
      </c>
      <c r="E483" s="391" t="str">
        <f t="shared" si="25"/>
        <v/>
      </c>
      <c r="F483" s="3" t="str">
        <f>IF(E483="", "", VLOOKUP(B483, 'S14 ABC Output'!$A$3:$C$18, 3, 0))</f>
        <v/>
      </c>
      <c r="I483" s="392" t="str">
        <f t="shared" si="27"/>
        <v>WS-11</v>
      </c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</row>
    <row r="484" spans="1:53">
      <c r="A484" s="3">
        <v>11</v>
      </c>
      <c r="B484" s="125" t="str">
        <f>IFERROR(INDEX('S21 Routing Clustered'!$A$3:$A$18, A484), "")</f>
        <v>I-007</v>
      </c>
      <c r="C484" s="3">
        <v>130</v>
      </c>
      <c r="D484" s="391" t="str">
        <f>IFERROR(HLOOKUP(C484, 'S21 Routing Clustered'!$B$2:$I$18, A484+1, 0), "")</f>
        <v/>
      </c>
      <c r="E484" s="391" t="str">
        <f t="shared" si="25"/>
        <v/>
      </c>
      <c r="F484" s="3" t="str">
        <f>IF(E484="", "", VLOOKUP(B484, 'S14 ABC Output'!$A$3:$C$18, 3, 0))</f>
        <v/>
      </c>
      <c r="I484" s="392" t="str">
        <f t="shared" si="27"/>
        <v>WS-12</v>
      </c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</row>
    <row r="485" spans="1:53">
      <c r="A485" s="3">
        <v>11</v>
      </c>
      <c r="B485" s="125" t="str">
        <f>IFERROR(INDEX('S21 Routing Clustered'!$A$3:$A$18, A485), "")</f>
        <v>I-007</v>
      </c>
      <c r="C485" s="3">
        <v>140</v>
      </c>
      <c r="D485" s="391" t="str">
        <f>IFERROR(HLOOKUP(C485, 'S21 Routing Clustered'!$B$2:$I$18, A485+1, 0), "")</f>
        <v/>
      </c>
      <c r="E485" s="391" t="str">
        <f t="shared" si="25"/>
        <v/>
      </c>
      <c r="F485" s="3" t="str">
        <f>IF(E485="", "", VLOOKUP(B485, 'S14 ABC Output'!$A$3:$C$18, 3, 0))</f>
        <v/>
      </c>
      <c r="I485" s="392" t="str">
        <f t="shared" si="27"/>
        <v>WS-13</v>
      </c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</row>
    <row r="486" spans="1:53">
      <c r="A486" s="3">
        <v>11</v>
      </c>
      <c r="B486" s="125" t="str">
        <f>IFERROR(INDEX('S21 Routing Clustered'!$A$3:$A$18, A486), "")</f>
        <v>I-007</v>
      </c>
      <c r="C486" s="3">
        <v>150</v>
      </c>
      <c r="D486" s="391" t="str">
        <f>IFERROR(HLOOKUP(C486, 'S21 Routing Clustered'!$B$2:$I$18, A486+1, 0), "")</f>
        <v/>
      </c>
      <c r="E486" s="391" t="str">
        <f t="shared" si="25"/>
        <v/>
      </c>
      <c r="F486" s="3" t="str">
        <f>IF(E486="", "", VLOOKUP(B486, 'S14 ABC Output'!$A$3:$C$18, 3, 0))</f>
        <v/>
      </c>
      <c r="I486" s="392" t="str">
        <f t="shared" si="27"/>
        <v>WS-14</v>
      </c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</row>
    <row r="487" spans="1:53">
      <c r="A487" s="3">
        <v>11</v>
      </c>
      <c r="B487" s="125" t="str">
        <f>IFERROR(INDEX('S21 Routing Clustered'!$A$3:$A$18, A487), "")</f>
        <v>I-007</v>
      </c>
      <c r="C487" s="3">
        <v>160</v>
      </c>
      <c r="D487" s="391" t="str">
        <f>IFERROR(HLOOKUP(C487, 'S21 Routing Clustered'!$B$2:$I$18, A487+1, 0), "")</f>
        <v/>
      </c>
      <c r="E487" s="391" t="str">
        <f t="shared" si="25"/>
        <v/>
      </c>
      <c r="F487" s="3" t="str">
        <f>IF(E487="", "", VLOOKUP(B487, 'S14 ABC Output'!$A$3:$C$18, 3, 0))</f>
        <v/>
      </c>
      <c r="I487" s="392" t="str">
        <f t="shared" si="27"/>
        <v>WS-15</v>
      </c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</row>
    <row r="488" spans="1:53">
      <c r="A488" s="3">
        <v>11</v>
      </c>
      <c r="B488" s="125" t="str">
        <f>IFERROR(INDEX('S21 Routing Clustered'!$A$3:$A$18, A488), "")</f>
        <v>I-007</v>
      </c>
      <c r="C488" s="3">
        <v>170</v>
      </c>
      <c r="D488" s="391" t="str">
        <f>IFERROR(HLOOKUP(C488, 'S21 Routing Clustered'!$B$2:$I$18, A488+1, 0), "")</f>
        <v/>
      </c>
      <c r="E488" s="391" t="str">
        <f t="shared" si="25"/>
        <v/>
      </c>
      <c r="F488" s="3" t="str">
        <f>IF(E488="", "", VLOOKUP(B488, 'S14 ABC Output'!$A$3:$C$18, 3, 0))</f>
        <v/>
      </c>
      <c r="I488" s="392" t="str">
        <f t="shared" si="27"/>
        <v>WS-16</v>
      </c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</row>
    <row r="489" spans="1:53">
      <c r="A489" s="3">
        <v>11</v>
      </c>
      <c r="B489" s="125" t="str">
        <f>IFERROR(INDEX('S21 Routing Clustered'!$A$3:$A$18, A489), "")</f>
        <v>I-007</v>
      </c>
      <c r="C489" s="3">
        <v>180</v>
      </c>
      <c r="D489" s="391" t="str">
        <f>IFERROR(HLOOKUP(C489, 'S21 Routing Clustered'!$B$2:$I$18, A489+1, 0), "")</f>
        <v/>
      </c>
      <c r="E489" s="391" t="str">
        <f t="shared" si="25"/>
        <v/>
      </c>
      <c r="F489" s="3" t="str">
        <f>IF(E489="", "", VLOOKUP(B489, 'S14 ABC Output'!$A$3:$C$18, 3, 0))</f>
        <v/>
      </c>
      <c r="I489" s="392" t="str">
        <f t="shared" si="27"/>
        <v>WS-17</v>
      </c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</row>
    <row r="490" spans="1:53">
      <c r="A490" s="3">
        <v>11</v>
      </c>
      <c r="B490" s="125" t="str">
        <f>IFERROR(INDEX('S21 Routing Clustered'!$A$3:$A$18, A490), "")</f>
        <v>I-007</v>
      </c>
      <c r="C490" s="3">
        <v>190</v>
      </c>
      <c r="D490" s="391" t="str">
        <f>IFERROR(HLOOKUP(C490, 'S21 Routing Clustered'!$B$2:$I$18, A490+1, 0), "")</f>
        <v/>
      </c>
      <c r="E490" s="391" t="str">
        <f t="shared" si="25"/>
        <v/>
      </c>
      <c r="F490" s="3" t="str">
        <f>IF(E490="", "", VLOOKUP(B490, 'S14 ABC Output'!$A$3:$C$18, 3, 0))</f>
        <v/>
      </c>
      <c r="I490" s="392" t="str">
        <f t="shared" si="27"/>
        <v>WS-18</v>
      </c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>
        <v>25639</v>
      </c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</row>
    <row r="491" spans="1:53">
      <c r="A491" s="3">
        <v>11</v>
      </c>
      <c r="B491" s="125" t="str">
        <f>IFERROR(INDEX('S21 Routing Clustered'!$A$3:$A$18, A491), "")</f>
        <v>I-007</v>
      </c>
      <c r="C491" s="3">
        <v>200</v>
      </c>
      <c r="D491" s="391" t="str">
        <f>IFERROR(HLOOKUP(C491, 'S21 Routing Clustered'!$B$2:$I$18, A491+1, 0), "")</f>
        <v/>
      </c>
      <c r="E491" s="391" t="str">
        <f t="shared" si="25"/>
        <v/>
      </c>
      <c r="F491" s="3" t="str">
        <f>IF(E491="", "", VLOOKUP(B491, 'S14 ABC Output'!$A$3:$C$18, 3, 0))</f>
        <v/>
      </c>
      <c r="I491" s="392" t="str">
        <f t="shared" si="27"/>
        <v>WS-19</v>
      </c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</row>
    <row r="492" spans="1:53">
      <c r="A492" s="3">
        <v>11</v>
      </c>
      <c r="B492" s="125" t="str">
        <f>IFERROR(INDEX('S21 Routing Clustered'!$A$3:$A$18, A492), "")</f>
        <v>I-007</v>
      </c>
      <c r="C492" s="3">
        <v>210</v>
      </c>
      <c r="D492" s="391" t="str">
        <f>IFERROR(HLOOKUP(C492, 'S21 Routing Clustered'!$B$2:$I$18, A492+1, 0), "")</f>
        <v/>
      </c>
      <c r="E492" s="391" t="str">
        <f t="shared" si="25"/>
        <v/>
      </c>
      <c r="F492" s="3" t="str">
        <f>IF(E492="", "", VLOOKUP(B492, 'S14 ABC Output'!$A$3:$C$18, 3, 0))</f>
        <v/>
      </c>
      <c r="I492" s="392" t="str">
        <f t="shared" si="27"/>
        <v>WS-20</v>
      </c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</row>
    <row r="493" spans="1:53">
      <c r="A493" s="3">
        <v>11</v>
      </c>
      <c r="B493" s="125" t="str">
        <f>IFERROR(INDEX('S21 Routing Clustered'!$A$3:$A$18, A493), "")</f>
        <v>I-007</v>
      </c>
      <c r="C493" s="3">
        <v>220</v>
      </c>
      <c r="D493" s="391" t="str">
        <f>IFERROR(HLOOKUP(C493, 'S21 Routing Clustered'!$B$2:$I$18, A493+1, 0), "")</f>
        <v/>
      </c>
      <c r="E493" s="391" t="str">
        <f t="shared" si="25"/>
        <v/>
      </c>
      <c r="F493" s="3" t="str">
        <f>IF(E493="", "", VLOOKUP(B493, 'S14 ABC Output'!$A$3:$C$18, 3, 0))</f>
        <v/>
      </c>
      <c r="I493" s="392" t="str">
        <f t="shared" si="27"/>
        <v>WS-21</v>
      </c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</row>
    <row r="494" spans="1:53">
      <c r="A494" s="3">
        <v>11</v>
      </c>
      <c r="B494" s="125" t="str">
        <f>IFERROR(INDEX('S21 Routing Clustered'!$A$3:$A$18, A494), "")</f>
        <v>I-007</v>
      </c>
      <c r="C494" s="3">
        <v>230</v>
      </c>
      <c r="D494" s="391" t="str">
        <f>IFERROR(HLOOKUP(C494, 'S21 Routing Clustered'!$B$2:$I$18, A494+1, 0), "")</f>
        <v/>
      </c>
      <c r="E494" s="391" t="str">
        <f t="shared" si="25"/>
        <v/>
      </c>
      <c r="F494" s="3" t="str">
        <f>IF(E494="", "", VLOOKUP(B494, 'S14 ABC Output'!$A$3:$C$18, 3, 0))</f>
        <v/>
      </c>
      <c r="I494" s="392" t="str">
        <f t="shared" si="27"/>
        <v>WS-22</v>
      </c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</row>
    <row r="495" spans="1:53">
      <c r="A495" s="3">
        <v>11</v>
      </c>
      <c r="B495" s="125" t="str">
        <f>IFERROR(INDEX('S21 Routing Clustered'!$A$3:$A$18, A495), "")</f>
        <v>I-007</v>
      </c>
      <c r="C495" s="3">
        <v>240</v>
      </c>
      <c r="D495" s="391" t="str">
        <f>IFERROR(HLOOKUP(C495, 'S21 Routing Clustered'!$B$2:$I$18, A495+1, 0), "")</f>
        <v/>
      </c>
      <c r="E495" s="391" t="str">
        <f t="shared" si="25"/>
        <v/>
      </c>
      <c r="F495" s="3" t="str">
        <f>IF(E495="", "", VLOOKUP(B495, 'S14 ABC Output'!$A$3:$C$18, 3, 0))</f>
        <v/>
      </c>
      <c r="I495" s="392" t="str">
        <f t="shared" si="27"/>
        <v>WS-23</v>
      </c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</row>
    <row r="496" spans="1:53">
      <c r="A496" s="3">
        <v>11</v>
      </c>
      <c r="B496" s="125" t="str">
        <f>IFERROR(INDEX('S21 Routing Clustered'!$A$3:$A$18, A496), "")</f>
        <v>I-007</v>
      </c>
      <c r="C496" s="3">
        <v>250</v>
      </c>
      <c r="D496" s="391" t="str">
        <f>IFERROR(HLOOKUP(C496, 'S21 Routing Clustered'!$B$2:$I$18, A496+1, 0), "")</f>
        <v/>
      </c>
      <c r="E496" s="391" t="str">
        <f t="shared" si="25"/>
        <v/>
      </c>
      <c r="F496" s="3" t="str">
        <f>IF(E496="", "", VLOOKUP(B496, 'S14 ABC Output'!$A$3:$C$18, 3, 0))</f>
        <v/>
      </c>
      <c r="I496" s="392" t="str">
        <f t="shared" si="27"/>
        <v>WS-24</v>
      </c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>
        <v>25639</v>
      </c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</row>
    <row r="497" spans="1:53">
      <c r="A497" s="3">
        <v>11</v>
      </c>
      <c r="B497" s="125" t="str">
        <f>IFERROR(INDEX('S21 Routing Clustered'!$A$3:$A$18, A497), "")</f>
        <v>I-007</v>
      </c>
      <c r="C497" s="3">
        <v>260</v>
      </c>
      <c r="D497" s="391" t="str">
        <f>IFERROR(HLOOKUP(C497, 'S21 Routing Clustered'!$B$2:$I$18, A497+1, 0), "")</f>
        <v/>
      </c>
      <c r="E497" s="391" t="str">
        <f t="shared" si="25"/>
        <v/>
      </c>
      <c r="F497" s="3" t="str">
        <f>IF(E497="", "", VLOOKUP(B497, 'S14 ABC Output'!$A$3:$C$18, 3, 0))</f>
        <v/>
      </c>
      <c r="I497" s="392" t="str">
        <f t="shared" si="27"/>
        <v>WS-25</v>
      </c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</row>
    <row r="498" spans="1:53">
      <c r="A498" s="3">
        <v>11</v>
      </c>
      <c r="B498" s="125" t="str">
        <f>IFERROR(INDEX('S21 Routing Clustered'!$A$3:$A$18, A498), "")</f>
        <v>I-007</v>
      </c>
      <c r="C498" s="3">
        <v>270</v>
      </c>
      <c r="D498" s="391" t="str">
        <f>IFERROR(HLOOKUP(C498, 'S21 Routing Clustered'!$B$2:$I$18, A498+1, 0), "")</f>
        <v/>
      </c>
      <c r="E498" s="391" t="str">
        <f t="shared" si="25"/>
        <v/>
      </c>
      <c r="F498" s="3" t="str">
        <f>IF(E498="", "", VLOOKUP(B498, 'S14 ABC Output'!$A$3:$C$18, 3, 0))</f>
        <v/>
      </c>
      <c r="I498" s="392" t="str">
        <f t="shared" si="27"/>
        <v>WS-26</v>
      </c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</row>
    <row r="499" spans="1:53">
      <c r="A499" s="3">
        <v>11</v>
      </c>
      <c r="B499" s="125" t="str">
        <f>IFERROR(INDEX('S21 Routing Clustered'!$A$3:$A$18, A499), "")</f>
        <v>I-007</v>
      </c>
      <c r="C499" s="3">
        <v>280</v>
      </c>
      <c r="D499" s="391" t="str">
        <f>IFERROR(HLOOKUP(C499, 'S21 Routing Clustered'!$B$2:$I$18, A499+1, 0), "")</f>
        <v/>
      </c>
      <c r="E499" s="391" t="str">
        <f t="shared" si="25"/>
        <v/>
      </c>
      <c r="F499" s="3" t="str">
        <f>IF(E499="", "", VLOOKUP(B499, 'S14 ABC Output'!$A$3:$C$18, 3, 0))</f>
        <v/>
      </c>
      <c r="I499" s="392" t="str">
        <f t="shared" si="27"/>
        <v>WS-27</v>
      </c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</row>
    <row r="500" spans="1:53">
      <c r="A500" s="3">
        <v>11</v>
      </c>
      <c r="B500" s="125" t="str">
        <f>IFERROR(INDEX('S21 Routing Clustered'!$A$3:$A$18, A500), "")</f>
        <v>I-007</v>
      </c>
      <c r="C500" s="3">
        <v>290</v>
      </c>
      <c r="D500" s="391" t="str">
        <f>IFERROR(HLOOKUP(C500, 'S21 Routing Clustered'!$B$2:$I$18, A500+1, 0), "")</f>
        <v/>
      </c>
      <c r="E500" s="391" t="str">
        <f t="shared" si="25"/>
        <v/>
      </c>
      <c r="F500" s="3" t="str">
        <f>IF(E500="", "", VLOOKUP(B500, 'S14 ABC Output'!$A$3:$C$18, 3, 0))</f>
        <v/>
      </c>
      <c r="I500" s="392" t="str">
        <f t="shared" si="27"/>
        <v>WS-28</v>
      </c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</row>
    <row r="501" spans="1:53">
      <c r="A501" s="3">
        <v>11</v>
      </c>
      <c r="B501" s="125" t="str">
        <f>IFERROR(INDEX('S21 Routing Clustered'!$A$3:$A$18, A501), "")</f>
        <v>I-007</v>
      </c>
      <c r="C501" s="3">
        <v>300</v>
      </c>
      <c r="D501" s="391" t="str">
        <f>IFERROR(HLOOKUP(C501, 'S21 Routing Clustered'!$B$2:$I$18, A501+1, 0), "")</f>
        <v/>
      </c>
      <c r="E501" s="391" t="str">
        <f t="shared" si="25"/>
        <v/>
      </c>
      <c r="F501" s="3" t="str">
        <f>IF(E501="", "", VLOOKUP(B501, 'S14 ABC Output'!$A$3:$C$18, 3, 0))</f>
        <v/>
      </c>
      <c r="I501" s="392" t="str">
        <f t="shared" si="27"/>
        <v>WS-29</v>
      </c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>
        <v>25639</v>
      </c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</row>
    <row r="502" spans="1:53">
      <c r="A502" s="3">
        <v>11</v>
      </c>
      <c r="B502" s="125" t="str">
        <f>IFERROR(INDEX('S21 Routing Clustered'!$A$3:$A$18, A502), "")</f>
        <v>I-007</v>
      </c>
      <c r="C502" s="3">
        <v>310</v>
      </c>
      <c r="D502" s="391" t="str">
        <f>IFERROR(HLOOKUP(C502, 'S21 Routing Clustered'!$B$2:$I$18, A502+1, 0), "")</f>
        <v/>
      </c>
      <c r="E502" s="391" t="str">
        <f t="shared" si="25"/>
        <v/>
      </c>
      <c r="F502" s="3" t="str">
        <f>IF(E502="", "", VLOOKUP(B502, 'S14 ABC Output'!$A$3:$C$18, 3, 0))</f>
        <v/>
      </c>
      <c r="I502" s="392" t="str">
        <f t="shared" si="27"/>
        <v>WS-30</v>
      </c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</row>
    <row r="503" spans="1:53">
      <c r="A503" s="3">
        <v>11</v>
      </c>
      <c r="B503" s="125" t="str">
        <f>IFERROR(INDEX('S21 Routing Clustered'!$A$3:$A$18, A503), "")</f>
        <v>I-007</v>
      </c>
      <c r="C503" s="3">
        <v>320</v>
      </c>
      <c r="D503" s="391" t="str">
        <f>IFERROR(HLOOKUP(C503, 'S21 Routing Clustered'!$B$2:$I$18, A503+1, 0), "")</f>
        <v/>
      </c>
      <c r="E503" s="391" t="str">
        <f t="shared" si="25"/>
        <v/>
      </c>
      <c r="F503" s="3" t="str">
        <f>IF(E503="", "", VLOOKUP(B503, 'S14 ABC Output'!$A$3:$C$18, 3, 0))</f>
        <v/>
      </c>
      <c r="I503" s="392" t="str">
        <f t="shared" si="27"/>
        <v>WS-31</v>
      </c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</row>
    <row r="504" spans="1:53">
      <c r="A504" s="3">
        <v>11</v>
      </c>
      <c r="B504" s="125" t="str">
        <f>IFERROR(INDEX('S21 Routing Clustered'!$A$3:$A$18, A504), "")</f>
        <v>I-007</v>
      </c>
      <c r="C504" s="3">
        <v>330</v>
      </c>
      <c r="D504" s="391" t="str">
        <f>IFERROR(HLOOKUP(C504, 'S21 Routing Clustered'!$B$2:$I$18, A504+1, 0), "")</f>
        <v/>
      </c>
      <c r="E504" s="391" t="str">
        <f t="shared" si="25"/>
        <v/>
      </c>
      <c r="F504" s="3" t="str">
        <f>IF(E504="", "", VLOOKUP(B504, 'S14 ABC Output'!$A$3:$C$18, 3, 0))</f>
        <v/>
      </c>
      <c r="I504" s="392" t="str">
        <f t="shared" si="27"/>
        <v>WS-32</v>
      </c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</row>
    <row r="505" spans="1:53">
      <c r="A505" s="3">
        <v>11</v>
      </c>
      <c r="B505" s="125" t="str">
        <f>IFERROR(INDEX('S21 Routing Clustered'!$A$3:$A$18, A505), "")</f>
        <v>I-007</v>
      </c>
      <c r="C505" s="3">
        <v>340</v>
      </c>
      <c r="D505" s="391" t="str">
        <f>IFERROR(HLOOKUP(C505, 'S21 Routing Clustered'!$B$2:$I$18, A505+1, 0), "")</f>
        <v/>
      </c>
      <c r="E505" s="391" t="str">
        <f t="shared" si="25"/>
        <v/>
      </c>
      <c r="F505" s="3" t="str">
        <f>IF(E505="", "", VLOOKUP(B505, 'S14 ABC Output'!$A$3:$C$18, 3, 0))</f>
        <v/>
      </c>
      <c r="I505" s="392" t="str">
        <f t="shared" si="27"/>
        <v>WS-33</v>
      </c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>
        <v>25639</v>
      </c>
    </row>
    <row r="506" spans="1:53">
      <c r="A506" s="3">
        <v>11</v>
      </c>
      <c r="B506" s="125" t="str">
        <f>IFERROR(INDEX('S21 Routing Clustered'!$A$3:$A$18, A506), "")</f>
        <v>I-007</v>
      </c>
      <c r="C506" s="3">
        <v>350</v>
      </c>
      <c r="D506" s="391" t="str">
        <f>IFERROR(HLOOKUP(C506, 'S21 Routing Clustered'!$B$2:$I$18, A506+1, 0), "")</f>
        <v/>
      </c>
      <c r="E506" s="391" t="str">
        <f t="shared" si="25"/>
        <v/>
      </c>
      <c r="F506" s="3" t="str">
        <f>IF(E506="", "", VLOOKUP(B506, 'S14 ABC Output'!$A$3:$C$18, 3, 0))</f>
        <v/>
      </c>
      <c r="I506" s="392" t="str">
        <f t="shared" si="27"/>
        <v>WS-34</v>
      </c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</row>
    <row r="507" spans="1:53">
      <c r="A507" s="3">
        <v>11</v>
      </c>
      <c r="B507" s="125" t="str">
        <f>IFERROR(INDEX('S21 Routing Clustered'!$A$3:$A$18, A507), "")</f>
        <v>I-007</v>
      </c>
      <c r="C507" s="3">
        <v>360</v>
      </c>
      <c r="D507" s="391" t="str">
        <f>IFERROR(HLOOKUP(C507, 'S21 Routing Clustered'!$B$2:$I$18, A507+1, 0), "")</f>
        <v/>
      </c>
      <c r="E507" s="391" t="str">
        <f t="shared" si="25"/>
        <v/>
      </c>
      <c r="F507" s="3" t="str">
        <f>IF(E507="", "", VLOOKUP(B507, 'S14 ABC Output'!$A$3:$C$18, 3, 0))</f>
        <v/>
      </c>
      <c r="I507" s="392" t="str">
        <f t="shared" si="27"/>
        <v>WS-35</v>
      </c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</row>
    <row r="508" spans="1:53">
      <c r="A508" s="3">
        <v>11</v>
      </c>
      <c r="B508" s="125" t="str">
        <f>IFERROR(INDEX('S21 Routing Clustered'!$A$3:$A$18, A508), "")</f>
        <v>I-007</v>
      </c>
      <c r="C508" s="3">
        <v>370</v>
      </c>
      <c r="D508" s="391" t="str">
        <f>IFERROR(HLOOKUP(C508, 'S21 Routing Clustered'!$B$2:$I$18, A508+1, 0), "")</f>
        <v/>
      </c>
      <c r="E508" s="391" t="str">
        <f t="shared" si="25"/>
        <v/>
      </c>
      <c r="F508" s="3" t="str">
        <f>IF(E508="", "", VLOOKUP(B508, 'S14 ABC Output'!$A$3:$C$18, 3, 0))</f>
        <v/>
      </c>
      <c r="I508" s="392" t="str">
        <f t="shared" si="27"/>
        <v>WS-36</v>
      </c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</row>
    <row r="509" spans="1:53">
      <c r="A509" s="3">
        <v>11</v>
      </c>
      <c r="B509" s="125" t="str">
        <f>IFERROR(INDEX('S21 Routing Clustered'!$A$3:$A$18, A509), "")</f>
        <v>I-007</v>
      </c>
      <c r="C509" s="3">
        <v>380</v>
      </c>
      <c r="D509" s="391" t="str">
        <f>IFERROR(HLOOKUP(C509, 'S21 Routing Clustered'!$B$2:$I$18, A509+1, 0), "")</f>
        <v/>
      </c>
      <c r="E509" s="391" t="str">
        <f t="shared" si="25"/>
        <v/>
      </c>
      <c r="F509" s="3" t="str">
        <f>IF(E509="", "", VLOOKUP(B509, 'S14 ABC Output'!$A$3:$C$18, 3, 0))</f>
        <v/>
      </c>
      <c r="I509" s="392" t="str">
        <f t="shared" si="27"/>
        <v>WS-37</v>
      </c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</row>
    <row r="510" spans="1:53">
      <c r="A510" s="3">
        <v>11</v>
      </c>
      <c r="B510" s="125" t="str">
        <f>IFERROR(INDEX('S21 Routing Clustered'!$A$3:$A$18, A510), "")</f>
        <v>I-007</v>
      </c>
      <c r="C510" s="3">
        <v>390</v>
      </c>
      <c r="D510" s="391" t="str">
        <f>IFERROR(HLOOKUP(C510, 'S21 Routing Clustered'!$B$2:$I$18, A510+1, 0), "")</f>
        <v/>
      </c>
      <c r="E510" s="391" t="str">
        <f t="shared" si="25"/>
        <v/>
      </c>
      <c r="F510" s="3" t="str">
        <f>IF(E510="", "", VLOOKUP(B510, 'S14 ABC Output'!$A$3:$C$18, 3, 0))</f>
        <v/>
      </c>
      <c r="I510" s="392" t="str">
        <f t="shared" si="27"/>
        <v>WS-38</v>
      </c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</row>
    <row r="511" spans="1:53">
      <c r="A511" s="3">
        <v>11</v>
      </c>
      <c r="B511" s="125" t="str">
        <f>IFERROR(INDEX('S21 Routing Clustered'!$A$3:$A$18, A511), "")</f>
        <v>I-007</v>
      </c>
      <c r="C511" s="3">
        <v>400</v>
      </c>
      <c r="D511" s="391" t="str">
        <f>IFERROR(HLOOKUP(C511, 'S21 Routing Clustered'!$B$2:$I$18, A511+1, 0), "")</f>
        <v/>
      </c>
      <c r="E511" s="391" t="str">
        <f t="shared" si="25"/>
        <v/>
      </c>
      <c r="F511" s="3" t="str">
        <f>IF(E511="", "", VLOOKUP(B511, 'S14 ABC Output'!$A$3:$C$18, 3, 0))</f>
        <v/>
      </c>
      <c r="I511" s="392" t="str">
        <f t="shared" si="27"/>
        <v>WS-39</v>
      </c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</row>
    <row r="512" spans="1:53">
      <c r="A512" s="3">
        <v>11</v>
      </c>
      <c r="B512" s="125" t="str">
        <f>IFERROR(INDEX('S21 Routing Clustered'!$A$3:$A$18, A512), "")</f>
        <v>I-007</v>
      </c>
      <c r="C512" s="3">
        <v>410</v>
      </c>
      <c r="D512" s="391" t="str">
        <f>IFERROR(HLOOKUP(C512, 'S21 Routing Clustered'!$B$2:$I$18, A512+1, 0), "")</f>
        <v/>
      </c>
      <c r="E512" s="391" t="str">
        <f t="shared" si="25"/>
        <v/>
      </c>
      <c r="F512" s="3" t="str">
        <f>IF(E512="", "", VLOOKUP(B512, 'S14 ABC Output'!$A$3:$C$18, 3, 0))</f>
        <v/>
      </c>
      <c r="I512" s="392" t="str">
        <f t="shared" si="27"/>
        <v>WS-40</v>
      </c>
      <c r="J512" s="3"/>
      <c r="K512" s="3">
        <v>25639</v>
      </c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</row>
    <row r="513" spans="1:53">
      <c r="A513" s="3">
        <v>11</v>
      </c>
      <c r="B513" s="125" t="str">
        <f>IFERROR(INDEX('S21 Routing Clustered'!$A$3:$A$18, A513), "")</f>
        <v>I-007</v>
      </c>
      <c r="C513" s="3">
        <v>420</v>
      </c>
      <c r="D513" s="391" t="str">
        <f>IFERROR(HLOOKUP(C513, 'S21 Routing Clustered'!$B$2:$I$18, A513+1, 0), "")</f>
        <v/>
      </c>
      <c r="E513" s="391" t="str">
        <f t="shared" si="25"/>
        <v/>
      </c>
      <c r="F513" s="3" t="str">
        <f>IF(E513="", "", VLOOKUP(B513, 'S14 ABC Output'!$A$3:$C$18, 3, 0))</f>
        <v/>
      </c>
      <c r="I513" s="392" t="str">
        <f t="shared" si="27"/>
        <v>WS-41</v>
      </c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</row>
    <row r="514" spans="1:53">
      <c r="A514" s="3">
        <v>11</v>
      </c>
      <c r="B514" s="125" t="str">
        <f>IFERROR(INDEX('S21 Routing Clustered'!$A$3:$A$18, A514), "")</f>
        <v>I-007</v>
      </c>
      <c r="C514" s="3">
        <v>430</v>
      </c>
      <c r="D514" s="391" t="str">
        <f>IFERROR(HLOOKUP(C514, 'S21 Routing Clustered'!$B$2:$I$18, A514+1, 0), "")</f>
        <v/>
      </c>
      <c r="E514" s="391" t="str">
        <f t="shared" si="25"/>
        <v/>
      </c>
      <c r="F514" s="3" t="str">
        <f>IF(E514="", "", VLOOKUP(B514, 'S14 ABC Output'!$A$3:$C$18, 3, 0))</f>
        <v/>
      </c>
      <c r="I514" s="392" t="str">
        <f t="shared" si="27"/>
        <v>WS-42</v>
      </c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</row>
    <row r="515" spans="1:53">
      <c r="A515" s="3">
        <v>11</v>
      </c>
      <c r="B515" s="125" t="str">
        <f>IFERROR(INDEX('S21 Routing Clustered'!$A$3:$A$18, A515), "")</f>
        <v>I-007</v>
      </c>
      <c r="C515" s="3">
        <v>440</v>
      </c>
      <c r="D515" s="391" t="str">
        <f>IFERROR(HLOOKUP(C515, 'S21 Routing Clustered'!$B$2:$I$18, A515+1, 0), "")</f>
        <v/>
      </c>
      <c r="E515" s="391" t="str">
        <f t="shared" ref="E515:E578" si="28">IF(D515="", "", D516)</f>
        <v/>
      </c>
      <c r="F515" s="3" t="str">
        <f>IF(E515="", "", VLOOKUP(B515, 'S14 ABC Output'!$A$3:$C$18, 3, 0))</f>
        <v/>
      </c>
      <c r="I515" s="392" t="str">
        <f t="shared" si="27"/>
        <v>WS-43</v>
      </c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>
        <v>25639</v>
      </c>
      <c r="AX515" s="3"/>
      <c r="AY515" s="3"/>
      <c r="AZ515" s="3"/>
      <c r="BA515" s="3"/>
    </row>
    <row r="516" spans="1:53">
      <c r="A516" s="3">
        <v>11</v>
      </c>
      <c r="B516" s="125" t="str">
        <f>IFERROR(INDEX('S21 Routing Clustered'!$A$3:$A$18, A516), "")</f>
        <v>I-007</v>
      </c>
      <c r="C516" s="3">
        <v>450</v>
      </c>
      <c r="D516" s="391" t="str">
        <f>IFERROR(HLOOKUP(C516, 'S21 Routing Clustered'!$B$2:$I$18, A516+1, 0), "")</f>
        <v/>
      </c>
      <c r="E516" s="391" t="str">
        <f t="shared" si="28"/>
        <v/>
      </c>
      <c r="F516" s="3" t="str">
        <f>IF(E516="", "", VLOOKUP(B516, 'S14 ABC Output'!$A$3:$C$18, 3, 0))</f>
        <v/>
      </c>
      <c r="I516" s="392" t="str">
        <f t="shared" si="27"/>
        <v>WS-44</v>
      </c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</row>
    <row r="517" spans="1:53">
      <c r="B517" s="125" t="str">
        <f>IFERROR(INDEX('S21 Routing Clustered'!$A$3:$A$18, A517), "")</f>
        <v/>
      </c>
      <c r="D517" s="391" t="str">
        <f>IFERROR(HLOOKUP(C517, 'S21 Routing Clustered'!$B$2:$I$18, A517+1, 0), "")</f>
        <v/>
      </c>
      <c r="E517" s="391" t="str">
        <f t="shared" si="28"/>
        <v/>
      </c>
      <c r="F517" s="3" t="str">
        <f>IF(E517="", "", VLOOKUP(B517, 'S14 ABC Output'!$A$3:$C$18, 3, 0))</f>
        <v/>
      </c>
      <c r="I517" s="392"/>
    </row>
    <row r="518" spans="1:53">
      <c r="B518" s="125" t="str">
        <f>IFERROR(INDEX('S21 Routing Clustered'!$A$3:$A$18, A518), "")</f>
        <v/>
      </c>
      <c r="D518" s="391" t="str">
        <f>IFERROR(HLOOKUP(C518, 'S21 Routing Clustered'!$B$2:$I$18, A518+1, 0), "")</f>
        <v/>
      </c>
      <c r="E518" s="391" t="str">
        <f t="shared" si="28"/>
        <v/>
      </c>
      <c r="F518" s="3" t="str">
        <f>IF(E518="", "", VLOOKUP(B518, 'S14 ABC Output'!$A$3:$C$18, 3, 0))</f>
        <v/>
      </c>
      <c r="I518" s="392"/>
    </row>
    <row r="519" spans="1:53">
      <c r="A519" s="3">
        <v>12</v>
      </c>
      <c r="B519" s="125" t="str">
        <f>IFERROR(INDEX('S21 Routing Clustered'!$A$3:$A$18, A519), "")</f>
        <v>I-010</v>
      </c>
      <c r="C519" s="3">
        <v>10</v>
      </c>
      <c r="D519" s="391" t="str">
        <f>IFERROR(HLOOKUP(C519, 'S21 Routing Clustered'!$B$2:$I$18, A519+1, 0), "")</f>
        <v>WS-43</v>
      </c>
      <c r="E519" s="391" t="str">
        <f t="shared" si="28"/>
        <v>WS-40</v>
      </c>
      <c r="F519" s="3">
        <f>IF(E519="", "", VLOOKUP(B519, 'S14 ABC Output'!$A$3:$C$18, 3, 0))</f>
        <v>250356</v>
      </c>
      <c r="I519" s="392"/>
      <c r="J519" s="392" t="str">
        <f>J472</f>
        <v>WS-01</v>
      </c>
      <c r="K519" s="392" t="str">
        <f t="shared" ref="K519:BA519" si="29">K472</f>
        <v>WS-02</v>
      </c>
      <c r="L519" s="392" t="str">
        <f t="shared" si="29"/>
        <v>WS-03</v>
      </c>
      <c r="M519" s="392" t="str">
        <f t="shared" si="29"/>
        <v>WS-04</v>
      </c>
      <c r="N519" s="392" t="str">
        <f t="shared" si="29"/>
        <v>WS-05</v>
      </c>
      <c r="O519" s="392" t="str">
        <f t="shared" si="29"/>
        <v>WS-06</v>
      </c>
      <c r="P519" s="392" t="str">
        <f t="shared" si="29"/>
        <v>WS-07</v>
      </c>
      <c r="Q519" s="392" t="str">
        <f t="shared" si="29"/>
        <v>WS-08</v>
      </c>
      <c r="R519" s="392" t="str">
        <f t="shared" si="29"/>
        <v>WS-09</v>
      </c>
      <c r="S519" s="392" t="str">
        <f t="shared" si="29"/>
        <v>WS-10</v>
      </c>
      <c r="T519" s="392" t="str">
        <f t="shared" si="29"/>
        <v>WS-11</v>
      </c>
      <c r="U519" s="392" t="str">
        <f t="shared" si="29"/>
        <v>WS-12</v>
      </c>
      <c r="V519" s="392" t="str">
        <f t="shared" si="29"/>
        <v>WS-13</v>
      </c>
      <c r="W519" s="392" t="str">
        <f t="shared" si="29"/>
        <v>WS-14</v>
      </c>
      <c r="X519" s="392" t="str">
        <f t="shared" si="29"/>
        <v>WS-15</v>
      </c>
      <c r="Y519" s="392" t="str">
        <f t="shared" si="29"/>
        <v>WS-16</v>
      </c>
      <c r="Z519" s="392" t="str">
        <f t="shared" si="29"/>
        <v>WS-17</v>
      </c>
      <c r="AA519" s="392" t="str">
        <f t="shared" si="29"/>
        <v>WS-18</v>
      </c>
      <c r="AB519" s="392" t="str">
        <f t="shared" si="29"/>
        <v>WS-19</v>
      </c>
      <c r="AC519" s="392" t="str">
        <f t="shared" si="29"/>
        <v>WS-20</v>
      </c>
      <c r="AD519" s="392" t="str">
        <f t="shared" si="29"/>
        <v>WS-21</v>
      </c>
      <c r="AE519" s="392" t="str">
        <f t="shared" si="29"/>
        <v>WS-22</v>
      </c>
      <c r="AF519" s="392" t="str">
        <f t="shared" si="29"/>
        <v>WS-23</v>
      </c>
      <c r="AG519" s="392" t="str">
        <f t="shared" si="29"/>
        <v>WS-24</v>
      </c>
      <c r="AH519" s="392" t="str">
        <f t="shared" si="29"/>
        <v>WS-25</v>
      </c>
      <c r="AI519" s="392" t="str">
        <f t="shared" si="29"/>
        <v>WS-26</v>
      </c>
      <c r="AJ519" s="392" t="str">
        <f t="shared" si="29"/>
        <v>WS-27</v>
      </c>
      <c r="AK519" s="392" t="str">
        <f t="shared" si="29"/>
        <v>WS-28</v>
      </c>
      <c r="AL519" s="392" t="str">
        <f t="shared" si="29"/>
        <v>WS-29</v>
      </c>
      <c r="AM519" s="392" t="str">
        <f t="shared" si="29"/>
        <v>WS-30</v>
      </c>
      <c r="AN519" s="392" t="str">
        <f t="shared" si="29"/>
        <v>WS-31</v>
      </c>
      <c r="AO519" s="392" t="str">
        <f t="shared" si="29"/>
        <v>WS-32</v>
      </c>
      <c r="AP519" s="392" t="str">
        <f t="shared" si="29"/>
        <v>WS-33</v>
      </c>
      <c r="AQ519" s="392" t="str">
        <f t="shared" si="29"/>
        <v>WS-34</v>
      </c>
      <c r="AR519" s="392" t="str">
        <f t="shared" si="29"/>
        <v>WS-35</v>
      </c>
      <c r="AS519" s="392" t="str">
        <f t="shared" si="29"/>
        <v>WS-36</v>
      </c>
      <c r="AT519" s="392" t="str">
        <f t="shared" si="29"/>
        <v>WS-37</v>
      </c>
      <c r="AU519" s="392" t="str">
        <f t="shared" si="29"/>
        <v>WS-38</v>
      </c>
      <c r="AV519" s="392" t="str">
        <f t="shared" si="29"/>
        <v>WS-39</v>
      </c>
      <c r="AW519" s="392" t="str">
        <f t="shared" si="29"/>
        <v>WS-40</v>
      </c>
      <c r="AX519" s="392" t="str">
        <f t="shared" si="29"/>
        <v>WS-41</v>
      </c>
      <c r="AY519" s="392" t="str">
        <f t="shared" si="29"/>
        <v>WS-42</v>
      </c>
      <c r="AZ519" s="392" t="str">
        <f t="shared" si="29"/>
        <v>WS-43</v>
      </c>
      <c r="BA519" s="392" t="str">
        <f t="shared" si="29"/>
        <v>WS-44</v>
      </c>
    </row>
    <row r="520" spans="1:53">
      <c r="A520" s="3">
        <v>12</v>
      </c>
      <c r="B520" s="125" t="str">
        <f>IFERROR(INDEX('S21 Routing Clustered'!$A$3:$A$18, A520), "")</f>
        <v>I-010</v>
      </c>
      <c r="C520" s="3">
        <v>20</v>
      </c>
      <c r="D520" s="391" t="str">
        <f>IFERROR(HLOOKUP(C520, 'S21 Routing Clustered'!$B$2:$I$18, A520+1, 0), "")</f>
        <v>WS-40</v>
      </c>
      <c r="E520" s="391" t="str">
        <f t="shared" si="28"/>
        <v>WS-02</v>
      </c>
      <c r="F520" s="3">
        <f>IF(E520="", "", VLOOKUP(B520, 'S14 ABC Output'!$A$3:$C$18, 3, 0))</f>
        <v>250356</v>
      </c>
      <c r="I520" s="392" t="str">
        <f t="shared" ref="I520:I563" si="30">I473</f>
        <v>WS-01</v>
      </c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</row>
    <row r="521" spans="1:53">
      <c r="A521" s="3">
        <v>12</v>
      </c>
      <c r="B521" s="125" t="str">
        <f>IFERROR(INDEX('S21 Routing Clustered'!$A$3:$A$18, A521), "")</f>
        <v>I-010</v>
      </c>
      <c r="C521" s="3">
        <v>30</v>
      </c>
      <c r="D521" s="391" t="str">
        <f>IFERROR(HLOOKUP(C521, 'S21 Routing Clustered'!$B$2:$I$18, A521+1, 0), "")</f>
        <v>WS-02</v>
      </c>
      <c r="E521" s="391" t="str">
        <f t="shared" si="28"/>
        <v>WS-18</v>
      </c>
      <c r="F521" s="3">
        <f>IF(E521="", "", VLOOKUP(B521, 'S14 ABC Output'!$A$3:$C$18, 3, 0))</f>
        <v>250356</v>
      </c>
      <c r="I521" s="392" t="str">
        <f t="shared" si="30"/>
        <v>WS-02</v>
      </c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>
        <v>250356</v>
      </c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</row>
    <row r="522" spans="1:53">
      <c r="A522" s="3">
        <v>12</v>
      </c>
      <c r="B522" s="125" t="str">
        <f>IFERROR(INDEX('S21 Routing Clustered'!$A$3:$A$18, A522), "")</f>
        <v>I-010</v>
      </c>
      <c r="C522" s="3">
        <v>40</v>
      </c>
      <c r="D522" s="391" t="str">
        <f>IFERROR(HLOOKUP(C522, 'S21 Routing Clustered'!$B$2:$I$18, A522+1, 0), "")</f>
        <v>WS-18</v>
      </c>
      <c r="E522" s="391" t="str">
        <f t="shared" si="28"/>
        <v>WS-24</v>
      </c>
      <c r="F522" s="3">
        <f>IF(E522="", "", VLOOKUP(B522, 'S14 ABC Output'!$A$3:$C$18, 3, 0))</f>
        <v>250356</v>
      </c>
      <c r="I522" s="392" t="str">
        <f t="shared" si="30"/>
        <v>WS-03</v>
      </c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</row>
    <row r="523" spans="1:53">
      <c r="A523" s="3">
        <v>12</v>
      </c>
      <c r="B523" s="125" t="str">
        <f>IFERROR(INDEX('S21 Routing Clustered'!$A$3:$A$18, A523), "")</f>
        <v>I-010</v>
      </c>
      <c r="C523" s="3">
        <v>50</v>
      </c>
      <c r="D523" s="391" t="str">
        <f>IFERROR(HLOOKUP(C523, 'S21 Routing Clustered'!$B$2:$I$18, A523+1, 0), "")</f>
        <v>WS-24</v>
      </c>
      <c r="E523" s="391" t="str">
        <f t="shared" si="28"/>
        <v>WS-29</v>
      </c>
      <c r="F523" s="3">
        <f>IF(E523="", "", VLOOKUP(B523, 'S14 ABC Output'!$A$3:$C$18, 3, 0))</f>
        <v>250356</v>
      </c>
      <c r="I523" s="392" t="str">
        <f t="shared" si="30"/>
        <v>WS-04</v>
      </c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</row>
    <row r="524" spans="1:53">
      <c r="A524" s="3">
        <v>12</v>
      </c>
      <c r="B524" s="125" t="str">
        <f>IFERROR(INDEX('S21 Routing Clustered'!$A$3:$A$18, A524), "")</f>
        <v>I-010</v>
      </c>
      <c r="C524" s="3">
        <v>60</v>
      </c>
      <c r="D524" s="391" t="str">
        <f>IFERROR(HLOOKUP(C524, 'S21 Routing Clustered'!$B$2:$I$18, A524+1, 0), "")</f>
        <v>WS-29</v>
      </c>
      <c r="E524" s="391" t="str">
        <f t="shared" si="28"/>
        <v>WS-33</v>
      </c>
      <c r="F524" s="3">
        <f>IF(E524="", "", VLOOKUP(B524, 'S14 ABC Output'!$A$3:$C$18, 3, 0))</f>
        <v>250356</v>
      </c>
      <c r="I524" s="392" t="str">
        <f t="shared" si="30"/>
        <v>WS-05</v>
      </c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</row>
    <row r="525" spans="1:53">
      <c r="A525" s="3">
        <v>12</v>
      </c>
      <c r="B525" s="125" t="str">
        <f>IFERROR(INDEX('S21 Routing Clustered'!$A$3:$A$18, A525), "")</f>
        <v>I-010</v>
      </c>
      <c r="C525" s="3">
        <v>70</v>
      </c>
      <c r="D525" s="391" t="str">
        <f>IFERROR(HLOOKUP(C525, 'S21 Routing Clustered'!$B$2:$I$18, A525+1, 0), "")</f>
        <v>WS-33</v>
      </c>
      <c r="E525" s="391" t="str">
        <f t="shared" si="28"/>
        <v>WS-44</v>
      </c>
      <c r="F525" s="3">
        <f>IF(E525="", "", VLOOKUP(B525, 'S14 ABC Output'!$A$3:$C$18, 3, 0))</f>
        <v>250356</v>
      </c>
      <c r="I525" s="392" t="str">
        <f t="shared" si="30"/>
        <v>WS-06</v>
      </c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</row>
    <row r="526" spans="1:53">
      <c r="A526" s="3">
        <v>12</v>
      </c>
      <c r="B526" s="125" t="str">
        <f>IFERROR(INDEX('S21 Routing Clustered'!$A$3:$A$18, A526), "")</f>
        <v>I-010</v>
      </c>
      <c r="C526" s="3">
        <v>80</v>
      </c>
      <c r="D526" s="391" t="str">
        <f>IFERROR(HLOOKUP(C526, 'S21 Routing Clustered'!$B$2:$I$18, A526+1, 0), "")</f>
        <v>WS-44</v>
      </c>
      <c r="E526" s="391" t="str">
        <f t="shared" si="28"/>
        <v/>
      </c>
      <c r="F526" s="3" t="str">
        <f>IF(E526="", "", VLOOKUP(B526, 'S14 ABC Output'!$A$3:$C$18, 3, 0))</f>
        <v/>
      </c>
      <c r="I526" s="392" t="str">
        <f t="shared" si="30"/>
        <v>WS-07</v>
      </c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</row>
    <row r="527" spans="1:53">
      <c r="A527" s="3">
        <v>12</v>
      </c>
      <c r="B527" s="125" t="str">
        <f>IFERROR(INDEX('S21 Routing Clustered'!$A$3:$A$18, A527), "")</f>
        <v>I-010</v>
      </c>
      <c r="C527" s="3">
        <v>90</v>
      </c>
      <c r="D527" s="391" t="str">
        <f>IFERROR(HLOOKUP(C527, 'S21 Routing Clustered'!$B$2:$I$18, A527+1, 0), "")</f>
        <v/>
      </c>
      <c r="E527" s="391" t="str">
        <f t="shared" si="28"/>
        <v/>
      </c>
      <c r="F527" s="3" t="str">
        <f>IF(E527="", "", VLOOKUP(B527, 'S14 ABC Output'!$A$3:$C$18, 3, 0))</f>
        <v/>
      </c>
      <c r="I527" s="392" t="str">
        <f t="shared" si="30"/>
        <v>WS-08</v>
      </c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</row>
    <row r="528" spans="1:53">
      <c r="A528" s="3">
        <v>12</v>
      </c>
      <c r="B528" s="125" t="str">
        <f>IFERROR(INDEX('S21 Routing Clustered'!$A$3:$A$18, A528), "")</f>
        <v>I-010</v>
      </c>
      <c r="C528" s="3">
        <v>100</v>
      </c>
      <c r="D528" s="391" t="str">
        <f>IFERROR(HLOOKUP(C528, 'S21 Routing Clustered'!$B$2:$I$18, A528+1, 0), "")</f>
        <v/>
      </c>
      <c r="E528" s="391" t="str">
        <f t="shared" si="28"/>
        <v/>
      </c>
      <c r="F528" s="3" t="str">
        <f>IF(E528="", "", VLOOKUP(B528, 'S14 ABC Output'!$A$3:$C$18, 3, 0))</f>
        <v/>
      </c>
      <c r="I528" s="392" t="str">
        <f t="shared" si="30"/>
        <v>WS-09</v>
      </c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</row>
    <row r="529" spans="1:53">
      <c r="A529" s="3">
        <v>12</v>
      </c>
      <c r="B529" s="125" t="str">
        <f>IFERROR(INDEX('S21 Routing Clustered'!$A$3:$A$18, A529), "")</f>
        <v>I-010</v>
      </c>
      <c r="C529" s="3">
        <v>110</v>
      </c>
      <c r="D529" s="391" t="str">
        <f>IFERROR(HLOOKUP(C529, 'S21 Routing Clustered'!$B$2:$I$18, A529+1, 0), "")</f>
        <v/>
      </c>
      <c r="E529" s="391" t="str">
        <f t="shared" si="28"/>
        <v/>
      </c>
      <c r="F529" s="3" t="str">
        <f>IF(E529="", "", VLOOKUP(B529, 'S14 ABC Output'!$A$3:$C$18, 3, 0))</f>
        <v/>
      </c>
      <c r="I529" s="392" t="str">
        <f t="shared" si="30"/>
        <v>WS-10</v>
      </c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</row>
    <row r="530" spans="1:53">
      <c r="A530" s="3">
        <v>12</v>
      </c>
      <c r="B530" s="125" t="str">
        <f>IFERROR(INDEX('S21 Routing Clustered'!$A$3:$A$18, A530), "")</f>
        <v>I-010</v>
      </c>
      <c r="C530" s="3">
        <v>120</v>
      </c>
      <c r="D530" s="391" t="str">
        <f>IFERROR(HLOOKUP(C530, 'S21 Routing Clustered'!$B$2:$I$18, A530+1, 0), "")</f>
        <v/>
      </c>
      <c r="E530" s="391" t="str">
        <f t="shared" si="28"/>
        <v/>
      </c>
      <c r="F530" s="3" t="str">
        <f>IF(E530="", "", VLOOKUP(B530, 'S14 ABC Output'!$A$3:$C$18, 3, 0))</f>
        <v/>
      </c>
      <c r="I530" s="392" t="str">
        <f t="shared" si="30"/>
        <v>WS-11</v>
      </c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</row>
    <row r="531" spans="1:53">
      <c r="A531" s="3">
        <v>12</v>
      </c>
      <c r="B531" s="125" t="str">
        <f>IFERROR(INDEX('S21 Routing Clustered'!$A$3:$A$18, A531), "")</f>
        <v>I-010</v>
      </c>
      <c r="C531" s="3">
        <v>130</v>
      </c>
      <c r="D531" s="391" t="str">
        <f>IFERROR(HLOOKUP(C531, 'S21 Routing Clustered'!$B$2:$I$18, A531+1, 0), "")</f>
        <v/>
      </c>
      <c r="E531" s="391" t="str">
        <f t="shared" si="28"/>
        <v/>
      </c>
      <c r="F531" s="3" t="str">
        <f>IF(E531="", "", VLOOKUP(B531, 'S14 ABC Output'!$A$3:$C$18, 3, 0))</f>
        <v/>
      </c>
      <c r="I531" s="392" t="str">
        <f t="shared" si="30"/>
        <v>WS-12</v>
      </c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</row>
    <row r="532" spans="1:53">
      <c r="A532" s="3">
        <v>12</v>
      </c>
      <c r="B532" s="125" t="str">
        <f>IFERROR(INDEX('S21 Routing Clustered'!$A$3:$A$18, A532), "")</f>
        <v>I-010</v>
      </c>
      <c r="C532" s="3">
        <v>140</v>
      </c>
      <c r="D532" s="391" t="str">
        <f>IFERROR(HLOOKUP(C532, 'S21 Routing Clustered'!$B$2:$I$18, A532+1, 0), "")</f>
        <v/>
      </c>
      <c r="E532" s="391" t="str">
        <f t="shared" si="28"/>
        <v/>
      </c>
      <c r="F532" s="3" t="str">
        <f>IF(E532="", "", VLOOKUP(B532, 'S14 ABC Output'!$A$3:$C$18, 3, 0))</f>
        <v/>
      </c>
      <c r="I532" s="392" t="str">
        <f t="shared" si="30"/>
        <v>WS-13</v>
      </c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</row>
    <row r="533" spans="1:53">
      <c r="A533" s="3">
        <v>12</v>
      </c>
      <c r="B533" s="125" t="str">
        <f>IFERROR(INDEX('S21 Routing Clustered'!$A$3:$A$18, A533), "")</f>
        <v>I-010</v>
      </c>
      <c r="C533" s="3">
        <v>150</v>
      </c>
      <c r="D533" s="391" t="str">
        <f>IFERROR(HLOOKUP(C533, 'S21 Routing Clustered'!$B$2:$I$18, A533+1, 0), "")</f>
        <v/>
      </c>
      <c r="E533" s="391" t="str">
        <f t="shared" si="28"/>
        <v/>
      </c>
      <c r="F533" s="3" t="str">
        <f>IF(E533="", "", VLOOKUP(B533, 'S14 ABC Output'!$A$3:$C$18, 3, 0))</f>
        <v/>
      </c>
      <c r="I533" s="392" t="str">
        <f t="shared" si="30"/>
        <v>WS-14</v>
      </c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</row>
    <row r="534" spans="1:53">
      <c r="A534" s="3">
        <v>12</v>
      </c>
      <c r="B534" s="125" t="str">
        <f>IFERROR(INDEX('S21 Routing Clustered'!$A$3:$A$18, A534), "")</f>
        <v>I-010</v>
      </c>
      <c r="C534" s="3">
        <v>160</v>
      </c>
      <c r="D534" s="391" t="str">
        <f>IFERROR(HLOOKUP(C534, 'S21 Routing Clustered'!$B$2:$I$18, A534+1, 0), "")</f>
        <v/>
      </c>
      <c r="E534" s="391" t="str">
        <f t="shared" si="28"/>
        <v/>
      </c>
      <c r="F534" s="3" t="str">
        <f>IF(E534="", "", VLOOKUP(B534, 'S14 ABC Output'!$A$3:$C$18, 3, 0))</f>
        <v/>
      </c>
      <c r="I534" s="392" t="str">
        <f t="shared" si="30"/>
        <v>WS-15</v>
      </c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</row>
    <row r="535" spans="1:53">
      <c r="A535" s="3">
        <v>12</v>
      </c>
      <c r="B535" s="125" t="str">
        <f>IFERROR(INDEX('S21 Routing Clustered'!$A$3:$A$18, A535), "")</f>
        <v>I-010</v>
      </c>
      <c r="C535" s="3">
        <v>170</v>
      </c>
      <c r="D535" s="391" t="str">
        <f>IFERROR(HLOOKUP(C535, 'S21 Routing Clustered'!$B$2:$I$18, A535+1, 0), "")</f>
        <v/>
      </c>
      <c r="E535" s="391" t="str">
        <f t="shared" si="28"/>
        <v/>
      </c>
      <c r="F535" s="3" t="str">
        <f>IF(E535="", "", VLOOKUP(B535, 'S14 ABC Output'!$A$3:$C$18, 3, 0))</f>
        <v/>
      </c>
      <c r="I535" s="392" t="str">
        <f t="shared" si="30"/>
        <v>WS-16</v>
      </c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</row>
    <row r="536" spans="1:53">
      <c r="A536" s="3">
        <v>12</v>
      </c>
      <c r="B536" s="125" t="str">
        <f>IFERROR(INDEX('S21 Routing Clustered'!$A$3:$A$18, A536), "")</f>
        <v>I-010</v>
      </c>
      <c r="C536" s="3">
        <v>180</v>
      </c>
      <c r="D536" s="391" t="str">
        <f>IFERROR(HLOOKUP(C536, 'S21 Routing Clustered'!$B$2:$I$18, A536+1, 0), "")</f>
        <v/>
      </c>
      <c r="E536" s="391" t="str">
        <f t="shared" si="28"/>
        <v/>
      </c>
      <c r="F536" s="3" t="str">
        <f>IF(E536="", "", VLOOKUP(B536, 'S14 ABC Output'!$A$3:$C$18, 3, 0))</f>
        <v/>
      </c>
      <c r="I536" s="392" t="str">
        <f t="shared" si="30"/>
        <v>WS-17</v>
      </c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</row>
    <row r="537" spans="1:53">
      <c r="A537" s="3">
        <v>12</v>
      </c>
      <c r="B537" s="125" t="str">
        <f>IFERROR(INDEX('S21 Routing Clustered'!$A$3:$A$18, A537), "")</f>
        <v>I-010</v>
      </c>
      <c r="C537" s="3">
        <v>190</v>
      </c>
      <c r="D537" s="391" t="str">
        <f>IFERROR(HLOOKUP(C537, 'S21 Routing Clustered'!$B$2:$I$18, A537+1, 0), "")</f>
        <v/>
      </c>
      <c r="E537" s="391" t="str">
        <f t="shared" si="28"/>
        <v/>
      </c>
      <c r="F537" s="3" t="str">
        <f>IF(E537="", "", VLOOKUP(B537, 'S14 ABC Output'!$A$3:$C$18, 3, 0))</f>
        <v/>
      </c>
      <c r="I537" s="392" t="str">
        <f t="shared" si="30"/>
        <v>WS-18</v>
      </c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>
        <v>250356</v>
      </c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</row>
    <row r="538" spans="1:53">
      <c r="A538" s="3">
        <v>12</v>
      </c>
      <c r="B538" s="125" t="str">
        <f>IFERROR(INDEX('S21 Routing Clustered'!$A$3:$A$18, A538), "")</f>
        <v>I-010</v>
      </c>
      <c r="C538" s="3">
        <v>200</v>
      </c>
      <c r="D538" s="391" t="str">
        <f>IFERROR(HLOOKUP(C538, 'S21 Routing Clustered'!$B$2:$I$18, A538+1, 0), "")</f>
        <v/>
      </c>
      <c r="E538" s="391" t="str">
        <f t="shared" si="28"/>
        <v/>
      </c>
      <c r="F538" s="3" t="str">
        <f>IF(E538="", "", VLOOKUP(B538, 'S14 ABC Output'!$A$3:$C$18, 3, 0))</f>
        <v/>
      </c>
      <c r="I538" s="392" t="str">
        <f t="shared" si="30"/>
        <v>WS-19</v>
      </c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</row>
    <row r="539" spans="1:53">
      <c r="A539" s="3">
        <v>12</v>
      </c>
      <c r="B539" s="125" t="str">
        <f>IFERROR(INDEX('S21 Routing Clustered'!$A$3:$A$18, A539), "")</f>
        <v>I-010</v>
      </c>
      <c r="C539" s="3">
        <v>210</v>
      </c>
      <c r="D539" s="391" t="str">
        <f>IFERROR(HLOOKUP(C539, 'S21 Routing Clustered'!$B$2:$I$18, A539+1, 0), "")</f>
        <v/>
      </c>
      <c r="E539" s="391" t="str">
        <f t="shared" si="28"/>
        <v/>
      </c>
      <c r="F539" s="3" t="str">
        <f>IF(E539="", "", VLOOKUP(B539, 'S14 ABC Output'!$A$3:$C$18, 3, 0))</f>
        <v/>
      </c>
      <c r="I539" s="392" t="str">
        <f t="shared" si="30"/>
        <v>WS-20</v>
      </c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</row>
    <row r="540" spans="1:53">
      <c r="A540" s="3">
        <v>12</v>
      </c>
      <c r="B540" s="125" t="str">
        <f>IFERROR(INDEX('S21 Routing Clustered'!$A$3:$A$18, A540), "")</f>
        <v>I-010</v>
      </c>
      <c r="C540" s="3">
        <v>220</v>
      </c>
      <c r="D540" s="391" t="str">
        <f>IFERROR(HLOOKUP(C540, 'S21 Routing Clustered'!$B$2:$I$18, A540+1, 0), "")</f>
        <v/>
      </c>
      <c r="E540" s="391" t="str">
        <f t="shared" si="28"/>
        <v/>
      </c>
      <c r="F540" s="3" t="str">
        <f>IF(E540="", "", VLOOKUP(B540, 'S14 ABC Output'!$A$3:$C$18, 3, 0))</f>
        <v/>
      </c>
      <c r="I540" s="392" t="str">
        <f t="shared" si="30"/>
        <v>WS-21</v>
      </c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</row>
    <row r="541" spans="1:53">
      <c r="A541" s="3">
        <v>12</v>
      </c>
      <c r="B541" s="125" t="str">
        <f>IFERROR(INDEX('S21 Routing Clustered'!$A$3:$A$18, A541), "")</f>
        <v>I-010</v>
      </c>
      <c r="C541" s="3">
        <v>230</v>
      </c>
      <c r="D541" s="391" t="str">
        <f>IFERROR(HLOOKUP(C541, 'S21 Routing Clustered'!$B$2:$I$18, A541+1, 0), "")</f>
        <v/>
      </c>
      <c r="E541" s="391" t="str">
        <f t="shared" si="28"/>
        <v/>
      </c>
      <c r="F541" s="3" t="str">
        <f>IF(E541="", "", VLOOKUP(B541, 'S14 ABC Output'!$A$3:$C$18, 3, 0))</f>
        <v/>
      </c>
      <c r="I541" s="392" t="str">
        <f t="shared" si="30"/>
        <v>WS-22</v>
      </c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</row>
    <row r="542" spans="1:53">
      <c r="A542" s="3">
        <v>12</v>
      </c>
      <c r="B542" s="125" t="str">
        <f>IFERROR(INDEX('S21 Routing Clustered'!$A$3:$A$18, A542), "")</f>
        <v>I-010</v>
      </c>
      <c r="C542" s="3">
        <v>240</v>
      </c>
      <c r="D542" s="391" t="str">
        <f>IFERROR(HLOOKUP(C542, 'S21 Routing Clustered'!$B$2:$I$18, A542+1, 0), "")</f>
        <v/>
      </c>
      <c r="E542" s="391" t="str">
        <f t="shared" si="28"/>
        <v/>
      </c>
      <c r="F542" s="3" t="str">
        <f>IF(E542="", "", VLOOKUP(B542, 'S14 ABC Output'!$A$3:$C$18, 3, 0))</f>
        <v/>
      </c>
      <c r="I542" s="392" t="str">
        <f t="shared" si="30"/>
        <v>WS-23</v>
      </c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</row>
    <row r="543" spans="1:53">
      <c r="A543" s="3">
        <v>12</v>
      </c>
      <c r="B543" s="125" t="str">
        <f>IFERROR(INDEX('S21 Routing Clustered'!$A$3:$A$18, A543), "")</f>
        <v>I-010</v>
      </c>
      <c r="C543" s="3">
        <v>250</v>
      </c>
      <c r="D543" s="391" t="str">
        <f>IFERROR(HLOOKUP(C543, 'S21 Routing Clustered'!$B$2:$I$18, A543+1, 0), "")</f>
        <v/>
      </c>
      <c r="E543" s="391" t="str">
        <f t="shared" si="28"/>
        <v/>
      </c>
      <c r="F543" s="3" t="str">
        <f>IF(E543="", "", VLOOKUP(B543, 'S14 ABC Output'!$A$3:$C$18, 3, 0))</f>
        <v/>
      </c>
      <c r="I543" s="392" t="str">
        <f t="shared" si="30"/>
        <v>WS-24</v>
      </c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>
        <v>250356</v>
      </c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</row>
    <row r="544" spans="1:53">
      <c r="A544" s="3">
        <v>12</v>
      </c>
      <c r="B544" s="125" t="str">
        <f>IFERROR(INDEX('S21 Routing Clustered'!$A$3:$A$18, A544), "")</f>
        <v>I-010</v>
      </c>
      <c r="C544" s="3">
        <v>260</v>
      </c>
      <c r="D544" s="391" t="str">
        <f>IFERROR(HLOOKUP(C544, 'S21 Routing Clustered'!$B$2:$I$18, A544+1, 0), "")</f>
        <v/>
      </c>
      <c r="E544" s="391" t="str">
        <f t="shared" si="28"/>
        <v/>
      </c>
      <c r="F544" s="3" t="str">
        <f>IF(E544="", "", VLOOKUP(B544, 'S14 ABC Output'!$A$3:$C$18, 3, 0))</f>
        <v/>
      </c>
      <c r="I544" s="392" t="str">
        <f t="shared" si="30"/>
        <v>WS-25</v>
      </c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</row>
    <row r="545" spans="1:53">
      <c r="A545" s="3">
        <v>12</v>
      </c>
      <c r="B545" s="125" t="str">
        <f>IFERROR(INDEX('S21 Routing Clustered'!$A$3:$A$18, A545), "")</f>
        <v>I-010</v>
      </c>
      <c r="C545" s="3">
        <v>270</v>
      </c>
      <c r="D545" s="391" t="str">
        <f>IFERROR(HLOOKUP(C545, 'S21 Routing Clustered'!$B$2:$I$18, A545+1, 0), "")</f>
        <v/>
      </c>
      <c r="E545" s="391" t="str">
        <f t="shared" si="28"/>
        <v/>
      </c>
      <c r="F545" s="3" t="str">
        <f>IF(E545="", "", VLOOKUP(B545, 'S14 ABC Output'!$A$3:$C$18, 3, 0))</f>
        <v/>
      </c>
      <c r="I545" s="392" t="str">
        <f t="shared" si="30"/>
        <v>WS-26</v>
      </c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</row>
    <row r="546" spans="1:53">
      <c r="A546" s="3">
        <v>12</v>
      </c>
      <c r="B546" s="125" t="str">
        <f>IFERROR(INDEX('S21 Routing Clustered'!$A$3:$A$18, A546), "")</f>
        <v>I-010</v>
      </c>
      <c r="C546" s="3">
        <v>280</v>
      </c>
      <c r="D546" s="391" t="str">
        <f>IFERROR(HLOOKUP(C546, 'S21 Routing Clustered'!$B$2:$I$18, A546+1, 0), "")</f>
        <v/>
      </c>
      <c r="E546" s="391" t="str">
        <f t="shared" si="28"/>
        <v/>
      </c>
      <c r="F546" s="3" t="str">
        <f>IF(E546="", "", VLOOKUP(B546, 'S14 ABC Output'!$A$3:$C$18, 3, 0))</f>
        <v/>
      </c>
      <c r="I546" s="392" t="str">
        <f t="shared" si="30"/>
        <v>WS-27</v>
      </c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</row>
    <row r="547" spans="1:53">
      <c r="A547" s="3">
        <v>12</v>
      </c>
      <c r="B547" s="125" t="str">
        <f>IFERROR(INDEX('S21 Routing Clustered'!$A$3:$A$18, A547), "")</f>
        <v>I-010</v>
      </c>
      <c r="C547" s="3">
        <v>290</v>
      </c>
      <c r="D547" s="391" t="str">
        <f>IFERROR(HLOOKUP(C547, 'S21 Routing Clustered'!$B$2:$I$18, A547+1, 0), "")</f>
        <v/>
      </c>
      <c r="E547" s="391" t="str">
        <f t="shared" si="28"/>
        <v/>
      </c>
      <c r="F547" s="3" t="str">
        <f>IF(E547="", "", VLOOKUP(B547, 'S14 ABC Output'!$A$3:$C$18, 3, 0))</f>
        <v/>
      </c>
      <c r="I547" s="392" t="str">
        <f t="shared" si="30"/>
        <v>WS-28</v>
      </c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</row>
    <row r="548" spans="1:53">
      <c r="A548" s="3">
        <v>12</v>
      </c>
      <c r="B548" s="125" t="str">
        <f>IFERROR(INDEX('S21 Routing Clustered'!$A$3:$A$18, A548), "")</f>
        <v>I-010</v>
      </c>
      <c r="C548" s="3">
        <v>300</v>
      </c>
      <c r="D548" s="391" t="str">
        <f>IFERROR(HLOOKUP(C548, 'S21 Routing Clustered'!$B$2:$I$18, A548+1, 0), "")</f>
        <v/>
      </c>
      <c r="E548" s="391" t="str">
        <f t="shared" si="28"/>
        <v/>
      </c>
      <c r="F548" s="3" t="str">
        <f>IF(E548="", "", VLOOKUP(B548, 'S14 ABC Output'!$A$3:$C$18, 3, 0))</f>
        <v/>
      </c>
      <c r="I548" s="392" t="str">
        <f t="shared" si="30"/>
        <v>WS-29</v>
      </c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>
        <v>250356</v>
      </c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</row>
    <row r="549" spans="1:53">
      <c r="A549" s="3">
        <v>12</v>
      </c>
      <c r="B549" s="125" t="str">
        <f>IFERROR(INDEX('S21 Routing Clustered'!$A$3:$A$18, A549), "")</f>
        <v>I-010</v>
      </c>
      <c r="C549" s="3">
        <v>310</v>
      </c>
      <c r="D549" s="391" t="str">
        <f>IFERROR(HLOOKUP(C549, 'S21 Routing Clustered'!$B$2:$I$18, A549+1, 0), "")</f>
        <v/>
      </c>
      <c r="E549" s="391" t="str">
        <f t="shared" si="28"/>
        <v/>
      </c>
      <c r="F549" s="3" t="str">
        <f>IF(E549="", "", VLOOKUP(B549, 'S14 ABC Output'!$A$3:$C$18, 3, 0))</f>
        <v/>
      </c>
      <c r="I549" s="392" t="str">
        <f t="shared" si="30"/>
        <v>WS-30</v>
      </c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</row>
    <row r="550" spans="1:53">
      <c r="A550" s="3">
        <v>12</v>
      </c>
      <c r="B550" s="125" t="str">
        <f>IFERROR(INDEX('S21 Routing Clustered'!$A$3:$A$18, A550), "")</f>
        <v>I-010</v>
      </c>
      <c r="C550" s="3">
        <v>320</v>
      </c>
      <c r="D550" s="391" t="str">
        <f>IFERROR(HLOOKUP(C550, 'S21 Routing Clustered'!$B$2:$I$18, A550+1, 0), "")</f>
        <v/>
      </c>
      <c r="E550" s="391" t="str">
        <f t="shared" si="28"/>
        <v/>
      </c>
      <c r="F550" s="3" t="str">
        <f>IF(E550="", "", VLOOKUP(B550, 'S14 ABC Output'!$A$3:$C$18, 3, 0))</f>
        <v/>
      </c>
      <c r="I550" s="392" t="str">
        <f t="shared" si="30"/>
        <v>WS-31</v>
      </c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</row>
    <row r="551" spans="1:53">
      <c r="A551" s="3">
        <v>12</v>
      </c>
      <c r="B551" s="125" t="str">
        <f>IFERROR(INDEX('S21 Routing Clustered'!$A$3:$A$18, A551), "")</f>
        <v>I-010</v>
      </c>
      <c r="C551" s="3">
        <v>330</v>
      </c>
      <c r="D551" s="391" t="str">
        <f>IFERROR(HLOOKUP(C551, 'S21 Routing Clustered'!$B$2:$I$18, A551+1, 0), "")</f>
        <v/>
      </c>
      <c r="E551" s="391" t="str">
        <f t="shared" si="28"/>
        <v/>
      </c>
      <c r="F551" s="3" t="str">
        <f>IF(E551="", "", VLOOKUP(B551, 'S14 ABC Output'!$A$3:$C$18, 3, 0))</f>
        <v/>
      </c>
      <c r="I551" s="392" t="str">
        <f t="shared" si="30"/>
        <v>WS-32</v>
      </c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</row>
    <row r="552" spans="1:53">
      <c r="A552" s="3">
        <v>12</v>
      </c>
      <c r="B552" s="125" t="str">
        <f>IFERROR(INDEX('S21 Routing Clustered'!$A$3:$A$18, A552), "")</f>
        <v>I-010</v>
      </c>
      <c r="C552" s="3">
        <v>340</v>
      </c>
      <c r="D552" s="391" t="str">
        <f>IFERROR(HLOOKUP(C552, 'S21 Routing Clustered'!$B$2:$I$18, A552+1, 0), "")</f>
        <v/>
      </c>
      <c r="E552" s="391" t="str">
        <f t="shared" si="28"/>
        <v/>
      </c>
      <c r="F552" s="3" t="str">
        <f>IF(E552="", "", VLOOKUP(B552, 'S14 ABC Output'!$A$3:$C$18, 3, 0))</f>
        <v/>
      </c>
      <c r="I552" s="392" t="str">
        <f t="shared" si="30"/>
        <v>WS-33</v>
      </c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>
        <v>250356</v>
      </c>
    </row>
    <row r="553" spans="1:53">
      <c r="A553" s="3">
        <v>12</v>
      </c>
      <c r="B553" s="125" t="str">
        <f>IFERROR(INDEX('S21 Routing Clustered'!$A$3:$A$18, A553), "")</f>
        <v>I-010</v>
      </c>
      <c r="C553" s="3">
        <v>350</v>
      </c>
      <c r="D553" s="391" t="str">
        <f>IFERROR(HLOOKUP(C553, 'S21 Routing Clustered'!$B$2:$I$18, A553+1, 0), "")</f>
        <v/>
      </c>
      <c r="E553" s="391" t="str">
        <f t="shared" si="28"/>
        <v/>
      </c>
      <c r="F553" s="3" t="str">
        <f>IF(E553="", "", VLOOKUP(B553, 'S14 ABC Output'!$A$3:$C$18, 3, 0))</f>
        <v/>
      </c>
      <c r="I553" s="392" t="str">
        <f t="shared" si="30"/>
        <v>WS-34</v>
      </c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</row>
    <row r="554" spans="1:53">
      <c r="A554" s="3">
        <v>12</v>
      </c>
      <c r="B554" s="125" t="str">
        <f>IFERROR(INDEX('S21 Routing Clustered'!$A$3:$A$18, A554), "")</f>
        <v>I-010</v>
      </c>
      <c r="C554" s="3">
        <v>360</v>
      </c>
      <c r="D554" s="391" t="str">
        <f>IFERROR(HLOOKUP(C554, 'S21 Routing Clustered'!$B$2:$I$18, A554+1, 0), "")</f>
        <v/>
      </c>
      <c r="E554" s="391" t="str">
        <f t="shared" si="28"/>
        <v/>
      </c>
      <c r="F554" s="3" t="str">
        <f>IF(E554="", "", VLOOKUP(B554, 'S14 ABC Output'!$A$3:$C$18, 3, 0))</f>
        <v/>
      </c>
      <c r="I554" s="392" t="str">
        <f t="shared" si="30"/>
        <v>WS-35</v>
      </c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</row>
    <row r="555" spans="1:53">
      <c r="A555" s="3">
        <v>12</v>
      </c>
      <c r="B555" s="125" t="str">
        <f>IFERROR(INDEX('S21 Routing Clustered'!$A$3:$A$18, A555), "")</f>
        <v>I-010</v>
      </c>
      <c r="C555" s="3">
        <v>370</v>
      </c>
      <c r="D555" s="391" t="str">
        <f>IFERROR(HLOOKUP(C555, 'S21 Routing Clustered'!$B$2:$I$18, A555+1, 0), "")</f>
        <v/>
      </c>
      <c r="E555" s="391" t="str">
        <f t="shared" si="28"/>
        <v/>
      </c>
      <c r="F555" s="3" t="str">
        <f>IF(E555="", "", VLOOKUP(B555, 'S14 ABC Output'!$A$3:$C$18, 3, 0))</f>
        <v/>
      </c>
      <c r="I555" s="392" t="str">
        <f t="shared" si="30"/>
        <v>WS-36</v>
      </c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</row>
    <row r="556" spans="1:53">
      <c r="A556" s="3">
        <v>12</v>
      </c>
      <c r="B556" s="125" t="str">
        <f>IFERROR(INDEX('S21 Routing Clustered'!$A$3:$A$18, A556), "")</f>
        <v>I-010</v>
      </c>
      <c r="C556" s="3">
        <v>380</v>
      </c>
      <c r="D556" s="391" t="str">
        <f>IFERROR(HLOOKUP(C556, 'S21 Routing Clustered'!$B$2:$I$18, A556+1, 0), "")</f>
        <v/>
      </c>
      <c r="E556" s="391" t="str">
        <f t="shared" si="28"/>
        <v/>
      </c>
      <c r="F556" s="3" t="str">
        <f>IF(E556="", "", VLOOKUP(B556, 'S14 ABC Output'!$A$3:$C$18, 3, 0))</f>
        <v/>
      </c>
      <c r="I556" s="392" t="str">
        <f t="shared" si="30"/>
        <v>WS-37</v>
      </c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</row>
    <row r="557" spans="1:53">
      <c r="A557" s="3">
        <v>12</v>
      </c>
      <c r="B557" s="125" t="str">
        <f>IFERROR(INDEX('S21 Routing Clustered'!$A$3:$A$18, A557), "")</f>
        <v>I-010</v>
      </c>
      <c r="C557" s="3">
        <v>390</v>
      </c>
      <c r="D557" s="391" t="str">
        <f>IFERROR(HLOOKUP(C557, 'S21 Routing Clustered'!$B$2:$I$18, A557+1, 0), "")</f>
        <v/>
      </c>
      <c r="E557" s="391" t="str">
        <f t="shared" si="28"/>
        <v/>
      </c>
      <c r="F557" s="3" t="str">
        <f>IF(E557="", "", VLOOKUP(B557, 'S14 ABC Output'!$A$3:$C$18, 3, 0))</f>
        <v/>
      </c>
      <c r="I557" s="392" t="str">
        <f t="shared" si="30"/>
        <v>WS-38</v>
      </c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</row>
    <row r="558" spans="1:53">
      <c r="A558" s="3">
        <v>12</v>
      </c>
      <c r="B558" s="125" t="str">
        <f>IFERROR(INDEX('S21 Routing Clustered'!$A$3:$A$18, A558), "")</f>
        <v>I-010</v>
      </c>
      <c r="C558" s="3">
        <v>400</v>
      </c>
      <c r="D558" s="391" t="str">
        <f>IFERROR(HLOOKUP(C558, 'S21 Routing Clustered'!$B$2:$I$18, A558+1, 0), "")</f>
        <v/>
      </c>
      <c r="E558" s="391" t="str">
        <f t="shared" si="28"/>
        <v/>
      </c>
      <c r="F558" s="3" t="str">
        <f>IF(E558="", "", VLOOKUP(B558, 'S14 ABC Output'!$A$3:$C$18, 3, 0))</f>
        <v/>
      </c>
      <c r="I558" s="392" t="str">
        <f t="shared" si="30"/>
        <v>WS-39</v>
      </c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</row>
    <row r="559" spans="1:53">
      <c r="A559" s="3">
        <v>12</v>
      </c>
      <c r="B559" s="125" t="str">
        <f>IFERROR(INDEX('S21 Routing Clustered'!$A$3:$A$18, A559), "")</f>
        <v>I-010</v>
      </c>
      <c r="C559" s="3">
        <v>410</v>
      </c>
      <c r="D559" s="391" t="str">
        <f>IFERROR(HLOOKUP(C559, 'S21 Routing Clustered'!$B$2:$I$18, A559+1, 0), "")</f>
        <v/>
      </c>
      <c r="E559" s="391" t="str">
        <f t="shared" si="28"/>
        <v/>
      </c>
      <c r="F559" s="3" t="str">
        <f>IF(E559="", "", VLOOKUP(B559, 'S14 ABC Output'!$A$3:$C$18, 3, 0))</f>
        <v/>
      </c>
      <c r="I559" s="392" t="str">
        <f t="shared" si="30"/>
        <v>WS-40</v>
      </c>
      <c r="J559" s="3"/>
      <c r="K559" s="3">
        <v>250356</v>
      </c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</row>
    <row r="560" spans="1:53">
      <c r="A560" s="3">
        <v>12</v>
      </c>
      <c r="B560" s="125" t="str">
        <f>IFERROR(INDEX('S21 Routing Clustered'!$A$3:$A$18, A560), "")</f>
        <v>I-010</v>
      </c>
      <c r="C560" s="3">
        <v>420</v>
      </c>
      <c r="D560" s="391" t="str">
        <f>IFERROR(HLOOKUP(C560, 'S21 Routing Clustered'!$B$2:$I$18, A560+1, 0), "")</f>
        <v/>
      </c>
      <c r="E560" s="391" t="str">
        <f t="shared" si="28"/>
        <v/>
      </c>
      <c r="F560" s="3" t="str">
        <f>IF(E560="", "", VLOOKUP(B560, 'S14 ABC Output'!$A$3:$C$18, 3, 0))</f>
        <v/>
      </c>
      <c r="I560" s="392" t="str">
        <f t="shared" si="30"/>
        <v>WS-41</v>
      </c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</row>
    <row r="561" spans="1:53">
      <c r="A561" s="3">
        <v>12</v>
      </c>
      <c r="B561" s="125" t="str">
        <f>IFERROR(INDEX('S21 Routing Clustered'!$A$3:$A$18, A561), "")</f>
        <v>I-010</v>
      </c>
      <c r="C561" s="3">
        <v>430</v>
      </c>
      <c r="D561" s="391" t="str">
        <f>IFERROR(HLOOKUP(C561, 'S21 Routing Clustered'!$B$2:$I$18, A561+1, 0), "")</f>
        <v/>
      </c>
      <c r="E561" s="391" t="str">
        <f t="shared" si="28"/>
        <v/>
      </c>
      <c r="F561" s="3" t="str">
        <f>IF(E561="", "", VLOOKUP(B561, 'S14 ABC Output'!$A$3:$C$18, 3, 0))</f>
        <v/>
      </c>
      <c r="I561" s="392" t="str">
        <f t="shared" si="30"/>
        <v>WS-42</v>
      </c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</row>
    <row r="562" spans="1:53">
      <c r="A562" s="3">
        <v>12</v>
      </c>
      <c r="B562" s="125" t="str">
        <f>IFERROR(INDEX('S21 Routing Clustered'!$A$3:$A$18, A562), "")</f>
        <v>I-010</v>
      </c>
      <c r="C562" s="3">
        <v>440</v>
      </c>
      <c r="D562" s="391" t="str">
        <f>IFERROR(HLOOKUP(C562, 'S21 Routing Clustered'!$B$2:$I$18, A562+1, 0), "")</f>
        <v/>
      </c>
      <c r="E562" s="391" t="str">
        <f t="shared" si="28"/>
        <v/>
      </c>
      <c r="F562" s="3" t="str">
        <f>IF(E562="", "", VLOOKUP(B562, 'S14 ABC Output'!$A$3:$C$18, 3, 0))</f>
        <v/>
      </c>
      <c r="I562" s="392" t="str">
        <f t="shared" si="30"/>
        <v>WS-43</v>
      </c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>
        <v>250356</v>
      </c>
      <c r="AX562" s="3"/>
      <c r="AY562" s="3"/>
      <c r="AZ562" s="3"/>
      <c r="BA562" s="3"/>
    </row>
    <row r="563" spans="1:53">
      <c r="A563" s="3">
        <v>12</v>
      </c>
      <c r="B563" s="125" t="str">
        <f>IFERROR(INDEX('S21 Routing Clustered'!$A$3:$A$18, A563), "")</f>
        <v>I-010</v>
      </c>
      <c r="C563" s="3">
        <v>450</v>
      </c>
      <c r="D563" s="391" t="str">
        <f>IFERROR(HLOOKUP(C563, 'S21 Routing Clustered'!$B$2:$I$18, A563+1, 0), "")</f>
        <v/>
      </c>
      <c r="E563" s="391" t="str">
        <f t="shared" si="28"/>
        <v/>
      </c>
      <c r="F563" s="3" t="str">
        <f>IF(E563="", "", VLOOKUP(B563, 'S14 ABC Output'!$A$3:$C$18, 3, 0))</f>
        <v/>
      </c>
      <c r="I563" s="392" t="str">
        <f t="shared" si="30"/>
        <v>WS-44</v>
      </c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</row>
    <row r="564" spans="1:53">
      <c r="B564" s="125" t="str">
        <f>IFERROR(INDEX('S21 Routing Clustered'!$A$3:$A$18, A564), "")</f>
        <v/>
      </c>
      <c r="C564" s="85"/>
      <c r="D564" s="391" t="str">
        <f>IFERROR(HLOOKUP(C564, 'S21 Routing Clustered'!$B$2:$I$18, A564+1, 0), "")</f>
        <v/>
      </c>
      <c r="E564" s="391" t="str">
        <f t="shared" si="28"/>
        <v/>
      </c>
      <c r="F564" s="3" t="str">
        <f>IF(E564="", "", VLOOKUP(B564, 'S14 ABC Output'!$A$3:$C$18, 3, 0))</f>
        <v/>
      </c>
      <c r="I564" s="392"/>
    </row>
    <row r="565" spans="1:53">
      <c r="B565" s="125" t="str">
        <f>IFERROR(INDEX('S21 Routing Clustered'!$A$3:$A$18, A565), "")</f>
        <v/>
      </c>
      <c r="D565" s="391" t="str">
        <f>IFERROR(HLOOKUP(C565, 'S21 Routing Clustered'!$B$2:$I$18, A565+1, 0), "")</f>
        <v/>
      </c>
      <c r="E565" s="391" t="str">
        <f t="shared" si="28"/>
        <v/>
      </c>
      <c r="F565" s="3" t="str">
        <f>IF(E565="", "", VLOOKUP(B565, 'S14 ABC Output'!$A$3:$C$18, 3, 0))</f>
        <v/>
      </c>
      <c r="I565" s="392"/>
    </row>
    <row r="566" spans="1:53">
      <c r="A566" s="3">
        <v>13</v>
      </c>
      <c r="B566" s="125" t="str">
        <f>IFERROR(INDEX('S21 Routing Clustered'!$A$3:$A$18, A566), "")</f>
        <v>I-012</v>
      </c>
      <c r="C566" s="3">
        <v>10</v>
      </c>
      <c r="D566" s="391" t="str">
        <f>IFERROR(HLOOKUP(C566, 'S21 Routing Clustered'!$B$2:$I$18, A566+1, 0), "")</f>
        <v>WS-43</v>
      </c>
      <c r="E566" s="391" t="str">
        <f t="shared" si="28"/>
        <v>WS-40</v>
      </c>
      <c r="F566" s="3">
        <f>IF(E566="", "", VLOOKUP(B566, 'S14 ABC Output'!$A$3:$C$18, 3, 0))</f>
        <v>50689</v>
      </c>
      <c r="I566" s="392"/>
      <c r="J566" s="392" t="str">
        <f>J519</f>
        <v>WS-01</v>
      </c>
      <c r="K566" s="392" t="str">
        <f t="shared" ref="K566:BA566" si="31">K519</f>
        <v>WS-02</v>
      </c>
      <c r="L566" s="392" t="str">
        <f t="shared" si="31"/>
        <v>WS-03</v>
      </c>
      <c r="M566" s="392" t="str">
        <f t="shared" si="31"/>
        <v>WS-04</v>
      </c>
      <c r="N566" s="392" t="str">
        <f t="shared" si="31"/>
        <v>WS-05</v>
      </c>
      <c r="O566" s="392" t="str">
        <f t="shared" si="31"/>
        <v>WS-06</v>
      </c>
      <c r="P566" s="392" t="str">
        <f t="shared" si="31"/>
        <v>WS-07</v>
      </c>
      <c r="Q566" s="392" t="str">
        <f t="shared" si="31"/>
        <v>WS-08</v>
      </c>
      <c r="R566" s="392" t="str">
        <f t="shared" si="31"/>
        <v>WS-09</v>
      </c>
      <c r="S566" s="392" t="str">
        <f t="shared" si="31"/>
        <v>WS-10</v>
      </c>
      <c r="T566" s="392" t="str">
        <f t="shared" si="31"/>
        <v>WS-11</v>
      </c>
      <c r="U566" s="392" t="str">
        <f t="shared" si="31"/>
        <v>WS-12</v>
      </c>
      <c r="V566" s="392" t="str">
        <f t="shared" si="31"/>
        <v>WS-13</v>
      </c>
      <c r="W566" s="392" t="str">
        <f t="shared" si="31"/>
        <v>WS-14</v>
      </c>
      <c r="X566" s="392" t="str">
        <f t="shared" si="31"/>
        <v>WS-15</v>
      </c>
      <c r="Y566" s="392" t="str">
        <f t="shared" si="31"/>
        <v>WS-16</v>
      </c>
      <c r="Z566" s="392" t="str">
        <f t="shared" si="31"/>
        <v>WS-17</v>
      </c>
      <c r="AA566" s="392" t="str">
        <f t="shared" si="31"/>
        <v>WS-18</v>
      </c>
      <c r="AB566" s="392" t="str">
        <f t="shared" si="31"/>
        <v>WS-19</v>
      </c>
      <c r="AC566" s="392" t="str">
        <f t="shared" si="31"/>
        <v>WS-20</v>
      </c>
      <c r="AD566" s="392" t="str">
        <f t="shared" si="31"/>
        <v>WS-21</v>
      </c>
      <c r="AE566" s="392" t="str">
        <f t="shared" si="31"/>
        <v>WS-22</v>
      </c>
      <c r="AF566" s="392" t="str">
        <f t="shared" si="31"/>
        <v>WS-23</v>
      </c>
      <c r="AG566" s="392" t="str">
        <f t="shared" si="31"/>
        <v>WS-24</v>
      </c>
      <c r="AH566" s="392" t="str">
        <f t="shared" si="31"/>
        <v>WS-25</v>
      </c>
      <c r="AI566" s="392" t="str">
        <f t="shared" si="31"/>
        <v>WS-26</v>
      </c>
      <c r="AJ566" s="392" t="str">
        <f t="shared" si="31"/>
        <v>WS-27</v>
      </c>
      <c r="AK566" s="392" t="str">
        <f t="shared" si="31"/>
        <v>WS-28</v>
      </c>
      <c r="AL566" s="392" t="str">
        <f t="shared" si="31"/>
        <v>WS-29</v>
      </c>
      <c r="AM566" s="392" t="str">
        <f t="shared" si="31"/>
        <v>WS-30</v>
      </c>
      <c r="AN566" s="392" t="str">
        <f t="shared" si="31"/>
        <v>WS-31</v>
      </c>
      <c r="AO566" s="392" t="str">
        <f t="shared" si="31"/>
        <v>WS-32</v>
      </c>
      <c r="AP566" s="392" t="str">
        <f t="shared" si="31"/>
        <v>WS-33</v>
      </c>
      <c r="AQ566" s="392" t="str">
        <f t="shared" si="31"/>
        <v>WS-34</v>
      </c>
      <c r="AR566" s="392" t="str">
        <f t="shared" si="31"/>
        <v>WS-35</v>
      </c>
      <c r="AS566" s="392" t="str">
        <f t="shared" si="31"/>
        <v>WS-36</v>
      </c>
      <c r="AT566" s="392" t="str">
        <f t="shared" si="31"/>
        <v>WS-37</v>
      </c>
      <c r="AU566" s="392" t="str">
        <f t="shared" si="31"/>
        <v>WS-38</v>
      </c>
      <c r="AV566" s="392" t="str">
        <f t="shared" si="31"/>
        <v>WS-39</v>
      </c>
      <c r="AW566" s="392" t="str">
        <f t="shared" si="31"/>
        <v>WS-40</v>
      </c>
      <c r="AX566" s="392" t="str">
        <f t="shared" si="31"/>
        <v>WS-41</v>
      </c>
      <c r="AY566" s="392" t="str">
        <f t="shared" si="31"/>
        <v>WS-42</v>
      </c>
      <c r="AZ566" s="392" t="str">
        <f t="shared" si="31"/>
        <v>WS-43</v>
      </c>
      <c r="BA566" s="392" t="str">
        <f t="shared" si="31"/>
        <v>WS-44</v>
      </c>
    </row>
    <row r="567" spans="1:53">
      <c r="A567" s="3">
        <v>13</v>
      </c>
      <c r="B567" s="125" t="str">
        <f>IFERROR(INDEX('S21 Routing Clustered'!$A$3:$A$18, A567), "")</f>
        <v>I-012</v>
      </c>
      <c r="C567" s="3">
        <v>20</v>
      </c>
      <c r="D567" s="391" t="str">
        <f>IFERROR(HLOOKUP(C567, 'S21 Routing Clustered'!$B$2:$I$18, A567+1, 0), "")</f>
        <v>WS-40</v>
      </c>
      <c r="E567" s="391" t="str">
        <f t="shared" si="28"/>
        <v>WS-07</v>
      </c>
      <c r="F567" s="3">
        <f>IF(E567="", "", VLOOKUP(B567, 'S14 ABC Output'!$A$3:$C$18, 3, 0))</f>
        <v>50689</v>
      </c>
      <c r="I567" s="392" t="str">
        <f t="shared" ref="I567:I610" si="32">I520</f>
        <v>WS-01</v>
      </c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</row>
    <row r="568" spans="1:53">
      <c r="A568" s="3">
        <v>13</v>
      </c>
      <c r="B568" s="125" t="str">
        <f>IFERROR(INDEX('S21 Routing Clustered'!$A$3:$A$18, A568), "")</f>
        <v>I-012</v>
      </c>
      <c r="C568" s="3">
        <v>30</v>
      </c>
      <c r="D568" s="391" t="str">
        <f>IFERROR(HLOOKUP(C568, 'S21 Routing Clustered'!$B$2:$I$18, A568+1, 0), "")</f>
        <v>WS-07</v>
      </c>
      <c r="E568" s="391" t="str">
        <f t="shared" si="28"/>
        <v>WS-08</v>
      </c>
      <c r="F568" s="3">
        <f>IF(E568="", "", VLOOKUP(B568, 'S14 ABC Output'!$A$3:$C$18, 3, 0))</f>
        <v>50689</v>
      </c>
      <c r="I568" s="392" t="str">
        <f t="shared" si="32"/>
        <v>WS-02</v>
      </c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</row>
    <row r="569" spans="1:53">
      <c r="A569" s="3">
        <v>13</v>
      </c>
      <c r="B569" s="125" t="str">
        <f>IFERROR(INDEX('S21 Routing Clustered'!$A$3:$A$18, A569), "")</f>
        <v>I-012</v>
      </c>
      <c r="C569" s="3">
        <v>40</v>
      </c>
      <c r="D569" s="391" t="str">
        <f>IFERROR(HLOOKUP(C569, 'S21 Routing Clustered'!$B$2:$I$18, A569+1, 0), "")</f>
        <v>WS-08</v>
      </c>
      <c r="E569" s="391" t="str">
        <f t="shared" si="28"/>
        <v>WS-20</v>
      </c>
      <c r="F569" s="3">
        <f>IF(E569="", "", VLOOKUP(B569, 'S14 ABC Output'!$A$3:$C$18, 3, 0))</f>
        <v>50689</v>
      </c>
      <c r="I569" s="392" t="str">
        <f t="shared" si="32"/>
        <v>WS-03</v>
      </c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</row>
    <row r="570" spans="1:53">
      <c r="A570" s="3">
        <v>13</v>
      </c>
      <c r="B570" s="125" t="str">
        <f>IFERROR(INDEX('S21 Routing Clustered'!$A$3:$A$18, A570), "")</f>
        <v>I-012</v>
      </c>
      <c r="C570" s="3">
        <v>50</v>
      </c>
      <c r="D570" s="391" t="str">
        <f>IFERROR(HLOOKUP(C570, 'S21 Routing Clustered'!$B$2:$I$18, A570+1, 0), "")</f>
        <v>WS-20</v>
      </c>
      <c r="E570" s="391" t="str">
        <f t="shared" si="28"/>
        <v>WS-26</v>
      </c>
      <c r="F570" s="3">
        <f>IF(E570="", "", VLOOKUP(B570, 'S14 ABC Output'!$A$3:$C$18, 3, 0))</f>
        <v>50689</v>
      </c>
      <c r="I570" s="392" t="str">
        <f t="shared" si="32"/>
        <v>WS-04</v>
      </c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</row>
    <row r="571" spans="1:53">
      <c r="A571" s="3">
        <v>13</v>
      </c>
      <c r="B571" s="125" t="str">
        <f>IFERROR(INDEX('S21 Routing Clustered'!$A$3:$A$18, A571), "")</f>
        <v>I-012</v>
      </c>
      <c r="C571" s="3">
        <v>60</v>
      </c>
      <c r="D571" s="391" t="str">
        <f>IFERROR(HLOOKUP(C571, 'S21 Routing Clustered'!$B$2:$I$18, A571+1, 0), "")</f>
        <v>WS-26</v>
      </c>
      <c r="E571" s="391" t="str">
        <f t="shared" si="28"/>
        <v>WS-32</v>
      </c>
      <c r="F571" s="3">
        <f>IF(E571="", "", VLOOKUP(B571, 'S14 ABC Output'!$A$3:$C$18, 3, 0))</f>
        <v>50689</v>
      </c>
      <c r="I571" s="392" t="str">
        <f t="shared" si="32"/>
        <v>WS-05</v>
      </c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</row>
    <row r="572" spans="1:53">
      <c r="A572" s="3">
        <v>13</v>
      </c>
      <c r="B572" s="125" t="str">
        <f>IFERROR(INDEX('S21 Routing Clustered'!$A$3:$A$18, A572), "")</f>
        <v>I-012</v>
      </c>
      <c r="C572" s="3">
        <v>70</v>
      </c>
      <c r="D572" s="391" t="str">
        <f>IFERROR(HLOOKUP(C572, 'S21 Routing Clustered'!$B$2:$I$18, A572+1, 0), "")</f>
        <v>WS-32</v>
      </c>
      <c r="E572" s="391" t="str">
        <f t="shared" si="28"/>
        <v>WS-44</v>
      </c>
      <c r="F572" s="3">
        <f>IF(E572="", "", VLOOKUP(B572, 'S14 ABC Output'!$A$3:$C$18, 3, 0))</f>
        <v>50689</v>
      </c>
      <c r="I572" s="392" t="str">
        <f t="shared" si="32"/>
        <v>WS-06</v>
      </c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</row>
    <row r="573" spans="1:53">
      <c r="A573" s="3">
        <v>13</v>
      </c>
      <c r="B573" s="125" t="str">
        <f>IFERROR(INDEX('S21 Routing Clustered'!$A$3:$A$18, A573), "")</f>
        <v>I-012</v>
      </c>
      <c r="C573" s="3">
        <v>80</v>
      </c>
      <c r="D573" s="391" t="str">
        <f>IFERROR(HLOOKUP(C573, 'S21 Routing Clustered'!$B$2:$I$18, A573+1, 0), "")</f>
        <v>WS-44</v>
      </c>
      <c r="E573" s="391" t="str">
        <f t="shared" si="28"/>
        <v/>
      </c>
      <c r="F573" s="3" t="str">
        <f>IF(E573="", "", VLOOKUP(B573, 'S14 ABC Output'!$A$3:$C$18, 3, 0))</f>
        <v/>
      </c>
      <c r="I573" s="392" t="str">
        <f t="shared" si="32"/>
        <v>WS-07</v>
      </c>
      <c r="J573" s="3"/>
      <c r="K573" s="3"/>
      <c r="L573" s="3"/>
      <c r="M573" s="3"/>
      <c r="N573" s="3"/>
      <c r="O573" s="3"/>
      <c r="P573" s="3"/>
      <c r="Q573" s="3">
        <v>50689</v>
      </c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</row>
    <row r="574" spans="1:53">
      <c r="A574" s="3">
        <v>13</v>
      </c>
      <c r="B574" s="125" t="str">
        <f>IFERROR(INDEX('S21 Routing Clustered'!$A$3:$A$18, A574), "")</f>
        <v>I-012</v>
      </c>
      <c r="C574" s="3">
        <v>90</v>
      </c>
      <c r="D574" s="391" t="str">
        <f>IFERROR(HLOOKUP(C574, 'S21 Routing Clustered'!$B$2:$I$18, A574+1, 0), "")</f>
        <v/>
      </c>
      <c r="E574" s="391" t="str">
        <f t="shared" si="28"/>
        <v/>
      </c>
      <c r="F574" s="3" t="str">
        <f>IF(E574="", "", VLOOKUP(B574, 'S14 ABC Output'!$A$3:$C$18, 3, 0))</f>
        <v/>
      </c>
      <c r="I574" s="392" t="str">
        <f t="shared" si="32"/>
        <v>WS-08</v>
      </c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>
        <v>50689</v>
      </c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</row>
    <row r="575" spans="1:53">
      <c r="A575" s="3">
        <v>13</v>
      </c>
      <c r="B575" s="125" t="str">
        <f>IFERROR(INDEX('S21 Routing Clustered'!$A$3:$A$18, A575), "")</f>
        <v>I-012</v>
      </c>
      <c r="C575" s="3">
        <v>100</v>
      </c>
      <c r="D575" s="391" t="str">
        <f>IFERROR(HLOOKUP(C575, 'S21 Routing Clustered'!$B$2:$I$18, A575+1, 0), "")</f>
        <v/>
      </c>
      <c r="E575" s="391" t="str">
        <f t="shared" si="28"/>
        <v/>
      </c>
      <c r="F575" s="3" t="str">
        <f>IF(E575="", "", VLOOKUP(B575, 'S14 ABC Output'!$A$3:$C$18, 3, 0))</f>
        <v/>
      </c>
      <c r="I575" s="392" t="str">
        <f t="shared" si="32"/>
        <v>WS-09</v>
      </c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</row>
    <row r="576" spans="1:53">
      <c r="A576" s="3">
        <v>13</v>
      </c>
      <c r="B576" s="125" t="str">
        <f>IFERROR(INDEX('S21 Routing Clustered'!$A$3:$A$18, A576), "")</f>
        <v>I-012</v>
      </c>
      <c r="C576" s="3">
        <v>110</v>
      </c>
      <c r="D576" s="391" t="str">
        <f>IFERROR(HLOOKUP(C576, 'S21 Routing Clustered'!$B$2:$I$18, A576+1, 0), "")</f>
        <v/>
      </c>
      <c r="E576" s="391" t="str">
        <f t="shared" si="28"/>
        <v/>
      </c>
      <c r="F576" s="3" t="str">
        <f>IF(E576="", "", VLOOKUP(B576, 'S14 ABC Output'!$A$3:$C$18, 3, 0))</f>
        <v/>
      </c>
      <c r="I576" s="392" t="str">
        <f t="shared" si="32"/>
        <v>WS-10</v>
      </c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</row>
    <row r="577" spans="1:53">
      <c r="A577" s="3">
        <v>13</v>
      </c>
      <c r="B577" s="125" t="str">
        <f>IFERROR(INDEX('S21 Routing Clustered'!$A$3:$A$18, A577), "")</f>
        <v>I-012</v>
      </c>
      <c r="C577" s="3">
        <v>120</v>
      </c>
      <c r="D577" s="391" t="str">
        <f>IFERROR(HLOOKUP(C577, 'S21 Routing Clustered'!$B$2:$I$18, A577+1, 0), "")</f>
        <v/>
      </c>
      <c r="E577" s="391" t="str">
        <f t="shared" si="28"/>
        <v/>
      </c>
      <c r="F577" s="3" t="str">
        <f>IF(E577="", "", VLOOKUP(B577, 'S14 ABC Output'!$A$3:$C$18, 3, 0))</f>
        <v/>
      </c>
      <c r="I577" s="392" t="str">
        <f t="shared" si="32"/>
        <v>WS-11</v>
      </c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</row>
    <row r="578" spans="1:53">
      <c r="A578" s="3">
        <v>13</v>
      </c>
      <c r="B578" s="125" t="str">
        <f>IFERROR(INDEX('S21 Routing Clustered'!$A$3:$A$18, A578), "")</f>
        <v>I-012</v>
      </c>
      <c r="C578" s="3">
        <v>130</v>
      </c>
      <c r="D578" s="391" t="str">
        <f>IFERROR(HLOOKUP(C578, 'S21 Routing Clustered'!$B$2:$I$18, A578+1, 0), "")</f>
        <v/>
      </c>
      <c r="E578" s="391" t="str">
        <f t="shared" si="28"/>
        <v/>
      </c>
      <c r="F578" s="3" t="str">
        <f>IF(E578="", "", VLOOKUP(B578, 'S14 ABC Output'!$A$3:$C$18, 3, 0))</f>
        <v/>
      </c>
      <c r="I578" s="392" t="str">
        <f t="shared" si="32"/>
        <v>WS-12</v>
      </c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</row>
    <row r="579" spans="1:53">
      <c r="A579" s="3">
        <v>13</v>
      </c>
      <c r="B579" s="125" t="str">
        <f>IFERROR(INDEX('S21 Routing Clustered'!$A$3:$A$18, A579), "")</f>
        <v>I-012</v>
      </c>
      <c r="C579" s="3">
        <v>140</v>
      </c>
      <c r="D579" s="391" t="str">
        <f>IFERROR(HLOOKUP(C579, 'S21 Routing Clustered'!$B$2:$I$18, A579+1, 0), "")</f>
        <v/>
      </c>
      <c r="E579" s="391" t="str">
        <f t="shared" ref="E579:E642" si="33">IF(D579="", "", D580)</f>
        <v/>
      </c>
      <c r="F579" s="3" t="str">
        <f>IF(E579="", "", VLOOKUP(B579, 'S14 ABC Output'!$A$3:$C$18, 3, 0))</f>
        <v/>
      </c>
      <c r="I579" s="392" t="str">
        <f t="shared" si="32"/>
        <v>WS-13</v>
      </c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</row>
    <row r="580" spans="1:53">
      <c r="A580" s="3">
        <v>13</v>
      </c>
      <c r="B580" s="125" t="str">
        <f>IFERROR(INDEX('S21 Routing Clustered'!$A$3:$A$18, A580), "")</f>
        <v>I-012</v>
      </c>
      <c r="C580" s="3">
        <v>150</v>
      </c>
      <c r="D580" s="391" t="str">
        <f>IFERROR(HLOOKUP(C580, 'S21 Routing Clustered'!$B$2:$I$18, A580+1, 0), "")</f>
        <v/>
      </c>
      <c r="E580" s="391" t="str">
        <f t="shared" si="33"/>
        <v/>
      </c>
      <c r="F580" s="3" t="str">
        <f>IF(E580="", "", VLOOKUP(B580, 'S14 ABC Output'!$A$3:$C$18, 3, 0))</f>
        <v/>
      </c>
      <c r="I580" s="392" t="str">
        <f t="shared" si="32"/>
        <v>WS-14</v>
      </c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</row>
    <row r="581" spans="1:53">
      <c r="A581" s="3">
        <v>13</v>
      </c>
      <c r="B581" s="125" t="str">
        <f>IFERROR(INDEX('S21 Routing Clustered'!$A$3:$A$18, A581), "")</f>
        <v>I-012</v>
      </c>
      <c r="C581" s="3">
        <v>160</v>
      </c>
      <c r="D581" s="391" t="str">
        <f>IFERROR(HLOOKUP(C581, 'S21 Routing Clustered'!$B$2:$I$18, A581+1, 0), "")</f>
        <v/>
      </c>
      <c r="E581" s="391" t="str">
        <f t="shared" si="33"/>
        <v/>
      </c>
      <c r="F581" s="3" t="str">
        <f>IF(E581="", "", VLOOKUP(B581, 'S14 ABC Output'!$A$3:$C$18, 3, 0))</f>
        <v/>
      </c>
      <c r="I581" s="392" t="str">
        <f t="shared" si="32"/>
        <v>WS-15</v>
      </c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</row>
    <row r="582" spans="1:53">
      <c r="A582" s="3">
        <v>13</v>
      </c>
      <c r="B582" s="125" t="str">
        <f>IFERROR(INDEX('S21 Routing Clustered'!$A$3:$A$18, A582), "")</f>
        <v>I-012</v>
      </c>
      <c r="C582" s="3">
        <v>170</v>
      </c>
      <c r="D582" s="391" t="str">
        <f>IFERROR(HLOOKUP(C582, 'S21 Routing Clustered'!$B$2:$I$18, A582+1, 0), "")</f>
        <v/>
      </c>
      <c r="E582" s="391" t="str">
        <f t="shared" si="33"/>
        <v/>
      </c>
      <c r="F582" s="3" t="str">
        <f>IF(E582="", "", VLOOKUP(B582, 'S14 ABC Output'!$A$3:$C$18, 3, 0))</f>
        <v/>
      </c>
      <c r="I582" s="392" t="str">
        <f t="shared" si="32"/>
        <v>WS-16</v>
      </c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</row>
    <row r="583" spans="1:53">
      <c r="A583" s="3">
        <v>13</v>
      </c>
      <c r="B583" s="125" t="str">
        <f>IFERROR(INDEX('S21 Routing Clustered'!$A$3:$A$18, A583), "")</f>
        <v>I-012</v>
      </c>
      <c r="C583" s="3">
        <v>180</v>
      </c>
      <c r="D583" s="391" t="str">
        <f>IFERROR(HLOOKUP(C583, 'S21 Routing Clustered'!$B$2:$I$18, A583+1, 0), "")</f>
        <v/>
      </c>
      <c r="E583" s="391" t="str">
        <f t="shared" si="33"/>
        <v/>
      </c>
      <c r="F583" s="3" t="str">
        <f>IF(E583="", "", VLOOKUP(B583, 'S14 ABC Output'!$A$3:$C$18, 3, 0))</f>
        <v/>
      </c>
      <c r="I583" s="392" t="str">
        <f t="shared" si="32"/>
        <v>WS-17</v>
      </c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</row>
    <row r="584" spans="1:53">
      <c r="A584" s="3">
        <v>13</v>
      </c>
      <c r="B584" s="125" t="str">
        <f>IFERROR(INDEX('S21 Routing Clustered'!$A$3:$A$18, A584), "")</f>
        <v>I-012</v>
      </c>
      <c r="C584" s="3">
        <v>190</v>
      </c>
      <c r="D584" s="391" t="str">
        <f>IFERROR(HLOOKUP(C584, 'S21 Routing Clustered'!$B$2:$I$18, A584+1, 0), "")</f>
        <v/>
      </c>
      <c r="E584" s="391" t="str">
        <f t="shared" si="33"/>
        <v/>
      </c>
      <c r="F584" s="3" t="str">
        <f>IF(E584="", "", VLOOKUP(B584, 'S14 ABC Output'!$A$3:$C$18, 3, 0))</f>
        <v/>
      </c>
      <c r="I584" s="392" t="str">
        <f t="shared" si="32"/>
        <v>WS-18</v>
      </c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</row>
    <row r="585" spans="1:53">
      <c r="A585" s="3">
        <v>13</v>
      </c>
      <c r="B585" s="125" t="str">
        <f>IFERROR(INDEX('S21 Routing Clustered'!$A$3:$A$18, A585), "")</f>
        <v>I-012</v>
      </c>
      <c r="C585" s="3">
        <v>200</v>
      </c>
      <c r="D585" s="391" t="str">
        <f>IFERROR(HLOOKUP(C585, 'S21 Routing Clustered'!$B$2:$I$18, A585+1, 0), "")</f>
        <v/>
      </c>
      <c r="E585" s="391" t="str">
        <f t="shared" si="33"/>
        <v/>
      </c>
      <c r="F585" s="3" t="str">
        <f>IF(E585="", "", VLOOKUP(B585, 'S14 ABC Output'!$A$3:$C$18, 3, 0))</f>
        <v/>
      </c>
      <c r="I585" s="392" t="str">
        <f t="shared" si="32"/>
        <v>WS-19</v>
      </c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</row>
    <row r="586" spans="1:53">
      <c r="A586" s="3">
        <v>13</v>
      </c>
      <c r="B586" s="125" t="str">
        <f>IFERROR(INDEX('S21 Routing Clustered'!$A$3:$A$18, A586), "")</f>
        <v>I-012</v>
      </c>
      <c r="C586" s="3">
        <v>210</v>
      </c>
      <c r="D586" s="391" t="str">
        <f>IFERROR(HLOOKUP(C586, 'S21 Routing Clustered'!$B$2:$I$18, A586+1, 0), "")</f>
        <v/>
      </c>
      <c r="E586" s="391" t="str">
        <f t="shared" si="33"/>
        <v/>
      </c>
      <c r="F586" s="3" t="str">
        <f>IF(E586="", "", VLOOKUP(B586, 'S14 ABC Output'!$A$3:$C$18, 3, 0))</f>
        <v/>
      </c>
      <c r="I586" s="392" t="str">
        <f t="shared" si="32"/>
        <v>WS-20</v>
      </c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>
        <v>50689</v>
      </c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</row>
    <row r="587" spans="1:53">
      <c r="A587" s="3">
        <v>13</v>
      </c>
      <c r="B587" s="125" t="str">
        <f>IFERROR(INDEX('S21 Routing Clustered'!$A$3:$A$18, A587), "")</f>
        <v>I-012</v>
      </c>
      <c r="C587" s="3">
        <v>220</v>
      </c>
      <c r="D587" s="391" t="str">
        <f>IFERROR(HLOOKUP(C587, 'S21 Routing Clustered'!$B$2:$I$18, A587+1, 0), "")</f>
        <v/>
      </c>
      <c r="E587" s="391" t="str">
        <f t="shared" si="33"/>
        <v/>
      </c>
      <c r="F587" s="3" t="str">
        <f>IF(E587="", "", VLOOKUP(B587, 'S14 ABC Output'!$A$3:$C$18, 3, 0))</f>
        <v/>
      </c>
      <c r="I587" s="392" t="str">
        <f t="shared" si="32"/>
        <v>WS-21</v>
      </c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</row>
    <row r="588" spans="1:53">
      <c r="A588" s="3">
        <v>13</v>
      </c>
      <c r="B588" s="125" t="str">
        <f>IFERROR(INDEX('S21 Routing Clustered'!$A$3:$A$18, A588), "")</f>
        <v>I-012</v>
      </c>
      <c r="C588" s="3">
        <v>230</v>
      </c>
      <c r="D588" s="391" t="str">
        <f>IFERROR(HLOOKUP(C588, 'S21 Routing Clustered'!$B$2:$I$18, A588+1, 0), "")</f>
        <v/>
      </c>
      <c r="E588" s="391" t="str">
        <f t="shared" si="33"/>
        <v/>
      </c>
      <c r="F588" s="3" t="str">
        <f>IF(E588="", "", VLOOKUP(B588, 'S14 ABC Output'!$A$3:$C$18, 3, 0))</f>
        <v/>
      </c>
      <c r="I588" s="392" t="str">
        <f t="shared" si="32"/>
        <v>WS-22</v>
      </c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</row>
    <row r="589" spans="1:53">
      <c r="A589" s="3">
        <v>13</v>
      </c>
      <c r="B589" s="125" t="str">
        <f>IFERROR(INDEX('S21 Routing Clustered'!$A$3:$A$18, A589), "")</f>
        <v>I-012</v>
      </c>
      <c r="C589" s="3">
        <v>240</v>
      </c>
      <c r="D589" s="391" t="str">
        <f>IFERROR(HLOOKUP(C589, 'S21 Routing Clustered'!$B$2:$I$18, A589+1, 0), "")</f>
        <v/>
      </c>
      <c r="E589" s="391" t="str">
        <f t="shared" si="33"/>
        <v/>
      </c>
      <c r="F589" s="3" t="str">
        <f>IF(E589="", "", VLOOKUP(B589, 'S14 ABC Output'!$A$3:$C$18, 3, 0))</f>
        <v/>
      </c>
      <c r="I589" s="392" t="str">
        <f t="shared" si="32"/>
        <v>WS-23</v>
      </c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</row>
    <row r="590" spans="1:53">
      <c r="A590" s="3">
        <v>13</v>
      </c>
      <c r="B590" s="125" t="str">
        <f>IFERROR(INDEX('S21 Routing Clustered'!$A$3:$A$18, A590), "")</f>
        <v>I-012</v>
      </c>
      <c r="C590" s="3">
        <v>250</v>
      </c>
      <c r="D590" s="391" t="str">
        <f>IFERROR(HLOOKUP(C590, 'S21 Routing Clustered'!$B$2:$I$18, A590+1, 0), "")</f>
        <v/>
      </c>
      <c r="E590" s="391" t="str">
        <f t="shared" si="33"/>
        <v/>
      </c>
      <c r="F590" s="3" t="str">
        <f>IF(E590="", "", VLOOKUP(B590, 'S14 ABC Output'!$A$3:$C$18, 3, 0))</f>
        <v/>
      </c>
      <c r="I590" s="392" t="str">
        <f t="shared" si="32"/>
        <v>WS-24</v>
      </c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</row>
    <row r="591" spans="1:53">
      <c r="A591" s="3">
        <v>13</v>
      </c>
      <c r="B591" s="125" t="str">
        <f>IFERROR(INDEX('S21 Routing Clustered'!$A$3:$A$18, A591), "")</f>
        <v>I-012</v>
      </c>
      <c r="C591" s="3">
        <v>260</v>
      </c>
      <c r="D591" s="391" t="str">
        <f>IFERROR(HLOOKUP(C591, 'S21 Routing Clustered'!$B$2:$I$18, A591+1, 0), "")</f>
        <v/>
      </c>
      <c r="E591" s="391" t="str">
        <f t="shared" si="33"/>
        <v/>
      </c>
      <c r="F591" s="3" t="str">
        <f>IF(E591="", "", VLOOKUP(B591, 'S14 ABC Output'!$A$3:$C$18, 3, 0))</f>
        <v/>
      </c>
      <c r="I591" s="392" t="str">
        <f t="shared" si="32"/>
        <v>WS-25</v>
      </c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</row>
    <row r="592" spans="1:53">
      <c r="A592" s="3">
        <v>13</v>
      </c>
      <c r="B592" s="125" t="str">
        <f>IFERROR(INDEX('S21 Routing Clustered'!$A$3:$A$18, A592), "")</f>
        <v>I-012</v>
      </c>
      <c r="C592" s="3">
        <v>270</v>
      </c>
      <c r="D592" s="391" t="str">
        <f>IFERROR(HLOOKUP(C592, 'S21 Routing Clustered'!$B$2:$I$18, A592+1, 0), "")</f>
        <v/>
      </c>
      <c r="E592" s="391" t="str">
        <f t="shared" si="33"/>
        <v/>
      </c>
      <c r="F592" s="3" t="str">
        <f>IF(E592="", "", VLOOKUP(B592, 'S14 ABC Output'!$A$3:$C$18, 3, 0))</f>
        <v/>
      </c>
      <c r="I592" s="392" t="str">
        <f t="shared" si="32"/>
        <v>WS-26</v>
      </c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>
        <v>50689</v>
      </c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</row>
    <row r="593" spans="1:53">
      <c r="A593" s="3">
        <v>13</v>
      </c>
      <c r="B593" s="125" t="str">
        <f>IFERROR(INDEX('S21 Routing Clustered'!$A$3:$A$18, A593), "")</f>
        <v>I-012</v>
      </c>
      <c r="C593" s="3">
        <v>280</v>
      </c>
      <c r="D593" s="391" t="str">
        <f>IFERROR(HLOOKUP(C593, 'S21 Routing Clustered'!$B$2:$I$18, A593+1, 0), "")</f>
        <v/>
      </c>
      <c r="E593" s="391" t="str">
        <f t="shared" si="33"/>
        <v/>
      </c>
      <c r="F593" s="3" t="str">
        <f>IF(E593="", "", VLOOKUP(B593, 'S14 ABC Output'!$A$3:$C$18, 3, 0))</f>
        <v/>
      </c>
      <c r="I593" s="392" t="str">
        <f t="shared" si="32"/>
        <v>WS-27</v>
      </c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</row>
    <row r="594" spans="1:53">
      <c r="A594" s="3">
        <v>13</v>
      </c>
      <c r="B594" s="125" t="str">
        <f>IFERROR(INDEX('S21 Routing Clustered'!$A$3:$A$18, A594), "")</f>
        <v>I-012</v>
      </c>
      <c r="C594" s="3">
        <v>290</v>
      </c>
      <c r="D594" s="391" t="str">
        <f>IFERROR(HLOOKUP(C594, 'S21 Routing Clustered'!$B$2:$I$18, A594+1, 0), "")</f>
        <v/>
      </c>
      <c r="E594" s="391" t="str">
        <f t="shared" si="33"/>
        <v/>
      </c>
      <c r="F594" s="3" t="str">
        <f>IF(E594="", "", VLOOKUP(B594, 'S14 ABC Output'!$A$3:$C$18, 3, 0))</f>
        <v/>
      </c>
      <c r="I594" s="392" t="str">
        <f t="shared" si="32"/>
        <v>WS-28</v>
      </c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</row>
    <row r="595" spans="1:53">
      <c r="A595" s="3">
        <v>13</v>
      </c>
      <c r="B595" s="125" t="str">
        <f>IFERROR(INDEX('S21 Routing Clustered'!$A$3:$A$18, A595), "")</f>
        <v>I-012</v>
      </c>
      <c r="C595" s="3">
        <v>300</v>
      </c>
      <c r="D595" s="391" t="str">
        <f>IFERROR(HLOOKUP(C595, 'S21 Routing Clustered'!$B$2:$I$18, A595+1, 0), "")</f>
        <v/>
      </c>
      <c r="E595" s="391" t="str">
        <f t="shared" si="33"/>
        <v/>
      </c>
      <c r="F595" s="3" t="str">
        <f>IF(E595="", "", VLOOKUP(B595, 'S14 ABC Output'!$A$3:$C$18, 3, 0))</f>
        <v/>
      </c>
      <c r="I595" s="392" t="str">
        <f t="shared" si="32"/>
        <v>WS-29</v>
      </c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</row>
    <row r="596" spans="1:53">
      <c r="A596" s="3">
        <v>13</v>
      </c>
      <c r="B596" s="125" t="str">
        <f>IFERROR(INDEX('S21 Routing Clustered'!$A$3:$A$18, A596), "")</f>
        <v>I-012</v>
      </c>
      <c r="C596" s="3">
        <v>310</v>
      </c>
      <c r="D596" s="391" t="str">
        <f>IFERROR(HLOOKUP(C596, 'S21 Routing Clustered'!$B$2:$I$18, A596+1, 0), "")</f>
        <v/>
      </c>
      <c r="E596" s="391" t="str">
        <f t="shared" si="33"/>
        <v/>
      </c>
      <c r="F596" s="3" t="str">
        <f>IF(E596="", "", VLOOKUP(B596, 'S14 ABC Output'!$A$3:$C$18, 3, 0))</f>
        <v/>
      </c>
      <c r="I596" s="392" t="str">
        <f t="shared" si="32"/>
        <v>WS-30</v>
      </c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</row>
    <row r="597" spans="1:53">
      <c r="A597" s="3">
        <v>13</v>
      </c>
      <c r="B597" s="125" t="str">
        <f>IFERROR(INDEX('S21 Routing Clustered'!$A$3:$A$18, A597), "")</f>
        <v>I-012</v>
      </c>
      <c r="C597" s="3">
        <v>320</v>
      </c>
      <c r="D597" s="391" t="str">
        <f>IFERROR(HLOOKUP(C597, 'S21 Routing Clustered'!$B$2:$I$18, A597+1, 0), "")</f>
        <v/>
      </c>
      <c r="E597" s="391" t="str">
        <f t="shared" si="33"/>
        <v/>
      </c>
      <c r="F597" s="3" t="str">
        <f>IF(E597="", "", VLOOKUP(B597, 'S14 ABC Output'!$A$3:$C$18, 3, 0))</f>
        <v/>
      </c>
      <c r="I597" s="392" t="str">
        <f t="shared" si="32"/>
        <v>WS-31</v>
      </c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</row>
    <row r="598" spans="1:53">
      <c r="A598" s="3">
        <v>13</v>
      </c>
      <c r="B598" s="125" t="str">
        <f>IFERROR(INDEX('S21 Routing Clustered'!$A$3:$A$18, A598), "")</f>
        <v>I-012</v>
      </c>
      <c r="C598" s="3">
        <v>330</v>
      </c>
      <c r="D598" s="391" t="str">
        <f>IFERROR(HLOOKUP(C598, 'S21 Routing Clustered'!$B$2:$I$18, A598+1, 0), "")</f>
        <v/>
      </c>
      <c r="E598" s="391" t="str">
        <f t="shared" si="33"/>
        <v/>
      </c>
      <c r="F598" s="3" t="str">
        <f>IF(E598="", "", VLOOKUP(B598, 'S14 ABC Output'!$A$3:$C$18, 3, 0))</f>
        <v/>
      </c>
      <c r="I598" s="392" t="str">
        <f t="shared" si="32"/>
        <v>WS-32</v>
      </c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>
        <v>50689</v>
      </c>
    </row>
    <row r="599" spans="1:53">
      <c r="A599" s="3">
        <v>13</v>
      </c>
      <c r="B599" s="125" t="str">
        <f>IFERROR(INDEX('S21 Routing Clustered'!$A$3:$A$18, A599), "")</f>
        <v>I-012</v>
      </c>
      <c r="C599" s="3">
        <v>340</v>
      </c>
      <c r="D599" s="391" t="str">
        <f>IFERROR(HLOOKUP(C599, 'S21 Routing Clustered'!$B$2:$I$18, A599+1, 0), "")</f>
        <v/>
      </c>
      <c r="E599" s="391" t="str">
        <f t="shared" si="33"/>
        <v/>
      </c>
      <c r="F599" s="3" t="str">
        <f>IF(E599="", "", VLOOKUP(B599, 'S14 ABC Output'!$A$3:$C$18, 3, 0))</f>
        <v/>
      </c>
      <c r="I599" s="392" t="str">
        <f t="shared" si="32"/>
        <v>WS-33</v>
      </c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</row>
    <row r="600" spans="1:53">
      <c r="A600" s="3">
        <v>13</v>
      </c>
      <c r="B600" s="125" t="str">
        <f>IFERROR(INDEX('S21 Routing Clustered'!$A$3:$A$18, A600), "")</f>
        <v>I-012</v>
      </c>
      <c r="C600" s="3">
        <v>350</v>
      </c>
      <c r="D600" s="391" t="str">
        <f>IFERROR(HLOOKUP(C600, 'S21 Routing Clustered'!$B$2:$I$18, A600+1, 0), "")</f>
        <v/>
      </c>
      <c r="E600" s="391" t="str">
        <f t="shared" si="33"/>
        <v/>
      </c>
      <c r="F600" s="3" t="str">
        <f>IF(E600="", "", VLOOKUP(B600, 'S14 ABC Output'!$A$3:$C$18, 3, 0))</f>
        <v/>
      </c>
      <c r="I600" s="392" t="str">
        <f t="shared" si="32"/>
        <v>WS-34</v>
      </c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</row>
    <row r="601" spans="1:53">
      <c r="A601" s="3">
        <v>13</v>
      </c>
      <c r="B601" s="125" t="str">
        <f>IFERROR(INDEX('S21 Routing Clustered'!$A$3:$A$18, A601), "")</f>
        <v>I-012</v>
      </c>
      <c r="C601" s="3">
        <v>360</v>
      </c>
      <c r="D601" s="391" t="str">
        <f>IFERROR(HLOOKUP(C601, 'S21 Routing Clustered'!$B$2:$I$18, A601+1, 0), "")</f>
        <v/>
      </c>
      <c r="E601" s="391" t="str">
        <f t="shared" si="33"/>
        <v/>
      </c>
      <c r="F601" s="3" t="str">
        <f>IF(E601="", "", VLOOKUP(B601, 'S14 ABC Output'!$A$3:$C$18, 3, 0))</f>
        <v/>
      </c>
      <c r="I601" s="392" t="str">
        <f t="shared" si="32"/>
        <v>WS-35</v>
      </c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</row>
    <row r="602" spans="1:53">
      <c r="A602" s="3">
        <v>13</v>
      </c>
      <c r="B602" s="125" t="str">
        <f>IFERROR(INDEX('S21 Routing Clustered'!$A$3:$A$18, A602), "")</f>
        <v>I-012</v>
      </c>
      <c r="C602" s="3">
        <v>370</v>
      </c>
      <c r="D602" s="391" t="str">
        <f>IFERROR(HLOOKUP(C602, 'S21 Routing Clustered'!$B$2:$I$18, A602+1, 0), "")</f>
        <v/>
      </c>
      <c r="E602" s="391" t="str">
        <f t="shared" si="33"/>
        <v/>
      </c>
      <c r="F602" s="3" t="str">
        <f>IF(E602="", "", VLOOKUP(B602, 'S14 ABC Output'!$A$3:$C$18, 3, 0))</f>
        <v/>
      </c>
      <c r="I602" s="392" t="str">
        <f t="shared" si="32"/>
        <v>WS-36</v>
      </c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</row>
    <row r="603" spans="1:53">
      <c r="A603" s="3">
        <v>13</v>
      </c>
      <c r="B603" s="125" t="str">
        <f>IFERROR(INDEX('S21 Routing Clustered'!$A$3:$A$18, A603), "")</f>
        <v>I-012</v>
      </c>
      <c r="C603" s="3">
        <v>380</v>
      </c>
      <c r="D603" s="391" t="str">
        <f>IFERROR(HLOOKUP(C603, 'S21 Routing Clustered'!$B$2:$I$18, A603+1, 0), "")</f>
        <v/>
      </c>
      <c r="E603" s="391" t="str">
        <f t="shared" si="33"/>
        <v/>
      </c>
      <c r="F603" s="3" t="str">
        <f>IF(E603="", "", VLOOKUP(B603, 'S14 ABC Output'!$A$3:$C$18, 3, 0))</f>
        <v/>
      </c>
      <c r="I603" s="392" t="str">
        <f t="shared" si="32"/>
        <v>WS-37</v>
      </c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</row>
    <row r="604" spans="1:53">
      <c r="A604" s="3">
        <v>13</v>
      </c>
      <c r="B604" s="125" t="str">
        <f>IFERROR(INDEX('S21 Routing Clustered'!$A$3:$A$18, A604), "")</f>
        <v>I-012</v>
      </c>
      <c r="C604" s="3">
        <v>390</v>
      </c>
      <c r="D604" s="391" t="str">
        <f>IFERROR(HLOOKUP(C604, 'S21 Routing Clustered'!$B$2:$I$18, A604+1, 0), "")</f>
        <v/>
      </c>
      <c r="E604" s="391" t="str">
        <f t="shared" si="33"/>
        <v/>
      </c>
      <c r="F604" s="3" t="str">
        <f>IF(E604="", "", VLOOKUP(B604, 'S14 ABC Output'!$A$3:$C$18, 3, 0))</f>
        <v/>
      </c>
      <c r="I604" s="392" t="str">
        <f t="shared" si="32"/>
        <v>WS-38</v>
      </c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</row>
    <row r="605" spans="1:53">
      <c r="A605" s="3">
        <v>13</v>
      </c>
      <c r="B605" s="125" t="str">
        <f>IFERROR(INDEX('S21 Routing Clustered'!$A$3:$A$18, A605), "")</f>
        <v>I-012</v>
      </c>
      <c r="C605" s="3">
        <v>400</v>
      </c>
      <c r="D605" s="391" t="str">
        <f>IFERROR(HLOOKUP(C605, 'S21 Routing Clustered'!$B$2:$I$18, A605+1, 0), "")</f>
        <v/>
      </c>
      <c r="E605" s="391" t="str">
        <f t="shared" si="33"/>
        <v/>
      </c>
      <c r="F605" s="3" t="str">
        <f>IF(E605="", "", VLOOKUP(B605, 'S14 ABC Output'!$A$3:$C$18, 3, 0))</f>
        <v/>
      </c>
      <c r="I605" s="392" t="str">
        <f t="shared" si="32"/>
        <v>WS-39</v>
      </c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</row>
    <row r="606" spans="1:53">
      <c r="A606" s="3">
        <v>13</v>
      </c>
      <c r="B606" s="125" t="str">
        <f>IFERROR(INDEX('S21 Routing Clustered'!$A$3:$A$18, A606), "")</f>
        <v>I-012</v>
      </c>
      <c r="C606" s="3">
        <v>410</v>
      </c>
      <c r="D606" s="391" t="str">
        <f>IFERROR(HLOOKUP(C606, 'S21 Routing Clustered'!$B$2:$I$18, A606+1, 0), "")</f>
        <v/>
      </c>
      <c r="E606" s="391" t="str">
        <f t="shared" si="33"/>
        <v/>
      </c>
      <c r="F606" s="3" t="str">
        <f>IF(E606="", "", VLOOKUP(B606, 'S14 ABC Output'!$A$3:$C$18, 3, 0))</f>
        <v/>
      </c>
      <c r="I606" s="392" t="str">
        <f t="shared" si="32"/>
        <v>WS-40</v>
      </c>
      <c r="J606" s="3"/>
      <c r="K606" s="3"/>
      <c r="L606" s="3"/>
      <c r="M606" s="3"/>
      <c r="N606" s="3"/>
      <c r="O606" s="3"/>
      <c r="P606" s="3">
        <v>50689</v>
      </c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</row>
    <row r="607" spans="1:53">
      <c r="A607" s="3">
        <v>13</v>
      </c>
      <c r="B607" s="125" t="str">
        <f>IFERROR(INDEX('S21 Routing Clustered'!$A$3:$A$18, A607), "")</f>
        <v>I-012</v>
      </c>
      <c r="C607" s="3">
        <v>420</v>
      </c>
      <c r="D607" s="391" t="str">
        <f>IFERROR(HLOOKUP(C607, 'S21 Routing Clustered'!$B$2:$I$18, A607+1, 0), "")</f>
        <v/>
      </c>
      <c r="E607" s="391" t="str">
        <f t="shared" si="33"/>
        <v/>
      </c>
      <c r="F607" s="3" t="str">
        <f>IF(E607="", "", VLOOKUP(B607, 'S14 ABC Output'!$A$3:$C$18, 3, 0))</f>
        <v/>
      </c>
      <c r="I607" s="392" t="str">
        <f t="shared" si="32"/>
        <v>WS-41</v>
      </c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</row>
    <row r="608" spans="1:53">
      <c r="A608" s="3">
        <v>13</v>
      </c>
      <c r="B608" s="125" t="str">
        <f>IFERROR(INDEX('S21 Routing Clustered'!$A$3:$A$18, A608), "")</f>
        <v>I-012</v>
      </c>
      <c r="C608" s="3">
        <v>430</v>
      </c>
      <c r="D608" s="391" t="str">
        <f>IFERROR(HLOOKUP(C608, 'S21 Routing Clustered'!$B$2:$I$18, A608+1, 0), "")</f>
        <v/>
      </c>
      <c r="E608" s="391" t="str">
        <f t="shared" si="33"/>
        <v/>
      </c>
      <c r="F608" s="3" t="str">
        <f>IF(E608="", "", VLOOKUP(B608, 'S14 ABC Output'!$A$3:$C$18, 3, 0))</f>
        <v/>
      </c>
      <c r="I608" s="392" t="str">
        <f t="shared" si="32"/>
        <v>WS-42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</row>
    <row r="609" spans="1:53">
      <c r="A609" s="3">
        <v>13</v>
      </c>
      <c r="B609" s="125" t="str">
        <f>IFERROR(INDEX('S21 Routing Clustered'!$A$3:$A$18, A609), "")</f>
        <v>I-012</v>
      </c>
      <c r="C609" s="3">
        <v>440</v>
      </c>
      <c r="D609" s="391" t="str">
        <f>IFERROR(HLOOKUP(C609, 'S21 Routing Clustered'!$B$2:$I$18, A609+1, 0), "")</f>
        <v/>
      </c>
      <c r="E609" s="391" t="str">
        <f t="shared" si="33"/>
        <v/>
      </c>
      <c r="F609" s="3" t="str">
        <f>IF(E609="", "", VLOOKUP(B609, 'S14 ABC Output'!$A$3:$C$18, 3, 0))</f>
        <v/>
      </c>
      <c r="I609" s="392" t="str">
        <f t="shared" si="32"/>
        <v>WS-43</v>
      </c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>
        <v>50689</v>
      </c>
      <c r="AX609" s="3"/>
      <c r="AY609" s="3"/>
      <c r="AZ609" s="3"/>
      <c r="BA609" s="3"/>
    </row>
    <row r="610" spans="1:53">
      <c r="A610" s="3">
        <v>13</v>
      </c>
      <c r="B610" s="125" t="str">
        <f>IFERROR(INDEX('S21 Routing Clustered'!$A$3:$A$18, A610), "")</f>
        <v>I-012</v>
      </c>
      <c r="C610" s="3">
        <v>450</v>
      </c>
      <c r="D610" s="391" t="str">
        <f>IFERROR(HLOOKUP(C610, 'S21 Routing Clustered'!$B$2:$I$18, A610+1, 0), "")</f>
        <v/>
      </c>
      <c r="E610" s="391" t="str">
        <f t="shared" si="33"/>
        <v/>
      </c>
      <c r="F610" s="3" t="str">
        <f>IF(E610="", "", VLOOKUP(B610, 'S14 ABC Output'!$A$3:$C$18, 3, 0))</f>
        <v/>
      </c>
      <c r="I610" s="392" t="str">
        <f t="shared" si="32"/>
        <v>WS-44</v>
      </c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</row>
    <row r="611" spans="1:53">
      <c r="B611" s="125" t="str">
        <f>IFERROR(INDEX('S21 Routing Clustered'!$A$3:$A$18, A611), "")</f>
        <v/>
      </c>
      <c r="D611" s="391" t="str">
        <f>IFERROR(HLOOKUP(C611, 'S21 Routing Clustered'!$B$2:$I$18, A611+1, 0), "")</f>
        <v/>
      </c>
      <c r="E611" s="391" t="str">
        <f t="shared" si="33"/>
        <v/>
      </c>
      <c r="F611" s="3" t="str">
        <f>IF(E611="", "", VLOOKUP(B611, 'S14 ABC Output'!$A$3:$C$18, 3, 0))</f>
        <v/>
      </c>
      <c r="I611" s="392"/>
    </row>
    <row r="612" spans="1:53">
      <c r="B612" s="125" t="str">
        <f>IFERROR(INDEX('S21 Routing Clustered'!$A$3:$A$18, A612), "")</f>
        <v/>
      </c>
      <c r="D612" s="391" t="str">
        <f>IFERROR(HLOOKUP(C612, 'S21 Routing Clustered'!$B$2:$I$18, A612+1, 0), "")</f>
        <v/>
      </c>
      <c r="E612" s="391" t="str">
        <f t="shared" si="33"/>
        <v/>
      </c>
      <c r="F612" s="3" t="str">
        <f>IF(E612="", "", VLOOKUP(B612, 'S14 ABC Output'!$A$3:$C$18, 3, 0))</f>
        <v/>
      </c>
      <c r="I612" s="392"/>
    </row>
    <row r="613" spans="1:53">
      <c r="A613" s="3">
        <v>14</v>
      </c>
      <c r="B613" s="125" t="str">
        <f>IFERROR(INDEX('S21 Routing Clustered'!$A$3:$A$18, A613), "")</f>
        <v>I-052</v>
      </c>
      <c r="C613" s="3">
        <v>10</v>
      </c>
      <c r="D613" s="391" t="str">
        <f>IFERROR(HLOOKUP(C613, 'S21 Routing Clustered'!$B$2:$I$18, A613+1, 0), "")</f>
        <v>WS-43</v>
      </c>
      <c r="E613" s="391" t="str">
        <f t="shared" si="33"/>
        <v>WS-40</v>
      </c>
      <c r="F613" s="3">
        <f>IF(E613="", "", VLOOKUP(B613, 'S14 ABC Output'!$A$3:$C$18, 3, 0))</f>
        <v>85612</v>
      </c>
      <c r="I613" s="392"/>
      <c r="J613" s="392" t="str">
        <f>J566</f>
        <v>WS-01</v>
      </c>
      <c r="K613" s="392" t="str">
        <f t="shared" ref="K613:BA613" si="34">K566</f>
        <v>WS-02</v>
      </c>
      <c r="L613" s="392" t="str">
        <f t="shared" si="34"/>
        <v>WS-03</v>
      </c>
      <c r="M613" s="392" t="str">
        <f t="shared" si="34"/>
        <v>WS-04</v>
      </c>
      <c r="N613" s="392" t="str">
        <f t="shared" si="34"/>
        <v>WS-05</v>
      </c>
      <c r="O613" s="392" t="str">
        <f t="shared" si="34"/>
        <v>WS-06</v>
      </c>
      <c r="P613" s="392" t="str">
        <f t="shared" si="34"/>
        <v>WS-07</v>
      </c>
      <c r="Q613" s="392" t="str">
        <f t="shared" si="34"/>
        <v>WS-08</v>
      </c>
      <c r="R613" s="392" t="str">
        <f t="shared" si="34"/>
        <v>WS-09</v>
      </c>
      <c r="S613" s="392" t="str">
        <f t="shared" si="34"/>
        <v>WS-10</v>
      </c>
      <c r="T613" s="392" t="str">
        <f t="shared" si="34"/>
        <v>WS-11</v>
      </c>
      <c r="U613" s="392" t="str">
        <f t="shared" si="34"/>
        <v>WS-12</v>
      </c>
      <c r="V613" s="392" t="str">
        <f t="shared" si="34"/>
        <v>WS-13</v>
      </c>
      <c r="W613" s="392" t="str">
        <f t="shared" si="34"/>
        <v>WS-14</v>
      </c>
      <c r="X613" s="392" t="str">
        <f t="shared" si="34"/>
        <v>WS-15</v>
      </c>
      <c r="Y613" s="392" t="str">
        <f t="shared" si="34"/>
        <v>WS-16</v>
      </c>
      <c r="Z613" s="392" t="str">
        <f t="shared" si="34"/>
        <v>WS-17</v>
      </c>
      <c r="AA613" s="392" t="str">
        <f t="shared" si="34"/>
        <v>WS-18</v>
      </c>
      <c r="AB613" s="392" t="str">
        <f t="shared" si="34"/>
        <v>WS-19</v>
      </c>
      <c r="AC613" s="392" t="str">
        <f t="shared" si="34"/>
        <v>WS-20</v>
      </c>
      <c r="AD613" s="392" t="str">
        <f t="shared" si="34"/>
        <v>WS-21</v>
      </c>
      <c r="AE613" s="392" t="str">
        <f t="shared" si="34"/>
        <v>WS-22</v>
      </c>
      <c r="AF613" s="392" t="str">
        <f t="shared" si="34"/>
        <v>WS-23</v>
      </c>
      <c r="AG613" s="392" t="str">
        <f t="shared" si="34"/>
        <v>WS-24</v>
      </c>
      <c r="AH613" s="392" t="str">
        <f t="shared" si="34"/>
        <v>WS-25</v>
      </c>
      <c r="AI613" s="392" t="str">
        <f t="shared" si="34"/>
        <v>WS-26</v>
      </c>
      <c r="AJ613" s="392" t="str">
        <f t="shared" si="34"/>
        <v>WS-27</v>
      </c>
      <c r="AK613" s="392" t="str">
        <f t="shared" si="34"/>
        <v>WS-28</v>
      </c>
      <c r="AL613" s="392" t="str">
        <f t="shared" si="34"/>
        <v>WS-29</v>
      </c>
      <c r="AM613" s="392" t="str">
        <f t="shared" si="34"/>
        <v>WS-30</v>
      </c>
      <c r="AN613" s="392" t="str">
        <f t="shared" si="34"/>
        <v>WS-31</v>
      </c>
      <c r="AO613" s="392" t="str">
        <f t="shared" si="34"/>
        <v>WS-32</v>
      </c>
      <c r="AP613" s="392" t="str">
        <f t="shared" si="34"/>
        <v>WS-33</v>
      </c>
      <c r="AQ613" s="392" t="str">
        <f t="shared" si="34"/>
        <v>WS-34</v>
      </c>
      <c r="AR613" s="392" t="str">
        <f t="shared" si="34"/>
        <v>WS-35</v>
      </c>
      <c r="AS613" s="392" t="str">
        <f t="shared" si="34"/>
        <v>WS-36</v>
      </c>
      <c r="AT613" s="392" t="str">
        <f t="shared" si="34"/>
        <v>WS-37</v>
      </c>
      <c r="AU613" s="392" t="str">
        <f t="shared" si="34"/>
        <v>WS-38</v>
      </c>
      <c r="AV613" s="392" t="str">
        <f t="shared" si="34"/>
        <v>WS-39</v>
      </c>
      <c r="AW613" s="392" t="str">
        <f t="shared" si="34"/>
        <v>WS-40</v>
      </c>
      <c r="AX613" s="392" t="str">
        <f t="shared" si="34"/>
        <v>WS-41</v>
      </c>
      <c r="AY613" s="392" t="str">
        <f t="shared" si="34"/>
        <v>WS-42</v>
      </c>
      <c r="AZ613" s="392" t="str">
        <f t="shared" si="34"/>
        <v>WS-43</v>
      </c>
      <c r="BA613" s="392" t="str">
        <f t="shared" si="34"/>
        <v>WS-44</v>
      </c>
    </row>
    <row r="614" spans="1:53">
      <c r="A614" s="3">
        <v>14</v>
      </c>
      <c r="B614" s="125" t="str">
        <f>IFERROR(INDEX('S21 Routing Clustered'!$A$3:$A$18, A614), "")</f>
        <v>I-052</v>
      </c>
      <c r="C614" s="3">
        <v>20</v>
      </c>
      <c r="D614" s="391" t="str">
        <f>IFERROR(HLOOKUP(C614, 'S21 Routing Clustered'!$B$2:$I$18, A614+1, 0), "")</f>
        <v>WS-40</v>
      </c>
      <c r="E614" s="391" t="str">
        <f t="shared" si="33"/>
        <v>WS-07</v>
      </c>
      <c r="F614" s="3">
        <f>IF(E614="", "", VLOOKUP(B614, 'S14 ABC Output'!$A$3:$C$18, 3, 0))</f>
        <v>85612</v>
      </c>
      <c r="I614" s="392" t="str">
        <f>I567</f>
        <v>WS-01</v>
      </c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</row>
    <row r="615" spans="1:53">
      <c r="A615" s="3">
        <v>14</v>
      </c>
      <c r="B615" s="125" t="str">
        <f>IFERROR(INDEX('S21 Routing Clustered'!$A$3:$A$18, A615), "")</f>
        <v>I-052</v>
      </c>
      <c r="C615" s="3">
        <v>30</v>
      </c>
      <c r="D615" s="391" t="str">
        <f>IFERROR(HLOOKUP(C615, 'S21 Routing Clustered'!$B$2:$I$18, A615+1, 0), "")</f>
        <v>WS-07</v>
      </c>
      <c r="E615" s="391" t="str">
        <f t="shared" si="33"/>
        <v>WS-08</v>
      </c>
      <c r="F615" s="3">
        <f>IF(E615="", "", VLOOKUP(B615, 'S14 ABC Output'!$A$3:$C$18, 3, 0))</f>
        <v>85612</v>
      </c>
      <c r="I615" s="392" t="str">
        <f t="shared" ref="I615:I657" si="35">I568</f>
        <v>WS-02</v>
      </c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</row>
    <row r="616" spans="1:53">
      <c r="A616" s="3">
        <v>14</v>
      </c>
      <c r="B616" s="125" t="str">
        <f>IFERROR(INDEX('S21 Routing Clustered'!$A$3:$A$18, A616), "")</f>
        <v>I-052</v>
      </c>
      <c r="C616" s="3">
        <v>40</v>
      </c>
      <c r="D616" s="391" t="str">
        <f>IFERROR(HLOOKUP(C616, 'S21 Routing Clustered'!$B$2:$I$18, A616+1, 0), "")</f>
        <v>WS-08</v>
      </c>
      <c r="E616" s="391" t="str">
        <f t="shared" si="33"/>
        <v>WS-20</v>
      </c>
      <c r="F616" s="3">
        <f>IF(E616="", "", VLOOKUP(B616, 'S14 ABC Output'!$A$3:$C$18, 3, 0))</f>
        <v>85612</v>
      </c>
      <c r="I616" s="392" t="str">
        <f t="shared" si="35"/>
        <v>WS-03</v>
      </c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</row>
    <row r="617" spans="1:53">
      <c r="A617" s="3">
        <v>14</v>
      </c>
      <c r="B617" s="125" t="str">
        <f>IFERROR(INDEX('S21 Routing Clustered'!$A$3:$A$18, A617), "")</f>
        <v>I-052</v>
      </c>
      <c r="C617" s="3">
        <v>50</v>
      </c>
      <c r="D617" s="391" t="str">
        <f>IFERROR(HLOOKUP(C617, 'S21 Routing Clustered'!$B$2:$I$18, A617+1, 0), "")</f>
        <v>WS-20</v>
      </c>
      <c r="E617" s="391" t="str">
        <f t="shared" si="33"/>
        <v>WS-26</v>
      </c>
      <c r="F617" s="3">
        <f>IF(E617="", "", VLOOKUP(B617, 'S14 ABC Output'!$A$3:$C$18, 3, 0))</f>
        <v>85612</v>
      </c>
      <c r="I617" s="392" t="str">
        <f t="shared" si="35"/>
        <v>WS-04</v>
      </c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</row>
    <row r="618" spans="1:53">
      <c r="A618" s="3">
        <v>14</v>
      </c>
      <c r="B618" s="125" t="str">
        <f>IFERROR(INDEX('S21 Routing Clustered'!$A$3:$A$18, A618), "")</f>
        <v>I-052</v>
      </c>
      <c r="C618" s="3">
        <v>60</v>
      </c>
      <c r="D618" s="391" t="str">
        <f>IFERROR(HLOOKUP(C618, 'S21 Routing Clustered'!$B$2:$I$18, A618+1, 0), "")</f>
        <v>WS-26</v>
      </c>
      <c r="E618" s="391" t="str">
        <f t="shared" si="33"/>
        <v>WS-32</v>
      </c>
      <c r="F618" s="3">
        <f>IF(E618="", "", VLOOKUP(B618, 'S14 ABC Output'!$A$3:$C$18, 3, 0))</f>
        <v>85612</v>
      </c>
      <c r="I618" s="392" t="str">
        <f t="shared" si="35"/>
        <v>WS-05</v>
      </c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</row>
    <row r="619" spans="1:53">
      <c r="A619" s="3">
        <v>14</v>
      </c>
      <c r="B619" s="125" t="str">
        <f>IFERROR(INDEX('S21 Routing Clustered'!$A$3:$A$18, A619), "")</f>
        <v>I-052</v>
      </c>
      <c r="C619" s="3">
        <v>70</v>
      </c>
      <c r="D619" s="391" t="str">
        <f>IFERROR(HLOOKUP(C619, 'S21 Routing Clustered'!$B$2:$I$18, A619+1, 0), "")</f>
        <v>WS-32</v>
      </c>
      <c r="E619" s="391" t="str">
        <f t="shared" si="33"/>
        <v>WS-44</v>
      </c>
      <c r="F619" s="3">
        <f>IF(E619="", "", VLOOKUP(B619, 'S14 ABC Output'!$A$3:$C$18, 3, 0))</f>
        <v>85612</v>
      </c>
      <c r="I619" s="392" t="str">
        <f t="shared" si="35"/>
        <v>WS-06</v>
      </c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</row>
    <row r="620" spans="1:53">
      <c r="A620" s="3">
        <v>14</v>
      </c>
      <c r="B620" s="125" t="str">
        <f>IFERROR(INDEX('S21 Routing Clustered'!$A$3:$A$18, A620), "")</f>
        <v>I-052</v>
      </c>
      <c r="C620" s="3">
        <v>80</v>
      </c>
      <c r="D620" s="391" t="str">
        <f>IFERROR(HLOOKUP(C620, 'S21 Routing Clustered'!$B$2:$I$18, A620+1, 0), "")</f>
        <v>WS-44</v>
      </c>
      <c r="E620" s="391" t="str">
        <f t="shared" si="33"/>
        <v/>
      </c>
      <c r="F620" s="3" t="str">
        <f>IF(E620="", "", VLOOKUP(B620, 'S14 ABC Output'!$A$3:$C$18, 3, 0))</f>
        <v/>
      </c>
      <c r="I620" s="392" t="str">
        <f t="shared" si="35"/>
        <v>WS-07</v>
      </c>
      <c r="J620" s="3"/>
      <c r="K620" s="3"/>
      <c r="L620" s="3"/>
      <c r="M620" s="3"/>
      <c r="N620" s="3"/>
      <c r="O620" s="3"/>
      <c r="P620" s="3"/>
      <c r="Q620" s="3">
        <v>85612</v>
      </c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</row>
    <row r="621" spans="1:53">
      <c r="A621" s="3">
        <v>14</v>
      </c>
      <c r="B621" s="125" t="str">
        <f>IFERROR(INDEX('S21 Routing Clustered'!$A$3:$A$18, A621), "")</f>
        <v>I-052</v>
      </c>
      <c r="C621" s="3">
        <v>90</v>
      </c>
      <c r="D621" s="391" t="str">
        <f>IFERROR(HLOOKUP(C621, 'S21 Routing Clustered'!$B$2:$I$18, A621+1, 0), "")</f>
        <v/>
      </c>
      <c r="E621" s="391" t="str">
        <f t="shared" si="33"/>
        <v/>
      </c>
      <c r="F621" s="3" t="str">
        <f>IF(E621="", "", VLOOKUP(B621, 'S14 ABC Output'!$A$3:$C$18, 3, 0))</f>
        <v/>
      </c>
      <c r="I621" s="392" t="str">
        <f t="shared" si="35"/>
        <v>WS-08</v>
      </c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>
        <v>85612</v>
      </c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</row>
    <row r="622" spans="1:53">
      <c r="A622" s="3">
        <v>14</v>
      </c>
      <c r="B622" s="125" t="str">
        <f>IFERROR(INDEX('S21 Routing Clustered'!$A$3:$A$18, A622), "")</f>
        <v>I-052</v>
      </c>
      <c r="C622" s="3">
        <v>100</v>
      </c>
      <c r="D622" s="391" t="str">
        <f>IFERROR(HLOOKUP(C622, 'S21 Routing Clustered'!$B$2:$I$18, A622+1, 0), "")</f>
        <v/>
      </c>
      <c r="E622" s="391" t="str">
        <f t="shared" si="33"/>
        <v/>
      </c>
      <c r="F622" s="3" t="str">
        <f>IF(E622="", "", VLOOKUP(B622, 'S14 ABC Output'!$A$3:$C$18, 3, 0))</f>
        <v/>
      </c>
      <c r="I622" s="392" t="str">
        <f t="shared" si="35"/>
        <v>WS-09</v>
      </c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</row>
    <row r="623" spans="1:53">
      <c r="A623" s="3">
        <v>14</v>
      </c>
      <c r="B623" s="125" t="str">
        <f>IFERROR(INDEX('S21 Routing Clustered'!$A$3:$A$18, A623), "")</f>
        <v>I-052</v>
      </c>
      <c r="C623" s="3">
        <v>110</v>
      </c>
      <c r="D623" s="391" t="str">
        <f>IFERROR(HLOOKUP(C623, 'S21 Routing Clustered'!$B$2:$I$18, A623+1, 0), "")</f>
        <v/>
      </c>
      <c r="E623" s="391" t="str">
        <f t="shared" si="33"/>
        <v/>
      </c>
      <c r="F623" s="3" t="str">
        <f>IF(E623="", "", VLOOKUP(B623, 'S14 ABC Output'!$A$3:$C$18, 3, 0))</f>
        <v/>
      </c>
      <c r="I623" s="392" t="str">
        <f t="shared" si="35"/>
        <v>WS-10</v>
      </c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</row>
    <row r="624" spans="1:53">
      <c r="A624" s="3">
        <v>14</v>
      </c>
      <c r="B624" s="125" t="str">
        <f>IFERROR(INDEX('S21 Routing Clustered'!$A$3:$A$18, A624), "")</f>
        <v>I-052</v>
      </c>
      <c r="C624" s="3">
        <v>120</v>
      </c>
      <c r="D624" s="391" t="str">
        <f>IFERROR(HLOOKUP(C624, 'S21 Routing Clustered'!$B$2:$I$18, A624+1, 0), "")</f>
        <v/>
      </c>
      <c r="E624" s="391" t="str">
        <f t="shared" si="33"/>
        <v/>
      </c>
      <c r="F624" s="3" t="str">
        <f>IF(E624="", "", VLOOKUP(B624, 'S14 ABC Output'!$A$3:$C$18, 3, 0))</f>
        <v/>
      </c>
      <c r="I624" s="392" t="str">
        <f t="shared" si="35"/>
        <v>WS-11</v>
      </c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</row>
    <row r="625" spans="1:53">
      <c r="A625" s="3">
        <v>14</v>
      </c>
      <c r="B625" s="125" t="str">
        <f>IFERROR(INDEX('S21 Routing Clustered'!$A$3:$A$18, A625), "")</f>
        <v>I-052</v>
      </c>
      <c r="C625" s="3">
        <v>130</v>
      </c>
      <c r="D625" s="391" t="str">
        <f>IFERROR(HLOOKUP(C625, 'S21 Routing Clustered'!$B$2:$I$18, A625+1, 0), "")</f>
        <v/>
      </c>
      <c r="E625" s="391" t="str">
        <f t="shared" si="33"/>
        <v/>
      </c>
      <c r="F625" s="3" t="str">
        <f>IF(E625="", "", VLOOKUP(B625, 'S14 ABC Output'!$A$3:$C$18, 3, 0))</f>
        <v/>
      </c>
      <c r="I625" s="392" t="str">
        <f t="shared" si="35"/>
        <v>WS-12</v>
      </c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</row>
    <row r="626" spans="1:53">
      <c r="A626" s="3">
        <v>14</v>
      </c>
      <c r="B626" s="125" t="str">
        <f>IFERROR(INDEX('S21 Routing Clustered'!$A$3:$A$18, A626), "")</f>
        <v>I-052</v>
      </c>
      <c r="C626" s="3">
        <v>140</v>
      </c>
      <c r="D626" s="391" t="str">
        <f>IFERROR(HLOOKUP(C626, 'S21 Routing Clustered'!$B$2:$I$18, A626+1, 0), "")</f>
        <v/>
      </c>
      <c r="E626" s="391" t="str">
        <f t="shared" si="33"/>
        <v/>
      </c>
      <c r="F626" s="3" t="str">
        <f>IF(E626="", "", VLOOKUP(B626, 'S14 ABC Output'!$A$3:$C$18, 3, 0))</f>
        <v/>
      </c>
      <c r="I626" s="392" t="str">
        <f t="shared" si="35"/>
        <v>WS-13</v>
      </c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</row>
    <row r="627" spans="1:53">
      <c r="A627" s="3">
        <v>14</v>
      </c>
      <c r="B627" s="125" t="str">
        <f>IFERROR(INDEX('S21 Routing Clustered'!$A$3:$A$18, A627), "")</f>
        <v>I-052</v>
      </c>
      <c r="C627" s="3">
        <v>150</v>
      </c>
      <c r="D627" s="391" t="str">
        <f>IFERROR(HLOOKUP(C627, 'S21 Routing Clustered'!$B$2:$I$18, A627+1, 0), "")</f>
        <v/>
      </c>
      <c r="E627" s="391" t="str">
        <f t="shared" si="33"/>
        <v/>
      </c>
      <c r="F627" s="3" t="str">
        <f>IF(E627="", "", VLOOKUP(B627, 'S14 ABC Output'!$A$3:$C$18, 3, 0))</f>
        <v/>
      </c>
      <c r="I627" s="392" t="str">
        <f t="shared" si="35"/>
        <v>WS-14</v>
      </c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</row>
    <row r="628" spans="1:53">
      <c r="A628" s="3">
        <v>14</v>
      </c>
      <c r="B628" s="125" t="str">
        <f>IFERROR(INDEX('S21 Routing Clustered'!$A$3:$A$18, A628), "")</f>
        <v>I-052</v>
      </c>
      <c r="C628" s="3">
        <v>160</v>
      </c>
      <c r="D628" s="391" t="str">
        <f>IFERROR(HLOOKUP(C628, 'S21 Routing Clustered'!$B$2:$I$18, A628+1, 0), "")</f>
        <v/>
      </c>
      <c r="E628" s="391" t="str">
        <f t="shared" si="33"/>
        <v/>
      </c>
      <c r="F628" s="3" t="str">
        <f>IF(E628="", "", VLOOKUP(B628, 'S14 ABC Output'!$A$3:$C$18, 3, 0))</f>
        <v/>
      </c>
      <c r="I628" s="392" t="str">
        <f t="shared" si="35"/>
        <v>WS-15</v>
      </c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</row>
    <row r="629" spans="1:53">
      <c r="A629" s="3">
        <v>14</v>
      </c>
      <c r="B629" s="125" t="str">
        <f>IFERROR(INDEX('S21 Routing Clustered'!$A$3:$A$18, A629), "")</f>
        <v>I-052</v>
      </c>
      <c r="C629" s="3">
        <v>170</v>
      </c>
      <c r="D629" s="391" t="str">
        <f>IFERROR(HLOOKUP(C629, 'S21 Routing Clustered'!$B$2:$I$18, A629+1, 0), "")</f>
        <v/>
      </c>
      <c r="E629" s="391" t="str">
        <f t="shared" si="33"/>
        <v/>
      </c>
      <c r="F629" s="3" t="str">
        <f>IF(E629="", "", VLOOKUP(B629, 'S14 ABC Output'!$A$3:$C$18, 3, 0))</f>
        <v/>
      </c>
      <c r="I629" s="392" t="str">
        <f t="shared" si="35"/>
        <v>WS-16</v>
      </c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</row>
    <row r="630" spans="1:53">
      <c r="A630" s="3">
        <v>14</v>
      </c>
      <c r="B630" s="125" t="str">
        <f>IFERROR(INDEX('S21 Routing Clustered'!$A$3:$A$18, A630), "")</f>
        <v>I-052</v>
      </c>
      <c r="C630" s="3">
        <v>180</v>
      </c>
      <c r="D630" s="391" t="str">
        <f>IFERROR(HLOOKUP(C630, 'S21 Routing Clustered'!$B$2:$I$18, A630+1, 0), "")</f>
        <v/>
      </c>
      <c r="E630" s="391" t="str">
        <f t="shared" si="33"/>
        <v/>
      </c>
      <c r="F630" s="3" t="str">
        <f>IF(E630="", "", VLOOKUP(B630, 'S14 ABC Output'!$A$3:$C$18, 3, 0))</f>
        <v/>
      </c>
      <c r="I630" s="392" t="str">
        <f t="shared" si="35"/>
        <v>WS-17</v>
      </c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</row>
    <row r="631" spans="1:53">
      <c r="A631" s="3">
        <v>14</v>
      </c>
      <c r="B631" s="125" t="str">
        <f>IFERROR(INDEX('S21 Routing Clustered'!$A$3:$A$18, A631), "")</f>
        <v>I-052</v>
      </c>
      <c r="C631" s="3">
        <v>190</v>
      </c>
      <c r="D631" s="391" t="str">
        <f>IFERROR(HLOOKUP(C631, 'S21 Routing Clustered'!$B$2:$I$18, A631+1, 0), "")</f>
        <v/>
      </c>
      <c r="E631" s="391" t="str">
        <f t="shared" si="33"/>
        <v/>
      </c>
      <c r="F631" s="3" t="str">
        <f>IF(E631="", "", VLOOKUP(B631, 'S14 ABC Output'!$A$3:$C$18, 3, 0))</f>
        <v/>
      </c>
      <c r="I631" s="392" t="str">
        <f t="shared" si="35"/>
        <v>WS-18</v>
      </c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</row>
    <row r="632" spans="1:53">
      <c r="A632" s="3">
        <v>14</v>
      </c>
      <c r="B632" s="125" t="str">
        <f>IFERROR(INDEX('S21 Routing Clustered'!$A$3:$A$18, A632), "")</f>
        <v>I-052</v>
      </c>
      <c r="C632" s="3">
        <v>200</v>
      </c>
      <c r="D632" s="391" t="str">
        <f>IFERROR(HLOOKUP(C632, 'S21 Routing Clustered'!$B$2:$I$18, A632+1, 0), "")</f>
        <v/>
      </c>
      <c r="E632" s="391" t="str">
        <f t="shared" si="33"/>
        <v/>
      </c>
      <c r="F632" s="3" t="str">
        <f>IF(E632="", "", VLOOKUP(B632, 'S14 ABC Output'!$A$3:$C$18, 3, 0))</f>
        <v/>
      </c>
      <c r="I632" s="392" t="str">
        <f t="shared" si="35"/>
        <v>WS-19</v>
      </c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</row>
    <row r="633" spans="1:53">
      <c r="A633" s="3">
        <v>14</v>
      </c>
      <c r="B633" s="125" t="str">
        <f>IFERROR(INDEX('S21 Routing Clustered'!$A$3:$A$18, A633), "")</f>
        <v>I-052</v>
      </c>
      <c r="C633" s="3">
        <v>210</v>
      </c>
      <c r="D633" s="391" t="str">
        <f>IFERROR(HLOOKUP(C633, 'S21 Routing Clustered'!$B$2:$I$18, A633+1, 0), "")</f>
        <v/>
      </c>
      <c r="E633" s="391" t="str">
        <f t="shared" si="33"/>
        <v/>
      </c>
      <c r="F633" s="3" t="str">
        <f>IF(E633="", "", VLOOKUP(B633, 'S14 ABC Output'!$A$3:$C$18, 3, 0))</f>
        <v/>
      </c>
      <c r="I633" s="392" t="str">
        <f t="shared" si="35"/>
        <v>WS-20</v>
      </c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>
        <v>85612</v>
      </c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</row>
    <row r="634" spans="1:53">
      <c r="A634" s="3">
        <v>14</v>
      </c>
      <c r="B634" s="125" t="str">
        <f>IFERROR(INDEX('S21 Routing Clustered'!$A$3:$A$18, A634), "")</f>
        <v>I-052</v>
      </c>
      <c r="C634" s="3">
        <v>220</v>
      </c>
      <c r="D634" s="391" t="str">
        <f>IFERROR(HLOOKUP(C634, 'S21 Routing Clustered'!$B$2:$I$18, A634+1, 0), "")</f>
        <v/>
      </c>
      <c r="E634" s="391" t="str">
        <f t="shared" si="33"/>
        <v/>
      </c>
      <c r="F634" s="3" t="str">
        <f>IF(E634="", "", VLOOKUP(B634, 'S14 ABC Output'!$A$3:$C$18, 3, 0))</f>
        <v/>
      </c>
      <c r="I634" s="392" t="str">
        <f t="shared" si="35"/>
        <v>WS-21</v>
      </c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</row>
    <row r="635" spans="1:53">
      <c r="A635" s="3">
        <v>14</v>
      </c>
      <c r="B635" s="125" t="str">
        <f>IFERROR(INDEX('S21 Routing Clustered'!$A$3:$A$18, A635), "")</f>
        <v>I-052</v>
      </c>
      <c r="C635" s="3">
        <v>230</v>
      </c>
      <c r="D635" s="391" t="str">
        <f>IFERROR(HLOOKUP(C635, 'S21 Routing Clustered'!$B$2:$I$18, A635+1, 0), "")</f>
        <v/>
      </c>
      <c r="E635" s="391" t="str">
        <f t="shared" si="33"/>
        <v/>
      </c>
      <c r="F635" s="3" t="str">
        <f>IF(E635="", "", VLOOKUP(B635, 'S14 ABC Output'!$A$3:$C$18, 3, 0))</f>
        <v/>
      </c>
      <c r="I635" s="392" t="str">
        <f t="shared" si="35"/>
        <v>WS-22</v>
      </c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</row>
    <row r="636" spans="1:53">
      <c r="A636" s="3">
        <v>14</v>
      </c>
      <c r="B636" s="125" t="str">
        <f>IFERROR(INDEX('S21 Routing Clustered'!$A$3:$A$18, A636), "")</f>
        <v>I-052</v>
      </c>
      <c r="C636" s="3">
        <v>240</v>
      </c>
      <c r="D636" s="391" t="str">
        <f>IFERROR(HLOOKUP(C636, 'S21 Routing Clustered'!$B$2:$I$18, A636+1, 0), "")</f>
        <v/>
      </c>
      <c r="E636" s="391" t="str">
        <f t="shared" si="33"/>
        <v/>
      </c>
      <c r="F636" s="3" t="str">
        <f>IF(E636="", "", VLOOKUP(B636, 'S14 ABC Output'!$A$3:$C$18, 3, 0))</f>
        <v/>
      </c>
      <c r="I636" s="392" t="str">
        <f t="shared" si="35"/>
        <v>WS-23</v>
      </c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</row>
    <row r="637" spans="1:53">
      <c r="A637" s="3">
        <v>14</v>
      </c>
      <c r="B637" s="125" t="str">
        <f>IFERROR(INDEX('S21 Routing Clustered'!$A$3:$A$18, A637), "")</f>
        <v>I-052</v>
      </c>
      <c r="C637" s="3">
        <v>250</v>
      </c>
      <c r="D637" s="391" t="str">
        <f>IFERROR(HLOOKUP(C637, 'S21 Routing Clustered'!$B$2:$I$18, A637+1, 0), "")</f>
        <v/>
      </c>
      <c r="E637" s="391" t="str">
        <f t="shared" si="33"/>
        <v/>
      </c>
      <c r="F637" s="3" t="str">
        <f>IF(E637="", "", VLOOKUP(B637, 'S14 ABC Output'!$A$3:$C$18, 3, 0))</f>
        <v/>
      </c>
      <c r="I637" s="392" t="str">
        <f t="shared" si="35"/>
        <v>WS-24</v>
      </c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</row>
    <row r="638" spans="1:53">
      <c r="A638" s="3">
        <v>14</v>
      </c>
      <c r="B638" s="125" t="str">
        <f>IFERROR(INDEX('S21 Routing Clustered'!$A$3:$A$18, A638), "")</f>
        <v>I-052</v>
      </c>
      <c r="C638" s="3">
        <v>260</v>
      </c>
      <c r="D638" s="391" t="str">
        <f>IFERROR(HLOOKUP(C638, 'S21 Routing Clustered'!$B$2:$I$18, A638+1, 0), "")</f>
        <v/>
      </c>
      <c r="E638" s="391" t="str">
        <f t="shared" si="33"/>
        <v/>
      </c>
      <c r="F638" s="3" t="str">
        <f>IF(E638="", "", VLOOKUP(B638, 'S14 ABC Output'!$A$3:$C$18, 3, 0))</f>
        <v/>
      </c>
      <c r="I638" s="392" t="str">
        <f t="shared" si="35"/>
        <v>WS-25</v>
      </c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</row>
    <row r="639" spans="1:53">
      <c r="A639" s="3">
        <v>14</v>
      </c>
      <c r="B639" s="125" t="str">
        <f>IFERROR(INDEX('S21 Routing Clustered'!$A$3:$A$18, A639), "")</f>
        <v>I-052</v>
      </c>
      <c r="C639" s="3">
        <v>270</v>
      </c>
      <c r="D639" s="391" t="str">
        <f>IFERROR(HLOOKUP(C639, 'S21 Routing Clustered'!$B$2:$I$18, A639+1, 0), "")</f>
        <v/>
      </c>
      <c r="E639" s="391" t="str">
        <f t="shared" si="33"/>
        <v/>
      </c>
      <c r="F639" s="3" t="str">
        <f>IF(E639="", "", VLOOKUP(B639, 'S14 ABC Output'!$A$3:$C$18, 3, 0))</f>
        <v/>
      </c>
      <c r="I639" s="392" t="str">
        <f t="shared" si="35"/>
        <v>WS-26</v>
      </c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>
        <v>85612</v>
      </c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</row>
    <row r="640" spans="1:53">
      <c r="A640" s="3">
        <v>14</v>
      </c>
      <c r="B640" s="125" t="str">
        <f>IFERROR(INDEX('S21 Routing Clustered'!$A$3:$A$18, A640), "")</f>
        <v>I-052</v>
      </c>
      <c r="C640" s="3">
        <v>280</v>
      </c>
      <c r="D640" s="391" t="str">
        <f>IFERROR(HLOOKUP(C640, 'S21 Routing Clustered'!$B$2:$I$18, A640+1, 0), "")</f>
        <v/>
      </c>
      <c r="E640" s="391" t="str">
        <f t="shared" si="33"/>
        <v/>
      </c>
      <c r="F640" s="3" t="str">
        <f>IF(E640="", "", VLOOKUP(B640, 'S14 ABC Output'!$A$3:$C$18, 3, 0))</f>
        <v/>
      </c>
      <c r="I640" s="392" t="str">
        <f t="shared" si="35"/>
        <v>WS-27</v>
      </c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</row>
    <row r="641" spans="1:53">
      <c r="A641" s="3">
        <v>14</v>
      </c>
      <c r="B641" s="125" t="str">
        <f>IFERROR(INDEX('S21 Routing Clustered'!$A$3:$A$18, A641), "")</f>
        <v>I-052</v>
      </c>
      <c r="C641" s="3">
        <v>290</v>
      </c>
      <c r="D641" s="391" t="str">
        <f>IFERROR(HLOOKUP(C641, 'S21 Routing Clustered'!$B$2:$I$18, A641+1, 0), "")</f>
        <v/>
      </c>
      <c r="E641" s="391" t="str">
        <f t="shared" si="33"/>
        <v/>
      </c>
      <c r="F641" s="3" t="str">
        <f>IF(E641="", "", VLOOKUP(B641, 'S14 ABC Output'!$A$3:$C$18, 3, 0))</f>
        <v/>
      </c>
      <c r="I641" s="392" t="str">
        <f t="shared" si="35"/>
        <v>WS-28</v>
      </c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</row>
    <row r="642" spans="1:53">
      <c r="A642" s="3">
        <v>14</v>
      </c>
      <c r="B642" s="125" t="str">
        <f>IFERROR(INDEX('S21 Routing Clustered'!$A$3:$A$18, A642), "")</f>
        <v>I-052</v>
      </c>
      <c r="C642" s="3">
        <v>300</v>
      </c>
      <c r="D642" s="391" t="str">
        <f>IFERROR(HLOOKUP(C642, 'S21 Routing Clustered'!$B$2:$I$18, A642+1, 0), "")</f>
        <v/>
      </c>
      <c r="E642" s="391" t="str">
        <f t="shared" si="33"/>
        <v/>
      </c>
      <c r="F642" s="3" t="str">
        <f>IF(E642="", "", VLOOKUP(B642, 'S14 ABC Output'!$A$3:$C$18, 3, 0))</f>
        <v/>
      </c>
      <c r="I642" s="392" t="str">
        <f t="shared" si="35"/>
        <v>WS-29</v>
      </c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</row>
    <row r="643" spans="1:53">
      <c r="A643" s="3">
        <v>14</v>
      </c>
      <c r="B643" s="125" t="str">
        <f>IFERROR(INDEX('S21 Routing Clustered'!$A$3:$A$18, A643), "")</f>
        <v>I-052</v>
      </c>
      <c r="C643" s="3">
        <v>310</v>
      </c>
      <c r="D643" s="391" t="str">
        <f>IFERROR(HLOOKUP(C643, 'S21 Routing Clustered'!$B$2:$I$18, A643+1, 0), "")</f>
        <v/>
      </c>
      <c r="E643" s="391" t="str">
        <f t="shared" ref="E643:E706" si="36">IF(D643="", "", D644)</f>
        <v/>
      </c>
      <c r="F643" s="3" t="str">
        <f>IF(E643="", "", VLOOKUP(B643, 'S14 ABC Output'!$A$3:$C$18, 3, 0))</f>
        <v/>
      </c>
      <c r="I643" s="392" t="str">
        <f t="shared" si="35"/>
        <v>WS-30</v>
      </c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</row>
    <row r="644" spans="1:53">
      <c r="A644" s="3">
        <v>14</v>
      </c>
      <c r="B644" s="125" t="str">
        <f>IFERROR(INDEX('S21 Routing Clustered'!$A$3:$A$18, A644), "")</f>
        <v>I-052</v>
      </c>
      <c r="C644" s="3">
        <v>320</v>
      </c>
      <c r="D644" s="391" t="str">
        <f>IFERROR(HLOOKUP(C644, 'S21 Routing Clustered'!$B$2:$I$18, A644+1, 0), "")</f>
        <v/>
      </c>
      <c r="E644" s="391" t="str">
        <f t="shared" si="36"/>
        <v/>
      </c>
      <c r="F644" s="3" t="str">
        <f>IF(E644="", "", VLOOKUP(B644, 'S14 ABC Output'!$A$3:$C$18, 3, 0))</f>
        <v/>
      </c>
      <c r="I644" s="392" t="str">
        <f t="shared" si="35"/>
        <v>WS-31</v>
      </c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</row>
    <row r="645" spans="1:53">
      <c r="A645" s="3">
        <v>14</v>
      </c>
      <c r="B645" s="125" t="str">
        <f>IFERROR(INDEX('S21 Routing Clustered'!$A$3:$A$18, A645), "")</f>
        <v>I-052</v>
      </c>
      <c r="C645" s="3">
        <v>330</v>
      </c>
      <c r="D645" s="391" t="str">
        <f>IFERROR(HLOOKUP(C645, 'S21 Routing Clustered'!$B$2:$I$18, A645+1, 0), "")</f>
        <v/>
      </c>
      <c r="E645" s="391" t="str">
        <f t="shared" si="36"/>
        <v/>
      </c>
      <c r="F645" s="3" t="str">
        <f>IF(E645="", "", VLOOKUP(B645, 'S14 ABC Output'!$A$3:$C$18, 3, 0))</f>
        <v/>
      </c>
      <c r="I645" s="392" t="str">
        <f t="shared" si="35"/>
        <v>WS-32</v>
      </c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>
        <v>85612</v>
      </c>
    </row>
    <row r="646" spans="1:53">
      <c r="A646" s="3">
        <v>14</v>
      </c>
      <c r="B646" s="125" t="str">
        <f>IFERROR(INDEX('S21 Routing Clustered'!$A$3:$A$18, A646), "")</f>
        <v>I-052</v>
      </c>
      <c r="C646" s="3">
        <v>340</v>
      </c>
      <c r="D646" s="391" t="str">
        <f>IFERROR(HLOOKUP(C646, 'S21 Routing Clustered'!$B$2:$I$18, A646+1, 0), "")</f>
        <v/>
      </c>
      <c r="E646" s="391" t="str">
        <f t="shared" si="36"/>
        <v/>
      </c>
      <c r="F646" s="3" t="str">
        <f>IF(E646="", "", VLOOKUP(B646, 'S14 ABC Output'!$A$3:$C$18, 3, 0))</f>
        <v/>
      </c>
      <c r="I646" s="392" t="str">
        <f t="shared" si="35"/>
        <v>WS-33</v>
      </c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</row>
    <row r="647" spans="1:53">
      <c r="A647" s="3">
        <v>14</v>
      </c>
      <c r="B647" s="125" t="str">
        <f>IFERROR(INDEX('S21 Routing Clustered'!$A$3:$A$18, A647), "")</f>
        <v>I-052</v>
      </c>
      <c r="C647" s="3">
        <v>350</v>
      </c>
      <c r="D647" s="391" t="str">
        <f>IFERROR(HLOOKUP(C647, 'S21 Routing Clustered'!$B$2:$I$18, A647+1, 0), "")</f>
        <v/>
      </c>
      <c r="E647" s="391" t="str">
        <f t="shared" si="36"/>
        <v/>
      </c>
      <c r="F647" s="3" t="str">
        <f>IF(E647="", "", VLOOKUP(B647, 'S14 ABC Output'!$A$3:$C$18, 3, 0))</f>
        <v/>
      </c>
      <c r="I647" s="392" t="str">
        <f t="shared" si="35"/>
        <v>WS-34</v>
      </c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</row>
    <row r="648" spans="1:53">
      <c r="A648" s="3">
        <v>14</v>
      </c>
      <c r="B648" s="125" t="str">
        <f>IFERROR(INDEX('S21 Routing Clustered'!$A$3:$A$18, A648), "")</f>
        <v>I-052</v>
      </c>
      <c r="C648" s="3">
        <v>360</v>
      </c>
      <c r="D648" s="391" t="str">
        <f>IFERROR(HLOOKUP(C648, 'S21 Routing Clustered'!$B$2:$I$18, A648+1, 0), "")</f>
        <v/>
      </c>
      <c r="E648" s="391" t="str">
        <f t="shared" si="36"/>
        <v/>
      </c>
      <c r="F648" s="3" t="str">
        <f>IF(E648="", "", VLOOKUP(B648, 'S14 ABC Output'!$A$3:$C$18, 3, 0))</f>
        <v/>
      </c>
      <c r="I648" s="392" t="str">
        <f t="shared" si="35"/>
        <v>WS-35</v>
      </c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</row>
    <row r="649" spans="1:53">
      <c r="A649" s="3">
        <v>14</v>
      </c>
      <c r="B649" s="125" t="str">
        <f>IFERROR(INDEX('S21 Routing Clustered'!$A$3:$A$18, A649), "")</f>
        <v>I-052</v>
      </c>
      <c r="C649" s="3">
        <v>370</v>
      </c>
      <c r="D649" s="391" t="str">
        <f>IFERROR(HLOOKUP(C649, 'S21 Routing Clustered'!$B$2:$I$18, A649+1, 0), "")</f>
        <v/>
      </c>
      <c r="E649" s="391" t="str">
        <f t="shared" si="36"/>
        <v/>
      </c>
      <c r="F649" s="3" t="str">
        <f>IF(E649="", "", VLOOKUP(B649, 'S14 ABC Output'!$A$3:$C$18, 3, 0))</f>
        <v/>
      </c>
      <c r="I649" s="392" t="str">
        <f t="shared" si="35"/>
        <v>WS-36</v>
      </c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</row>
    <row r="650" spans="1:53">
      <c r="A650" s="3">
        <v>14</v>
      </c>
      <c r="B650" s="125" t="str">
        <f>IFERROR(INDEX('S21 Routing Clustered'!$A$3:$A$18, A650), "")</f>
        <v>I-052</v>
      </c>
      <c r="C650" s="3">
        <v>380</v>
      </c>
      <c r="D650" s="391" t="str">
        <f>IFERROR(HLOOKUP(C650, 'S21 Routing Clustered'!$B$2:$I$18, A650+1, 0), "")</f>
        <v/>
      </c>
      <c r="E650" s="391" t="str">
        <f t="shared" si="36"/>
        <v/>
      </c>
      <c r="F650" s="3" t="str">
        <f>IF(E650="", "", VLOOKUP(B650, 'S14 ABC Output'!$A$3:$C$18, 3, 0))</f>
        <v/>
      </c>
      <c r="I650" s="392" t="str">
        <f t="shared" si="35"/>
        <v>WS-37</v>
      </c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</row>
    <row r="651" spans="1:53">
      <c r="A651" s="3">
        <v>14</v>
      </c>
      <c r="B651" s="125" t="str">
        <f>IFERROR(INDEX('S21 Routing Clustered'!$A$3:$A$18, A651), "")</f>
        <v>I-052</v>
      </c>
      <c r="C651" s="3">
        <v>390</v>
      </c>
      <c r="D651" s="391" t="str">
        <f>IFERROR(HLOOKUP(C651, 'S21 Routing Clustered'!$B$2:$I$18, A651+1, 0), "")</f>
        <v/>
      </c>
      <c r="E651" s="391" t="str">
        <f t="shared" si="36"/>
        <v/>
      </c>
      <c r="F651" s="3" t="str">
        <f>IF(E651="", "", VLOOKUP(B651, 'S14 ABC Output'!$A$3:$C$18, 3, 0))</f>
        <v/>
      </c>
      <c r="I651" s="392" t="str">
        <f t="shared" si="35"/>
        <v>WS-38</v>
      </c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</row>
    <row r="652" spans="1:53">
      <c r="A652" s="3">
        <v>14</v>
      </c>
      <c r="B652" s="125" t="str">
        <f>IFERROR(INDEX('S21 Routing Clustered'!$A$3:$A$18, A652), "")</f>
        <v>I-052</v>
      </c>
      <c r="C652" s="3">
        <v>400</v>
      </c>
      <c r="D652" s="391" t="str">
        <f>IFERROR(HLOOKUP(C652, 'S21 Routing Clustered'!$B$2:$I$18, A652+1, 0), "")</f>
        <v/>
      </c>
      <c r="E652" s="391" t="str">
        <f t="shared" si="36"/>
        <v/>
      </c>
      <c r="F652" s="3" t="str">
        <f>IF(E652="", "", VLOOKUP(B652, 'S14 ABC Output'!$A$3:$C$18, 3, 0))</f>
        <v/>
      </c>
      <c r="I652" s="392" t="str">
        <f t="shared" si="35"/>
        <v>WS-39</v>
      </c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</row>
    <row r="653" spans="1:53">
      <c r="A653" s="3">
        <v>14</v>
      </c>
      <c r="B653" s="125" t="str">
        <f>IFERROR(INDEX('S21 Routing Clustered'!$A$3:$A$18, A653), "")</f>
        <v>I-052</v>
      </c>
      <c r="C653" s="3">
        <v>410</v>
      </c>
      <c r="D653" s="391" t="str">
        <f>IFERROR(HLOOKUP(C653, 'S21 Routing Clustered'!$B$2:$I$18, A653+1, 0), "")</f>
        <v/>
      </c>
      <c r="E653" s="391" t="str">
        <f t="shared" si="36"/>
        <v/>
      </c>
      <c r="F653" s="3" t="str">
        <f>IF(E653="", "", VLOOKUP(B653, 'S14 ABC Output'!$A$3:$C$18, 3, 0))</f>
        <v/>
      </c>
      <c r="I653" s="392" t="str">
        <f t="shared" si="35"/>
        <v>WS-40</v>
      </c>
      <c r="J653" s="3"/>
      <c r="K653" s="3"/>
      <c r="L653" s="3"/>
      <c r="M653" s="3"/>
      <c r="N653" s="3"/>
      <c r="O653" s="3"/>
      <c r="P653" s="3">
        <v>85612</v>
      </c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</row>
    <row r="654" spans="1:53">
      <c r="A654" s="3">
        <v>14</v>
      </c>
      <c r="B654" s="125" t="str">
        <f>IFERROR(INDEX('S21 Routing Clustered'!$A$3:$A$18, A654), "")</f>
        <v>I-052</v>
      </c>
      <c r="C654" s="3">
        <v>420</v>
      </c>
      <c r="D654" s="391" t="str">
        <f>IFERROR(HLOOKUP(C654, 'S21 Routing Clustered'!$B$2:$I$18, A654+1, 0), "")</f>
        <v/>
      </c>
      <c r="E654" s="391" t="str">
        <f t="shared" si="36"/>
        <v/>
      </c>
      <c r="F654" s="3" t="str">
        <f>IF(E654="", "", VLOOKUP(B654, 'S14 ABC Output'!$A$3:$C$18, 3, 0))</f>
        <v/>
      </c>
      <c r="I654" s="392" t="str">
        <f t="shared" si="35"/>
        <v>WS-41</v>
      </c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</row>
    <row r="655" spans="1:53">
      <c r="A655" s="3">
        <v>14</v>
      </c>
      <c r="B655" s="125" t="str">
        <f>IFERROR(INDEX('S21 Routing Clustered'!$A$3:$A$18, A655), "")</f>
        <v>I-052</v>
      </c>
      <c r="C655" s="3">
        <v>430</v>
      </c>
      <c r="D655" s="391" t="str">
        <f>IFERROR(HLOOKUP(C655, 'S21 Routing Clustered'!$B$2:$I$18, A655+1, 0), "")</f>
        <v/>
      </c>
      <c r="E655" s="391" t="str">
        <f t="shared" si="36"/>
        <v/>
      </c>
      <c r="F655" s="3" t="str">
        <f>IF(E655="", "", VLOOKUP(B655, 'S14 ABC Output'!$A$3:$C$18, 3, 0))</f>
        <v/>
      </c>
      <c r="I655" s="392" t="str">
        <f t="shared" si="35"/>
        <v>WS-42</v>
      </c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</row>
    <row r="656" spans="1:53">
      <c r="A656" s="3">
        <v>14</v>
      </c>
      <c r="B656" s="125" t="str">
        <f>IFERROR(INDEX('S21 Routing Clustered'!$A$3:$A$18, A656), "")</f>
        <v>I-052</v>
      </c>
      <c r="C656" s="3">
        <v>440</v>
      </c>
      <c r="D656" s="391" t="str">
        <f>IFERROR(HLOOKUP(C656, 'S21 Routing Clustered'!$B$2:$I$18, A656+1, 0), "")</f>
        <v/>
      </c>
      <c r="E656" s="391" t="str">
        <f t="shared" si="36"/>
        <v/>
      </c>
      <c r="F656" s="3" t="str">
        <f>IF(E656="", "", VLOOKUP(B656, 'S14 ABC Output'!$A$3:$C$18, 3, 0))</f>
        <v/>
      </c>
      <c r="I656" s="392" t="str">
        <f t="shared" si="35"/>
        <v>WS-43</v>
      </c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>
        <v>85612</v>
      </c>
      <c r="AX656" s="3"/>
      <c r="AY656" s="3"/>
      <c r="AZ656" s="3"/>
      <c r="BA656" s="3"/>
    </row>
    <row r="657" spans="1:53">
      <c r="A657" s="3">
        <v>14</v>
      </c>
      <c r="B657" s="125" t="str">
        <f>IFERROR(INDEX('S21 Routing Clustered'!$A$3:$A$18, A657), "")</f>
        <v>I-052</v>
      </c>
      <c r="C657" s="3">
        <v>450</v>
      </c>
      <c r="D657" s="391" t="str">
        <f>IFERROR(HLOOKUP(C657, 'S21 Routing Clustered'!$B$2:$I$18, A657+1, 0), "")</f>
        <v/>
      </c>
      <c r="E657" s="391" t="str">
        <f t="shared" si="36"/>
        <v/>
      </c>
      <c r="F657" s="3" t="str">
        <f>IF(E657="", "", VLOOKUP(B657, 'S14 ABC Output'!$A$3:$C$18, 3, 0))</f>
        <v/>
      </c>
      <c r="I657" s="392" t="str">
        <f t="shared" si="35"/>
        <v>WS-44</v>
      </c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</row>
    <row r="658" spans="1:53">
      <c r="B658" s="125" t="str">
        <f>IFERROR(INDEX('S21 Routing Clustered'!$A$3:$A$18, A658), "")</f>
        <v/>
      </c>
      <c r="D658" s="391" t="str">
        <f>IFERROR(HLOOKUP(C658, 'S21 Routing Clustered'!$B$2:$I$18, A658+1, 0), "")</f>
        <v/>
      </c>
      <c r="E658" s="391" t="str">
        <f t="shared" si="36"/>
        <v/>
      </c>
      <c r="F658" s="3" t="str">
        <f>IF(E658="", "", VLOOKUP(B658, 'S14 ABC Output'!$A$3:$C$18, 3, 0))</f>
        <v/>
      </c>
      <c r="I658" s="392"/>
    </row>
    <row r="659" spans="1:53">
      <c r="B659" s="125" t="str">
        <f>IFERROR(INDEX('S21 Routing Clustered'!$A$3:$A$18, A659), "")</f>
        <v/>
      </c>
      <c r="D659" s="391" t="str">
        <f>IFERROR(HLOOKUP(C659, 'S21 Routing Clustered'!$B$2:$I$18, A659+1, 0), "")</f>
        <v/>
      </c>
      <c r="E659" s="391" t="str">
        <f t="shared" si="36"/>
        <v/>
      </c>
      <c r="F659" s="3" t="str">
        <f>IF(E659="", "", VLOOKUP(B659, 'S14 ABC Output'!$A$3:$C$18, 3, 0))</f>
        <v/>
      </c>
      <c r="I659" s="392"/>
    </row>
    <row r="660" spans="1:53">
      <c r="A660" s="3">
        <v>15</v>
      </c>
      <c r="B660" s="125" t="str">
        <f>IFERROR(INDEX('S21 Routing Clustered'!$A$3:$A$18, A660), "")</f>
        <v>I-053</v>
      </c>
      <c r="C660" s="3">
        <v>10</v>
      </c>
      <c r="D660" s="391" t="str">
        <f>IFERROR(HLOOKUP(C660, 'S21 Routing Clustered'!$B$2:$I$18, A660+1, 0), "")</f>
        <v>WS-43</v>
      </c>
      <c r="E660" s="391" t="str">
        <f t="shared" si="36"/>
        <v>WS-40</v>
      </c>
      <c r="F660" s="3">
        <f>IF(E660="", "", VLOOKUP(B660, 'S14 ABC Output'!$A$3:$C$18, 3, 0))</f>
        <v>54682</v>
      </c>
      <c r="I660" s="392"/>
      <c r="J660" s="392" t="str">
        <f>J613</f>
        <v>WS-01</v>
      </c>
      <c r="K660" s="392" t="str">
        <f t="shared" ref="K660:BA660" si="37">K613</f>
        <v>WS-02</v>
      </c>
      <c r="L660" s="392" t="str">
        <f t="shared" si="37"/>
        <v>WS-03</v>
      </c>
      <c r="M660" s="392" t="str">
        <f t="shared" si="37"/>
        <v>WS-04</v>
      </c>
      <c r="N660" s="392" t="str">
        <f t="shared" si="37"/>
        <v>WS-05</v>
      </c>
      <c r="O660" s="392" t="str">
        <f t="shared" si="37"/>
        <v>WS-06</v>
      </c>
      <c r="P660" s="392" t="str">
        <f t="shared" si="37"/>
        <v>WS-07</v>
      </c>
      <c r="Q660" s="392" t="str">
        <f t="shared" si="37"/>
        <v>WS-08</v>
      </c>
      <c r="R660" s="392" t="str">
        <f t="shared" si="37"/>
        <v>WS-09</v>
      </c>
      <c r="S660" s="392" t="str">
        <f t="shared" si="37"/>
        <v>WS-10</v>
      </c>
      <c r="T660" s="392" t="str">
        <f t="shared" si="37"/>
        <v>WS-11</v>
      </c>
      <c r="U660" s="392" t="str">
        <f t="shared" si="37"/>
        <v>WS-12</v>
      </c>
      <c r="V660" s="392" t="str">
        <f t="shared" si="37"/>
        <v>WS-13</v>
      </c>
      <c r="W660" s="392" t="str">
        <f t="shared" si="37"/>
        <v>WS-14</v>
      </c>
      <c r="X660" s="392" t="str">
        <f t="shared" si="37"/>
        <v>WS-15</v>
      </c>
      <c r="Y660" s="392" t="str">
        <f t="shared" si="37"/>
        <v>WS-16</v>
      </c>
      <c r="Z660" s="392" t="str">
        <f t="shared" si="37"/>
        <v>WS-17</v>
      </c>
      <c r="AA660" s="392" t="str">
        <f t="shared" si="37"/>
        <v>WS-18</v>
      </c>
      <c r="AB660" s="392" t="str">
        <f t="shared" si="37"/>
        <v>WS-19</v>
      </c>
      <c r="AC660" s="392" t="str">
        <f t="shared" si="37"/>
        <v>WS-20</v>
      </c>
      <c r="AD660" s="392" t="str">
        <f t="shared" si="37"/>
        <v>WS-21</v>
      </c>
      <c r="AE660" s="392" t="str">
        <f t="shared" si="37"/>
        <v>WS-22</v>
      </c>
      <c r="AF660" s="392" t="str">
        <f t="shared" si="37"/>
        <v>WS-23</v>
      </c>
      <c r="AG660" s="392" t="str">
        <f t="shared" si="37"/>
        <v>WS-24</v>
      </c>
      <c r="AH660" s="392" t="str">
        <f t="shared" si="37"/>
        <v>WS-25</v>
      </c>
      <c r="AI660" s="392" t="str">
        <f t="shared" si="37"/>
        <v>WS-26</v>
      </c>
      <c r="AJ660" s="392" t="str">
        <f t="shared" si="37"/>
        <v>WS-27</v>
      </c>
      <c r="AK660" s="392" t="str">
        <f t="shared" si="37"/>
        <v>WS-28</v>
      </c>
      <c r="AL660" s="392" t="str">
        <f t="shared" si="37"/>
        <v>WS-29</v>
      </c>
      <c r="AM660" s="392" t="str">
        <f t="shared" si="37"/>
        <v>WS-30</v>
      </c>
      <c r="AN660" s="392" t="str">
        <f t="shared" si="37"/>
        <v>WS-31</v>
      </c>
      <c r="AO660" s="392" t="str">
        <f t="shared" si="37"/>
        <v>WS-32</v>
      </c>
      <c r="AP660" s="392" t="str">
        <f t="shared" si="37"/>
        <v>WS-33</v>
      </c>
      <c r="AQ660" s="392" t="str">
        <f t="shared" si="37"/>
        <v>WS-34</v>
      </c>
      <c r="AR660" s="392" t="str">
        <f t="shared" si="37"/>
        <v>WS-35</v>
      </c>
      <c r="AS660" s="392" t="str">
        <f t="shared" si="37"/>
        <v>WS-36</v>
      </c>
      <c r="AT660" s="392" t="str">
        <f t="shared" si="37"/>
        <v>WS-37</v>
      </c>
      <c r="AU660" s="392" t="str">
        <f t="shared" si="37"/>
        <v>WS-38</v>
      </c>
      <c r="AV660" s="392" t="str">
        <f t="shared" si="37"/>
        <v>WS-39</v>
      </c>
      <c r="AW660" s="392" t="str">
        <f t="shared" si="37"/>
        <v>WS-40</v>
      </c>
      <c r="AX660" s="392" t="str">
        <f t="shared" si="37"/>
        <v>WS-41</v>
      </c>
      <c r="AY660" s="392" t="str">
        <f t="shared" si="37"/>
        <v>WS-42</v>
      </c>
      <c r="AZ660" s="392" t="str">
        <f t="shared" si="37"/>
        <v>WS-43</v>
      </c>
      <c r="BA660" s="392" t="str">
        <f t="shared" si="37"/>
        <v>WS-44</v>
      </c>
    </row>
    <row r="661" spans="1:53">
      <c r="A661" s="3">
        <v>15</v>
      </c>
      <c r="B661" s="125" t="str">
        <f>IFERROR(INDEX('S21 Routing Clustered'!$A$3:$A$18, A661), "")</f>
        <v>I-053</v>
      </c>
      <c r="C661" s="3">
        <v>20</v>
      </c>
      <c r="D661" s="391" t="str">
        <f>IFERROR(HLOOKUP(C661, 'S21 Routing Clustered'!$B$2:$I$18, A661+1, 0), "")</f>
        <v>WS-40</v>
      </c>
      <c r="E661" s="391" t="str">
        <f t="shared" si="36"/>
        <v>WS-04</v>
      </c>
      <c r="F661" s="3">
        <f>IF(E661="", "", VLOOKUP(B661, 'S14 ABC Output'!$A$3:$C$18, 3, 0))</f>
        <v>54682</v>
      </c>
      <c r="I661" s="392" t="str">
        <f>I614</f>
        <v>WS-01</v>
      </c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</row>
    <row r="662" spans="1:53">
      <c r="A662" s="3">
        <v>15</v>
      </c>
      <c r="B662" s="125" t="str">
        <f>IFERROR(INDEX('S21 Routing Clustered'!$A$3:$A$18, A662), "")</f>
        <v>I-053</v>
      </c>
      <c r="C662" s="3">
        <v>30</v>
      </c>
      <c r="D662" s="391" t="str">
        <f>IFERROR(HLOOKUP(C662, 'S21 Routing Clustered'!$B$2:$I$18, A662+1, 0), "")</f>
        <v>WS-04</v>
      </c>
      <c r="E662" s="391" t="str">
        <f t="shared" si="36"/>
        <v>WS-03</v>
      </c>
      <c r="F662" s="3">
        <f>IF(E662="", "", VLOOKUP(B662, 'S14 ABC Output'!$A$3:$C$18, 3, 0))</f>
        <v>54682</v>
      </c>
      <c r="I662" s="392" t="str">
        <f t="shared" ref="I662:I704" si="38">I615</f>
        <v>WS-02</v>
      </c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</row>
    <row r="663" spans="1:53">
      <c r="A663" s="3">
        <v>15</v>
      </c>
      <c r="B663" s="125" t="str">
        <f>IFERROR(INDEX('S21 Routing Clustered'!$A$3:$A$18, A663), "")</f>
        <v>I-053</v>
      </c>
      <c r="C663" s="3">
        <v>40</v>
      </c>
      <c r="D663" s="391" t="str">
        <f>IFERROR(HLOOKUP(C663, 'S21 Routing Clustered'!$B$2:$I$18, A663+1, 0), "")</f>
        <v>WS-03</v>
      </c>
      <c r="E663" s="391" t="str">
        <f t="shared" si="36"/>
        <v>WS-23</v>
      </c>
      <c r="F663" s="3">
        <f>IF(E663="", "", VLOOKUP(B663, 'S14 ABC Output'!$A$3:$C$18, 3, 0))</f>
        <v>54682</v>
      </c>
      <c r="I663" s="392" t="str">
        <f t="shared" si="38"/>
        <v>WS-03</v>
      </c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>
        <v>54682</v>
      </c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</row>
    <row r="664" spans="1:53">
      <c r="A664" s="3">
        <v>15</v>
      </c>
      <c r="B664" s="125" t="str">
        <f>IFERROR(INDEX('S21 Routing Clustered'!$A$3:$A$18, A664), "")</f>
        <v>I-053</v>
      </c>
      <c r="C664" s="3">
        <v>50</v>
      </c>
      <c r="D664" s="391" t="str">
        <f>IFERROR(HLOOKUP(C664, 'S21 Routing Clustered'!$B$2:$I$18, A664+1, 0), "")</f>
        <v>WS-23</v>
      </c>
      <c r="E664" s="391" t="str">
        <f t="shared" si="36"/>
        <v>WS-31</v>
      </c>
      <c r="F664" s="3">
        <f>IF(E664="", "", VLOOKUP(B664, 'S14 ABC Output'!$A$3:$C$18, 3, 0))</f>
        <v>54682</v>
      </c>
      <c r="I664" s="392" t="str">
        <f t="shared" si="38"/>
        <v>WS-04</v>
      </c>
      <c r="J664" s="3"/>
      <c r="K664" s="3"/>
      <c r="L664" s="3">
        <v>54682</v>
      </c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</row>
    <row r="665" spans="1:53">
      <c r="A665" s="3">
        <v>15</v>
      </c>
      <c r="B665" s="125" t="str">
        <f>IFERROR(INDEX('S21 Routing Clustered'!$A$3:$A$18, A665), "")</f>
        <v>I-053</v>
      </c>
      <c r="C665" s="3">
        <v>60</v>
      </c>
      <c r="D665" s="391" t="str">
        <f>IFERROR(HLOOKUP(C665, 'S21 Routing Clustered'!$B$2:$I$18, A665+1, 0), "")</f>
        <v>WS-31</v>
      </c>
      <c r="E665" s="391" t="str">
        <f t="shared" si="36"/>
        <v>WS-32</v>
      </c>
      <c r="F665" s="3">
        <f>IF(E665="", "", VLOOKUP(B665, 'S14 ABC Output'!$A$3:$C$18, 3, 0))</f>
        <v>54682</v>
      </c>
      <c r="I665" s="392" t="str">
        <f t="shared" si="38"/>
        <v>WS-05</v>
      </c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</row>
    <row r="666" spans="1:53">
      <c r="A666" s="3">
        <v>15</v>
      </c>
      <c r="B666" s="125" t="str">
        <f>IFERROR(INDEX('S21 Routing Clustered'!$A$3:$A$18, A666), "")</f>
        <v>I-053</v>
      </c>
      <c r="C666" s="3">
        <v>70</v>
      </c>
      <c r="D666" s="391" t="str">
        <f>IFERROR(HLOOKUP(C666, 'S21 Routing Clustered'!$B$2:$I$18, A666+1, 0), "")</f>
        <v>WS-32</v>
      </c>
      <c r="E666" s="391" t="str">
        <f t="shared" si="36"/>
        <v>WS-44</v>
      </c>
      <c r="F666" s="3">
        <f>IF(E666="", "", VLOOKUP(B666, 'S14 ABC Output'!$A$3:$C$18, 3, 0))</f>
        <v>54682</v>
      </c>
      <c r="I666" s="392" t="str">
        <f t="shared" si="38"/>
        <v>WS-06</v>
      </c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</row>
    <row r="667" spans="1:53">
      <c r="A667" s="3">
        <v>15</v>
      </c>
      <c r="B667" s="125" t="str">
        <f>IFERROR(INDEX('S21 Routing Clustered'!$A$3:$A$18, A667), "")</f>
        <v>I-053</v>
      </c>
      <c r="C667" s="3">
        <v>80</v>
      </c>
      <c r="D667" s="391" t="str">
        <f>IFERROR(HLOOKUP(C667, 'S21 Routing Clustered'!$B$2:$I$18, A667+1, 0), "")</f>
        <v>WS-44</v>
      </c>
      <c r="E667" s="391" t="str">
        <f t="shared" si="36"/>
        <v/>
      </c>
      <c r="F667" s="3" t="str">
        <f>IF(E667="", "", VLOOKUP(B667, 'S14 ABC Output'!$A$3:$C$18, 3, 0))</f>
        <v/>
      </c>
      <c r="I667" s="392" t="str">
        <f t="shared" si="38"/>
        <v>WS-07</v>
      </c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</row>
    <row r="668" spans="1:53">
      <c r="A668" s="3">
        <v>15</v>
      </c>
      <c r="B668" s="125" t="str">
        <f>IFERROR(INDEX('S21 Routing Clustered'!$A$3:$A$18, A668), "")</f>
        <v>I-053</v>
      </c>
      <c r="C668" s="3">
        <v>90</v>
      </c>
      <c r="D668" s="391" t="str">
        <f>IFERROR(HLOOKUP(C668, 'S21 Routing Clustered'!$B$2:$I$18, A668+1, 0), "")</f>
        <v/>
      </c>
      <c r="E668" s="391" t="str">
        <f t="shared" si="36"/>
        <v/>
      </c>
      <c r="F668" s="3" t="str">
        <f>IF(E668="", "", VLOOKUP(B668, 'S14 ABC Output'!$A$3:$C$18, 3, 0))</f>
        <v/>
      </c>
      <c r="I668" s="392" t="str">
        <f t="shared" si="38"/>
        <v>WS-08</v>
      </c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</row>
    <row r="669" spans="1:53">
      <c r="A669" s="3">
        <v>15</v>
      </c>
      <c r="B669" s="125" t="str">
        <f>IFERROR(INDEX('S21 Routing Clustered'!$A$3:$A$18, A669), "")</f>
        <v>I-053</v>
      </c>
      <c r="C669" s="3">
        <v>100</v>
      </c>
      <c r="D669" s="391" t="str">
        <f>IFERROR(HLOOKUP(C669, 'S21 Routing Clustered'!$B$2:$I$18, A669+1, 0), "")</f>
        <v/>
      </c>
      <c r="E669" s="391" t="str">
        <f t="shared" si="36"/>
        <v/>
      </c>
      <c r="F669" s="3" t="str">
        <f>IF(E669="", "", VLOOKUP(B669, 'S14 ABC Output'!$A$3:$C$18, 3, 0))</f>
        <v/>
      </c>
      <c r="I669" s="392" t="str">
        <f t="shared" si="38"/>
        <v>WS-09</v>
      </c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</row>
    <row r="670" spans="1:53">
      <c r="A670" s="3">
        <v>15</v>
      </c>
      <c r="B670" s="125" t="str">
        <f>IFERROR(INDEX('S21 Routing Clustered'!$A$3:$A$18, A670), "")</f>
        <v>I-053</v>
      </c>
      <c r="C670" s="3">
        <v>110</v>
      </c>
      <c r="D670" s="391" t="str">
        <f>IFERROR(HLOOKUP(C670, 'S21 Routing Clustered'!$B$2:$I$18, A670+1, 0), "")</f>
        <v/>
      </c>
      <c r="E670" s="391" t="str">
        <f t="shared" si="36"/>
        <v/>
      </c>
      <c r="F670" s="3" t="str">
        <f>IF(E670="", "", VLOOKUP(B670, 'S14 ABC Output'!$A$3:$C$18, 3, 0))</f>
        <v/>
      </c>
      <c r="I670" s="392" t="str">
        <f t="shared" si="38"/>
        <v>WS-10</v>
      </c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</row>
    <row r="671" spans="1:53">
      <c r="A671" s="3">
        <v>15</v>
      </c>
      <c r="B671" s="125" t="str">
        <f>IFERROR(INDEX('S21 Routing Clustered'!$A$3:$A$18, A671), "")</f>
        <v>I-053</v>
      </c>
      <c r="C671" s="3">
        <v>120</v>
      </c>
      <c r="D671" s="391" t="str">
        <f>IFERROR(HLOOKUP(C671, 'S21 Routing Clustered'!$B$2:$I$18, A671+1, 0), "")</f>
        <v/>
      </c>
      <c r="E671" s="391" t="str">
        <f t="shared" si="36"/>
        <v/>
      </c>
      <c r="F671" s="3" t="str">
        <f>IF(E671="", "", VLOOKUP(B671, 'S14 ABC Output'!$A$3:$C$18, 3, 0))</f>
        <v/>
      </c>
      <c r="I671" s="392" t="str">
        <f t="shared" si="38"/>
        <v>WS-11</v>
      </c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</row>
    <row r="672" spans="1:53">
      <c r="A672" s="3">
        <v>15</v>
      </c>
      <c r="B672" s="125" t="str">
        <f>IFERROR(INDEX('S21 Routing Clustered'!$A$3:$A$18, A672), "")</f>
        <v>I-053</v>
      </c>
      <c r="C672" s="3">
        <v>130</v>
      </c>
      <c r="D672" s="391" t="str">
        <f>IFERROR(HLOOKUP(C672, 'S21 Routing Clustered'!$B$2:$I$18, A672+1, 0), "")</f>
        <v/>
      </c>
      <c r="E672" s="391" t="str">
        <f t="shared" si="36"/>
        <v/>
      </c>
      <c r="F672" s="3" t="str">
        <f>IF(E672="", "", VLOOKUP(B672, 'S14 ABC Output'!$A$3:$C$18, 3, 0))</f>
        <v/>
      </c>
      <c r="I672" s="392" t="str">
        <f t="shared" si="38"/>
        <v>WS-12</v>
      </c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</row>
    <row r="673" spans="1:53">
      <c r="A673" s="3">
        <v>15</v>
      </c>
      <c r="B673" s="125" t="str">
        <f>IFERROR(INDEX('S21 Routing Clustered'!$A$3:$A$18, A673), "")</f>
        <v>I-053</v>
      </c>
      <c r="C673" s="3">
        <v>140</v>
      </c>
      <c r="D673" s="391" t="str">
        <f>IFERROR(HLOOKUP(C673, 'S21 Routing Clustered'!$B$2:$I$18, A673+1, 0), "")</f>
        <v/>
      </c>
      <c r="E673" s="391" t="str">
        <f t="shared" si="36"/>
        <v/>
      </c>
      <c r="F673" s="3" t="str">
        <f>IF(E673="", "", VLOOKUP(B673, 'S14 ABC Output'!$A$3:$C$18, 3, 0))</f>
        <v/>
      </c>
      <c r="I673" s="392" t="str">
        <f t="shared" si="38"/>
        <v>WS-13</v>
      </c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</row>
    <row r="674" spans="1:53">
      <c r="A674" s="3">
        <v>15</v>
      </c>
      <c r="B674" s="125" t="str">
        <f>IFERROR(INDEX('S21 Routing Clustered'!$A$3:$A$18, A674), "")</f>
        <v>I-053</v>
      </c>
      <c r="C674" s="3">
        <v>150</v>
      </c>
      <c r="D674" s="391" t="str">
        <f>IFERROR(HLOOKUP(C674, 'S21 Routing Clustered'!$B$2:$I$18, A674+1, 0), "")</f>
        <v/>
      </c>
      <c r="E674" s="391" t="str">
        <f t="shared" si="36"/>
        <v/>
      </c>
      <c r="F674" s="3" t="str">
        <f>IF(E674="", "", VLOOKUP(B674, 'S14 ABC Output'!$A$3:$C$18, 3, 0))</f>
        <v/>
      </c>
      <c r="I674" s="392" t="str">
        <f t="shared" si="38"/>
        <v>WS-14</v>
      </c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</row>
    <row r="675" spans="1:53">
      <c r="A675" s="3">
        <v>15</v>
      </c>
      <c r="B675" s="125" t="str">
        <f>IFERROR(INDEX('S21 Routing Clustered'!$A$3:$A$18, A675), "")</f>
        <v>I-053</v>
      </c>
      <c r="C675" s="3">
        <v>160</v>
      </c>
      <c r="D675" s="391" t="str">
        <f>IFERROR(HLOOKUP(C675, 'S21 Routing Clustered'!$B$2:$I$18, A675+1, 0), "")</f>
        <v/>
      </c>
      <c r="E675" s="391" t="str">
        <f t="shared" si="36"/>
        <v/>
      </c>
      <c r="F675" s="3" t="str">
        <f>IF(E675="", "", VLOOKUP(B675, 'S14 ABC Output'!$A$3:$C$18, 3, 0))</f>
        <v/>
      </c>
      <c r="I675" s="392" t="str">
        <f t="shared" si="38"/>
        <v>WS-15</v>
      </c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</row>
    <row r="676" spans="1:53">
      <c r="A676" s="3">
        <v>15</v>
      </c>
      <c r="B676" s="125" t="str">
        <f>IFERROR(INDEX('S21 Routing Clustered'!$A$3:$A$18, A676), "")</f>
        <v>I-053</v>
      </c>
      <c r="C676" s="3">
        <v>170</v>
      </c>
      <c r="D676" s="391" t="str">
        <f>IFERROR(HLOOKUP(C676, 'S21 Routing Clustered'!$B$2:$I$18, A676+1, 0), "")</f>
        <v/>
      </c>
      <c r="E676" s="391" t="str">
        <f t="shared" si="36"/>
        <v/>
      </c>
      <c r="F676" s="3" t="str">
        <f>IF(E676="", "", VLOOKUP(B676, 'S14 ABC Output'!$A$3:$C$18, 3, 0))</f>
        <v/>
      </c>
      <c r="I676" s="392" t="str">
        <f t="shared" si="38"/>
        <v>WS-16</v>
      </c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</row>
    <row r="677" spans="1:53">
      <c r="A677" s="3">
        <v>15</v>
      </c>
      <c r="B677" s="125" t="str">
        <f>IFERROR(INDEX('S21 Routing Clustered'!$A$3:$A$18, A677), "")</f>
        <v>I-053</v>
      </c>
      <c r="C677" s="3">
        <v>180</v>
      </c>
      <c r="D677" s="391" t="str">
        <f>IFERROR(HLOOKUP(C677, 'S21 Routing Clustered'!$B$2:$I$18, A677+1, 0), "")</f>
        <v/>
      </c>
      <c r="E677" s="391" t="str">
        <f t="shared" si="36"/>
        <v/>
      </c>
      <c r="F677" s="3" t="str">
        <f>IF(E677="", "", VLOOKUP(B677, 'S14 ABC Output'!$A$3:$C$18, 3, 0))</f>
        <v/>
      </c>
      <c r="I677" s="392" t="str">
        <f t="shared" si="38"/>
        <v>WS-17</v>
      </c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</row>
    <row r="678" spans="1:53">
      <c r="A678" s="3">
        <v>15</v>
      </c>
      <c r="B678" s="125" t="str">
        <f>IFERROR(INDEX('S21 Routing Clustered'!$A$3:$A$18, A678), "")</f>
        <v>I-053</v>
      </c>
      <c r="C678" s="3">
        <v>190</v>
      </c>
      <c r="D678" s="391" t="str">
        <f>IFERROR(HLOOKUP(C678, 'S21 Routing Clustered'!$B$2:$I$18, A678+1, 0), "")</f>
        <v/>
      </c>
      <c r="E678" s="391" t="str">
        <f t="shared" si="36"/>
        <v/>
      </c>
      <c r="F678" s="3" t="str">
        <f>IF(E678="", "", VLOOKUP(B678, 'S14 ABC Output'!$A$3:$C$18, 3, 0))</f>
        <v/>
      </c>
      <c r="I678" s="392" t="str">
        <f t="shared" si="38"/>
        <v>WS-18</v>
      </c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</row>
    <row r="679" spans="1:53">
      <c r="A679" s="3">
        <v>15</v>
      </c>
      <c r="B679" s="125" t="str">
        <f>IFERROR(INDEX('S21 Routing Clustered'!$A$3:$A$18, A679), "")</f>
        <v>I-053</v>
      </c>
      <c r="C679" s="3">
        <v>200</v>
      </c>
      <c r="D679" s="391" t="str">
        <f>IFERROR(HLOOKUP(C679, 'S21 Routing Clustered'!$B$2:$I$18, A679+1, 0), "")</f>
        <v/>
      </c>
      <c r="E679" s="391" t="str">
        <f t="shared" si="36"/>
        <v/>
      </c>
      <c r="F679" s="3" t="str">
        <f>IF(E679="", "", VLOOKUP(B679, 'S14 ABC Output'!$A$3:$C$18, 3, 0))</f>
        <v/>
      </c>
      <c r="I679" s="392" t="str">
        <f t="shared" si="38"/>
        <v>WS-19</v>
      </c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</row>
    <row r="680" spans="1:53">
      <c r="A680" s="3">
        <v>15</v>
      </c>
      <c r="B680" s="125" t="str">
        <f>IFERROR(INDEX('S21 Routing Clustered'!$A$3:$A$18, A680), "")</f>
        <v>I-053</v>
      </c>
      <c r="C680" s="3">
        <v>210</v>
      </c>
      <c r="D680" s="391" t="str">
        <f>IFERROR(HLOOKUP(C680, 'S21 Routing Clustered'!$B$2:$I$18, A680+1, 0), "")</f>
        <v/>
      </c>
      <c r="E680" s="391" t="str">
        <f t="shared" si="36"/>
        <v/>
      </c>
      <c r="F680" s="3" t="str">
        <f>IF(E680="", "", VLOOKUP(B680, 'S14 ABC Output'!$A$3:$C$18, 3, 0))</f>
        <v/>
      </c>
      <c r="I680" s="392" t="str">
        <f t="shared" si="38"/>
        <v>WS-20</v>
      </c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</row>
    <row r="681" spans="1:53">
      <c r="A681" s="3">
        <v>15</v>
      </c>
      <c r="B681" s="125" t="str">
        <f>IFERROR(INDEX('S21 Routing Clustered'!$A$3:$A$18, A681), "")</f>
        <v>I-053</v>
      </c>
      <c r="C681" s="3">
        <v>220</v>
      </c>
      <c r="D681" s="391" t="str">
        <f>IFERROR(HLOOKUP(C681, 'S21 Routing Clustered'!$B$2:$I$18, A681+1, 0), "")</f>
        <v/>
      </c>
      <c r="E681" s="391" t="str">
        <f t="shared" si="36"/>
        <v/>
      </c>
      <c r="F681" s="3" t="str">
        <f>IF(E681="", "", VLOOKUP(B681, 'S14 ABC Output'!$A$3:$C$18, 3, 0))</f>
        <v/>
      </c>
      <c r="I681" s="392" t="str">
        <f t="shared" si="38"/>
        <v>WS-21</v>
      </c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</row>
    <row r="682" spans="1:53">
      <c r="A682" s="3">
        <v>15</v>
      </c>
      <c r="B682" s="125" t="str">
        <f>IFERROR(INDEX('S21 Routing Clustered'!$A$3:$A$18, A682), "")</f>
        <v>I-053</v>
      </c>
      <c r="C682" s="3">
        <v>230</v>
      </c>
      <c r="D682" s="391" t="str">
        <f>IFERROR(HLOOKUP(C682, 'S21 Routing Clustered'!$B$2:$I$18, A682+1, 0), "")</f>
        <v/>
      </c>
      <c r="E682" s="391" t="str">
        <f t="shared" si="36"/>
        <v/>
      </c>
      <c r="F682" s="3" t="str">
        <f>IF(E682="", "", VLOOKUP(B682, 'S14 ABC Output'!$A$3:$C$18, 3, 0))</f>
        <v/>
      </c>
      <c r="I682" s="392" t="str">
        <f t="shared" si="38"/>
        <v>WS-22</v>
      </c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</row>
    <row r="683" spans="1:53">
      <c r="A683" s="3">
        <v>15</v>
      </c>
      <c r="B683" s="125" t="str">
        <f>IFERROR(INDEX('S21 Routing Clustered'!$A$3:$A$18, A683), "")</f>
        <v>I-053</v>
      </c>
      <c r="C683" s="3">
        <v>240</v>
      </c>
      <c r="D683" s="391" t="str">
        <f>IFERROR(HLOOKUP(C683, 'S21 Routing Clustered'!$B$2:$I$18, A683+1, 0), "")</f>
        <v/>
      </c>
      <c r="E683" s="391" t="str">
        <f t="shared" si="36"/>
        <v/>
      </c>
      <c r="F683" s="3" t="str">
        <f>IF(E683="", "", VLOOKUP(B683, 'S14 ABC Output'!$A$3:$C$18, 3, 0))</f>
        <v/>
      </c>
      <c r="I683" s="392" t="str">
        <f t="shared" si="38"/>
        <v>WS-23</v>
      </c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>
        <v>54682</v>
      </c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</row>
    <row r="684" spans="1:53">
      <c r="A684" s="3">
        <v>15</v>
      </c>
      <c r="B684" s="125" t="str">
        <f>IFERROR(INDEX('S21 Routing Clustered'!$A$3:$A$18, A684), "")</f>
        <v>I-053</v>
      </c>
      <c r="C684" s="3">
        <v>250</v>
      </c>
      <c r="D684" s="391" t="str">
        <f>IFERROR(HLOOKUP(C684, 'S21 Routing Clustered'!$B$2:$I$18, A684+1, 0), "")</f>
        <v/>
      </c>
      <c r="E684" s="391" t="str">
        <f t="shared" si="36"/>
        <v/>
      </c>
      <c r="F684" s="3" t="str">
        <f>IF(E684="", "", VLOOKUP(B684, 'S14 ABC Output'!$A$3:$C$18, 3, 0))</f>
        <v/>
      </c>
      <c r="I684" s="392" t="str">
        <f t="shared" si="38"/>
        <v>WS-24</v>
      </c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</row>
    <row r="685" spans="1:53">
      <c r="A685" s="3">
        <v>15</v>
      </c>
      <c r="B685" s="125" t="str">
        <f>IFERROR(INDEX('S21 Routing Clustered'!$A$3:$A$18, A685), "")</f>
        <v>I-053</v>
      </c>
      <c r="C685" s="3">
        <v>260</v>
      </c>
      <c r="D685" s="391" t="str">
        <f>IFERROR(HLOOKUP(C685, 'S21 Routing Clustered'!$B$2:$I$18, A685+1, 0), "")</f>
        <v/>
      </c>
      <c r="E685" s="391" t="str">
        <f t="shared" si="36"/>
        <v/>
      </c>
      <c r="F685" s="3" t="str">
        <f>IF(E685="", "", VLOOKUP(B685, 'S14 ABC Output'!$A$3:$C$18, 3, 0))</f>
        <v/>
      </c>
      <c r="I685" s="392" t="str">
        <f t="shared" si="38"/>
        <v>WS-25</v>
      </c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</row>
    <row r="686" spans="1:53">
      <c r="A686" s="3">
        <v>15</v>
      </c>
      <c r="B686" s="125" t="str">
        <f>IFERROR(INDEX('S21 Routing Clustered'!$A$3:$A$18, A686), "")</f>
        <v>I-053</v>
      </c>
      <c r="C686" s="3">
        <v>270</v>
      </c>
      <c r="D686" s="391" t="str">
        <f>IFERROR(HLOOKUP(C686, 'S21 Routing Clustered'!$B$2:$I$18, A686+1, 0), "")</f>
        <v/>
      </c>
      <c r="E686" s="391" t="str">
        <f t="shared" si="36"/>
        <v/>
      </c>
      <c r="F686" s="3" t="str">
        <f>IF(E686="", "", VLOOKUP(B686, 'S14 ABC Output'!$A$3:$C$18, 3, 0))</f>
        <v/>
      </c>
      <c r="I686" s="392" t="str">
        <f t="shared" si="38"/>
        <v>WS-26</v>
      </c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</row>
    <row r="687" spans="1:53">
      <c r="A687" s="3">
        <v>15</v>
      </c>
      <c r="B687" s="125" t="str">
        <f>IFERROR(INDEX('S21 Routing Clustered'!$A$3:$A$18, A687), "")</f>
        <v>I-053</v>
      </c>
      <c r="C687" s="3">
        <v>280</v>
      </c>
      <c r="D687" s="391" t="str">
        <f>IFERROR(HLOOKUP(C687, 'S21 Routing Clustered'!$B$2:$I$18, A687+1, 0), "")</f>
        <v/>
      </c>
      <c r="E687" s="391" t="str">
        <f t="shared" si="36"/>
        <v/>
      </c>
      <c r="F687" s="3" t="str">
        <f>IF(E687="", "", VLOOKUP(B687, 'S14 ABC Output'!$A$3:$C$18, 3, 0))</f>
        <v/>
      </c>
      <c r="I687" s="392" t="str">
        <f t="shared" si="38"/>
        <v>WS-27</v>
      </c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</row>
    <row r="688" spans="1:53">
      <c r="A688" s="3">
        <v>15</v>
      </c>
      <c r="B688" s="125" t="str">
        <f>IFERROR(INDEX('S21 Routing Clustered'!$A$3:$A$18, A688), "")</f>
        <v>I-053</v>
      </c>
      <c r="C688" s="3">
        <v>290</v>
      </c>
      <c r="D688" s="391" t="str">
        <f>IFERROR(HLOOKUP(C688, 'S21 Routing Clustered'!$B$2:$I$18, A688+1, 0), "")</f>
        <v/>
      </c>
      <c r="E688" s="391" t="str">
        <f t="shared" si="36"/>
        <v/>
      </c>
      <c r="F688" s="3" t="str">
        <f>IF(E688="", "", VLOOKUP(B688, 'S14 ABC Output'!$A$3:$C$18, 3, 0))</f>
        <v/>
      </c>
      <c r="I688" s="392" t="str">
        <f t="shared" si="38"/>
        <v>WS-28</v>
      </c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</row>
    <row r="689" spans="1:53">
      <c r="A689" s="3">
        <v>15</v>
      </c>
      <c r="B689" s="125" t="str">
        <f>IFERROR(INDEX('S21 Routing Clustered'!$A$3:$A$18, A689), "")</f>
        <v>I-053</v>
      </c>
      <c r="C689" s="3">
        <v>300</v>
      </c>
      <c r="D689" s="391" t="str">
        <f>IFERROR(HLOOKUP(C689, 'S21 Routing Clustered'!$B$2:$I$18, A689+1, 0), "")</f>
        <v/>
      </c>
      <c r="E689" s="391" t="str">
        <f t="shared" si="36"/>
        <v/>
      </c>
      <c r="F689" s="3" t="str">
        <f>IF(E689="", "", VLOOKUP(B689, 'S14 ABC Output'!$A$3:$C$18, 3, 0))</f>
        <v/>
      </c>
      <c r="I689" s="392" t="str">
        <f t="shared" si="38"/>
        <v>WS-29</v>
      </c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</row>
    <row r="690" spans="1:53">
      <c r="A690" s="3">
        <v>15</v>
      </c>
      <c r="B690" s="125" t="str">
        <f>IFERROR(INDEX('S21 Routing Clustered'!$A$3:$A$18, A690), "")</f>
        <v>I-053</v>
      </c>
      <c r="C690" s="3">
        <v>310</v>
      </c>
      <c r="D690" s="391" t="str">
        <f>IFERROR(HLOOKUP(C690, 'S21 Routing Clustered'!$B$2:$I$18, A690+1, 0), "")</f>
        <v/>
      </c>
      <c r="E690" s="391" t="str">
        <f t="shared" si="36"/>
        <v/>
      </c>
      <c r="F690" s="3" t="str">
        <f>IF(E690="", "", VLOOKUP(B690, 'S14 ABC Output'!$A$3:$C$18, 3, 0))</f>
        <v/>
      </c>
      <c r="I690" s="392" t="str">
        <f t="shared" si="38"/>
        <v>WS-30</v>
      </c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</row>
    <row r="691" spans="1:53">
      <c r="A691" s="3">
        <v>15</v>
      </c>
      <c r="B691" s="125" t="str">
        <f>IFERROR(INDEX('S21 Routing Clustered'!$A$3:$A$18, A691), "")</f>
        <v>I-053</v>
      </c>
      <c r="C691" s="3">
        <v>320</v>
      </c>
      <c r="D691" s="391" t="str">
        <f>IFERROR(HLOOKUP(C691, 'S21 Routing Clustered'!$B$2:$I$18, A691+1, 0), "")</f>
        <v/>
      </c>
      <c r="E691" s="391" t="str">
        <f t="shared" si="36"/>
        <v/>
      </c>
      <c r="F691" s="3" t="str">
        <f>IF(E691="", "", VLOOKUP(B691, 'S14 ABC Output'!$A$3:$C$18, 3, 0))</f>
        <v/>
      </c>
      <c r="I691" s="392" t="str">
        <f t="shared" si="38"/>
        <v>WS-31</v>
      </c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>
        <v>54682</v>
      </c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</row>
    <row r="692" spans="1:53">
      <c r="A692" s="3">
        <v>15</v>
      </c>
      <c r="B692" s="125" t="str">
        <f>IFERROR(INDEX('S21 Routing Clustered'!$A$3:$A$18, A692), "")</f>
        <v>I-053</v>
      </c>
      <c r="C692" s="3">
        <v>330</v>
      </c>
      <c r="D692" s="391" t="str">
        <f>IFERROR(HLOOKUP(C692, 'S21 Routing Clustered'!$B$2:$I$18, A692+1, 0), "")</f>
        <v/>
      </c>
      <c r="E692" s="391" t="str">
        <f t="shared" si="36"/>
        <v/>
      </c>
      <c r="F692" s="3" t="str">
        <f>IF(E692="", "", VLOOKUP(B692, 'S14 ABC Output'!$A$3:$C$18, 3, 0))</f>
        <v/>
      </c>
      <c r="I692" s="392" t="str">
        <f t="shared" si="38"/>
        <v>WS-32</v>
      </c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>
        <v>54682</v>
      </c>
    </row>
    <row r="693" spans="1:53">
      <c r="A693" s="3">
        <v>15</v>
      </c>
      <c r="B693" s="125" t="str">
        <f>IFERROR(INDEX('S21 Routing Clustered'!$A$3:$A$18, A693), "")</f>
        <v>I-053</v>
      </c>
      <c r="C693" s="3">
        <v>340</v>
      </c>
      <c r="D693" s="391" t="str">
        <f>IFERROR(HLOOKUP(C693, 'S21 Routing Clustered'!$B$2:$I$18, A693+1, 0), "")</f>
        <v/>
      </c>
      <c r="E693" s="391" t="str">
        <f t="shared" si="36"/>
        <v/>
      </c>
      <c r="F693" s="3" t="str">
        <f>IF(E693="", "", VLOOKUP(B693, 'S14 ABC Output'!$A$3:$C$18, 3, 0))</f>
        <v/>
      </c>
      <c r="I693" s="392" t="str">
        <f t="shared" si="38"/>
        <v>WS-33</v>
      </c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</row>
    <row r="694" spans="1:53">
      <c r="A694" s="3">
        <v>15</v>
      </c>
      <c r="B694" s="125" t="str">
        <f>IFERROR(INDEX('S21 Routing Clustered'!$A$3:$A$18, A694), "")</f>
        <v>I-053</v>
      </c>
      <c r="C694" s="3">
        <v>350</v>
      </c>
      <c r="D694" s="391" t="str">
        <f>IFERROR(HLOOKUP(C694, 'S21 Routing Clustered'!$B$2:$I$18, A694+1, 0), "")</f>
        <v/>
      </c>
      <c r="E694" s="391" t="str">
        <f t="shared" si="36"/>
        <v/>
      </c>
      <c r="F694" s="3" t="str">
        <f>IF(E694="", "", VLOOKUP(B694, 'S14 ABC Output'!$A$3:$C$18, 3, 0))</f>
        <v/>
      </c>
      <c r="I694" s="392" t="str">
        <f t="shared" si="38"/>
        <v>WS-34</v>
      </c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</row>
    <row r="695" spans="1:53">
      <c r="A695" s="3">
        <v>15</v>
      </c>
      <c r="B695" s="125" t="str">
        <f>IFERROR(INDEX('S21 Routing Clustered'!$A$3:$A$18, A695), "")</f>
        <v>I-053</v>
      </c>
      <c r="C695" s="3">
        <v>360</v>
      </c>
      <c r="D695" s="391" t="str">
        <f>IFERROR(HLOOKUP(C695, 'S21 Routing Clustered'!$B$2:$I$18, A695+1, 0), "")</f>
        <v/>
      </c>
      <c r="E695" s="391" t="str">
        <f t="shared" si="36"/>
        <v/>
      </c>
      <c r="F695" s="3" t="str">
        <f>IF(E695="", "", VLOOKUP(B695, 'S14 ABC Output'!$A$3:$C$18, 3, 0))</f>
        <v/>
      </c>
      <c r="I695" s="392" t="str">
        <f t="shared" si="38"/>
        <v>WS-35</v>
      </c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</row>
    <row r="696" spans="1:53">
      <c r="A696" s="3">
        <v>15</v>
      </c>
      <c r="B696" s="125" t="str">
        <f>IFERROR(INDEX('S21 Routing Clustered'!$A$3:$A$18, A696), "")</f>
        <v>I-053</v>
      </c>
      <c r="C696" s="3">
        <v>370</v>
      </c>
      <c r="D696" s="391" t="str">
        <f>IFERROR(HLOOKUP(C696, 'S21 Routing Clustered'!$B$2:$I$18, A696+1, 0), "")</f>
        <v/>
      </c>
      <c r="E696" s="391" t="str">
        <f t="shared" si="36"/>
        <v/>
      </c>
      <c r="F696" s="3" t="str">
        <f>IF(E696="", "", VLOOKUP(B696, 'S14 ABC Output'!$A$3:$C$18, 3, 0))</f>
        <v/>
      </c>
      <c r="I696" s="392" t="str">
        <f t="shared" si="38"/>
        <v>WS-36</v>
      </c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</row>
    <row r="697" spans="1:53">
      <c r="A697" s="3">
        <v>15</v>
      </c>
      <c r="B697" s="125" t="str">
        <f>IFERROR(INDEX('S21 Routing Clustered'!$A$3:$A$18, A697), "")</f>
        <v>I-053</v>
      </c>
      <c r="C697" s="3">
        <v>380</v>
      </c>
      <c r="D697" s="391" t="str">
        <f>IFERROR(HLOOKUP(C697, 'S21 Routing Clustered'!$B$2:$I$18, A697+1, 0), "")</f>
        <v/>
      </c>
      <c r="E697" s="391" t="str">
        <f t="shared" si="36"/>
        <v/>
      </c>
      <c r="F697" s="3" t="str">
        <f>IF(E697="", "", VLOOKUP(B697, 'S14 ABC Output'!$A$3:$C$18, 3, 0))</f>
        <v/>
      </c>
      <c r="I697" s="392" t="str">
        <f t="shared" si="38"/>
        <v>WS-37</v>
      </c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</row>
    <row r="698" spans="1:53">
      <c r="A698" s="3">
        <v>15</v>
      </c>
      <c r="B698" s="125" t="str">
        <f>IFERROR(INDEX('S21 Routing Clustered'!$A$3:$A$18, A698), "")</f>
        <v>I-053</v>
      </c>
      <c r="C698" s="3">
        <v>390</v>
      </c>
      <c r="D698" s="391" t="str">
        <f>IFERROR(HLOOKUP(C698, 'S21 Routing Clustered'!$B$2:$I$18, A698+1, 0), "")</f>
        <v/>
      </c>
      <c r="E698" s="391" t="str">
        <f t="shared" si="36"/>
        <v/>
      </c>
      <c r="F698" s="3" t="str">
        <f>IF(E698="", "", VLOOKUP(B698, 'S14 ABC Output'!$A$3:$C$18, 3, 0))</f>
        <v/>
      </c>
      <c r="I698" s="392" t="str">
        <f t="shared" si="38"/>
        <v>WS-38</v>
      </c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</row>
    <row r="699" spans="1:53">
      <c r="A699" s="3">
        <v>15</v>
      </c>
      <c r="B699" s="125" t="str">
        <f>IFERROR(INDEX('S21 Routing Clustered'!$A$3:$A$18, A699), "")</f>
        <v>I-053</v>
      </c>
      <c r="C699" s="3">
        <v>400</v>
      </c>
      <c r="D699" s="391" t="str">
        <f>IFERROR(HLOOKUP(C699, 'S21 Routing Clustered'!$B$2:$I$18, A699+1, 0), "")</f>
        <v/>
      </c>
      <c r="E699" s="391" t="str">
        <f t="shared" si="36"/>
        <v/>
      </c>
      <c r="F699" s="3" t="str">
        <f>IF(E699="", "", VLOOKUP(B699, 'S14 ABC Output'!$A$3:$C$18, 3, 0))</f>
        <v/>
      </c>
      <c r="I699" s="392" t="str">
        <f t="shared" si="38"/>
        <v>WS-39</v>
      </c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</row>
    <row r="700" spans="1:53">
      <c r="A700" s="3">
        <v>15</v>
      </c>
      <c r="B700" s="125" t="str">
        <f>IFERROR(INDEX('S21 Routing Clustered'!$A$3:$A$18, A700), "")</f>
        <v>I-053</v>
      </c>
      <c r="C700" s="3">
        <v>410</v>
      </c>
      <c r="D700" s="391" t="str">
        <f>IFERROR(HLOOKUP(C700, 'S21 Routing Clustered'!$B$2:$I$18, A700+1, 0), "")</f>
        <v/>
      </c>
      <c r="E700" s="391" t="str">
        <f t="shared" si="36"/>
        <v/>
      </c>
      <c r="F700" s="3" t="str">
        <f>IF(E700="", "", VLOOKUP(B700, 'S14 ABC Output'!$A$3:$C$18, 3, 0))</f>
        <v/>
      </c>
      <c r="I700" s="392" t="str">
        <f t="shared" si="38"/>
        <v>WS-40</v>
      </c>
      <c r="J700" s="3"/>
      <c r="K700" s="3"/>
      <c r="L700" s="3"/>
      <c r="M700" s="3">
        <v>54682</v>
      </c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</row>
    <row r="701" spans="1:53">
      <c r="A701" s="3">
        <v>15</v>
      </c>
      <c r="B701" s="125" t="str">
        <f>IFERROR(INDEX('S21 Routing Clustered'!$A$3:$A$18, A701), "")</f>
        <v>I-053</v>
      </c>
      <c r="C701" s="3">
        <v>420</v>
      </c>
      <c r="D701" s="391" t="str">
        <f>IFERROR(HLOOKUP(C701, 'S21 Routing Clustered'!$B$2:$I$18, A701+1, 0), "")</f>
        <v/>
      </c>
      <c r="E701" s="391" t="str">
        <f t="shared" si="36"/>
        <v/>
      </c>
      <c r="F701" s="3" t="str">
        <f>IF(E701="", "", VLOOKUP(B701, 'S14 ABC Output'!$A$3:$C$18, 3, 0))</f>
        <v/>
      </c>
      <c r="I701" s="392" t="str">
        <f t="shared" si="38"/>
        <v>WS-41</v>
      </c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</row>
    <row r="702" spans="1:53">
      <c r="A702" s="3">
        <v>15</v>
      </c>
      <c r="B702" s="125" t="str">
        <f>IFERROR(INDEX('S21 Routing Clustered'!$A$3:$A$18, A702), "")</f>
        <v>I-053</v>
      </c>
      <c r="C702" s="3">
        <v>430</v>
      </c>
      <c r="D702" s="391" t="str">
        <f>IFERROR(HLOOKUP(C702, 'S21 Routing Clustered'!$B$2:$I$18, A702+1, 0), "")</f>
        <v/>
      </c>
      <c r="E702" s="391" t="str">
        <f t="shared" si="36"/>
        <v/>
      </c>
      <c r="F702" s="3" t="str">
        <f>IF(E702="", "", VLOOKUP(B702, 'S14 ABC Output'!$A$3:$C$18, 3, 0))</f>
        <v/>
      </c>
      <c r="I702" s="392" t="str">
        <f t="shared" si="38"/>
        <v>WS-42</v>
      </c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</row>
    <row r="703" spans="1:53">
      <c r="A703" s="3">
        <v>15</v>
      </c>
      <c r="B703" s="125" t="str">
        <f>IFERROR(INDEX('S21 Routing Clustered'!$A$3:$A$18, A703), "")</f>
        <v>I-053</v>
      </c>
      <c r="C703" s="3">
        <v>440</v>
      </c>
      <c r="D703" s="391" t="str">
        <f>IFERROR(HLOOKUP(C703, 'S21 Routing Clustered'!$B$2:$I$18, A703+1, 0), "")</f>
        <v/>
      </c>
      <c r="E703" s="391" t="str">
        <f t="shared" si="36"/>
        <v/>
      </c>
      <c r="F703" s="3" t="str">
        <f>IF(E703="", "", VLOOKUP(B703, 'S14 ABC Output'!$A$3:$C$18, 3, 0))</f>
        <v/>
      </c>
      <c r="I703" s="392" t="str">
        <f t="shared" si="38"/>
        <v>WS-43</v>
      </c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>
        <v>54682</v>
      </c>
      <c r="AX703" s="3"/>
      <c r="AY703" s="3"/>
      <c r="AZ703" s="3"/>
      <c r="BA703" s="3"/>
    </row>
    <row r="704" spans="1:53">
      <c r="A704" s="3">
        <v>15</v>
      </c>
      <c r="B704" s="125" t="str">
        <f>IFERROR(INDEX('S21 Routing Clustered'!$A$3:$A$18, A704), "")</f>
        <v>I-053</v>
      </c>
      <c r="C704" s="3">
        <v>450</v>
      </c>
      <c r="D704" s="391" t="str">
        <f>IFERROR(HLOOKUP(C704, 'S21 Routing Clustered'!$B$2:$I$18, A704+1, 0), "")</f>
        <v/>
      </c>
      <c r="E704" s="391" t="str">
        <f t="shared" si="36"/>
        <v/>
      </c>
      <c r="F704" s="3" t="str">
        <f>IF(E704="", "", VLOOKUP(B704, 'S14 ABC Output'!$A$3:$C$18, 3, 0))</f>
        <v/>
      </c>
      <c r="I704" s="392" t="str">
        <f t="shared" si="38"/>
        <v>WS-44</v>
      </c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</row>
    <row r="705" spans="1:53">
      <c r="B705" s="125" t="str">
        <f>IFERROR(INDEX('S21 Routing Clustered'!$A$3:$A$18, A705), "")</f>
        <v/>
      </c>
      <c r="D705" s="391" t="str">
        <f>IFERROR(HLOOKUP(C705, 'S21 Routing Clustered'!$B$2:$I$18, A705+1, 0), "")</f>
        <v/>
      </c>
      <c r="E705" s="391" t="str">
        <f t="shared" si="36"/>
        <v/>
      </c>
      <c r="F705" s="3" t="str">
        <f>IF(E705="", "", VLOOKUP(B705, 'S14 ABC Output'!$A$3:$C$18, 3, 0))</f>
        <v/>
      </c>
      <c r="I705" s="392"/>
    </row>
    <row r="706" spans="1:53">
      <c r="B706" s="125" t="str">
        <f>IFERROR(INDEX('S21 Routing Clustered'!$A$3:$A$18, A706), "")</f>
        <v/>
      </c>
      <c r="D706" s="391" t="str">
        <f>IFERROR(HLOOKUP(C706, 'S21 Routing Clustered'!$B$2:$I$18, A706+1, 0), "")</f>
        <v/>
      </c>
      <c r="E706" s="391" t="str">
        <f t="shared" si="36"/>
        <v/>
      </c>
      <c r="F706" s="3" t="str">
        <f>IF(E706="", "", VLOOKUP(B706, 'S14 ABC Output'!$A$3:$C$18, 3, 0))</f>
        <v/>
      </c>
      <c r="I706" s="392"/>
    </row>
    <row r="707" spans="1:53">
      <c r="A707" s="3">
        <v>16</v>
      </c>
      <c r="B707" s="125" t="str">
        <f>IFERROR(INDEX('S21 Routing Clustered'!$A$3:$A$18, A707), "")</f>
        <v>I-064</v>
      </c>
      <c r="C707" s="3">
        <v>10</v>
      </c>
      <c r="D707" s="391" t="str">
        <f>IFERROR(HLOOKUP(C707, 'S21 Routing Clustered'!$B$2:$I$18, A707+1, 0), "")</f>
        <v>WS-43</v>
      </c>
      <c r="E707" s="391" t="str">
        <f t="shared" ref="E707:E770" si="39">IF(D707="", "", D708)</f>
        <v>WS-40</v>
      </c>
      <c r="F707" s="3">
        <f>IF(E707="", "", VLOOKUP(B707, 'S14 ABC Output'!$A$3:$C$18, 3, 0))</f>
        <v>86542</v>
      </c>
      <c r="I707" s="392"/>
      <c r="J707" s="392" t="str">
        <f>J660</f>
        <v>WS-01</v>
      </c>
      <c r="K707" s="392" t="str">
        <f t="shared" ref="K707:BA707" si="40">K660</f>
        <v>WS-02</v>
      </c>
      <c r="L707" s="392" t="str">
        <f t="shared" si="40"/>
        <v>WS-03</v>
      </c>
      <c r="M707" s="392" t="str">
        <f t="shared" si="40"/>
        <v>WS-04</v>
      </c>
      <c r="N707" s="392" t="str">
        <f t="shared" si="40"/>
        <v>WS-05</v>
      </c>
      <c r="O707" s="392" t="str">
        <f t="shared" si="40"/>
        <v>WS-06</v>
      </c>
      <c r="P707" s="392" t="str">
        <f t="shared" si="40"/>
        <v>WS-07</v>
      </c>
      <c r="Q707" s="392" t="str">
        <f t="shared" si="40"/>
        <v>WS-08</v>
      </c>
      <c r="R707" s="392" t="str">
        <f t="shared" si="40"/>
        <v>WS-09</v>
      </c>
      <c r="S707" s="392" t="str">
        <f t="shared" si="40"/>
        <v>WS-10</v>
      </c>
      <c r="T707" s="392" t="str">
        <f t="shared" si="40"/>
        <v>WS-11</v>
      </c>
      <c r="U707" s="392" t="str">
        <f t="shared" si="40"/>
        <v>WS-12</v>
      </c>
      <c r="V707" s="392" t="str">
        <f t="shared" si="40"/>
        <v>WS-13</v>
      </c>
      <c r="W707" s="392" t="str">
        <f t="shared" si="40"/>
        <v>WS-14</v>
      </c>
      <c r="X707" s="392" t="str">
        <f t="shared" si="40"/>
        <v>WS-15</v>
      </c>
      <c r="Y707" s="392" t="str">
        <f t="shared" si="40"/>
        <v>WS-16</v>
      </c>
      <c r="Z707" s="392" t="str">
        <f t="shared" si="40"/>
        <v>WS-17</v>
      </c>
      <c r="AA707" s="392" t="str">
        <f t="shared" si="40"/>
        <v>WS-18</v>
      </c>
      <c r="AB707" s="392" t="str">
        <f t="shared" si="40"/>
        <v>WS-19</v>
      </c>
      <c r="AC707" s="392" t="str">
        <f t="shared" si="40"/>
        <v>WS-20</v>
      </c>
      <c r="AD707" s="392" t="str">
        <f t="shared" si="40"/>
        <v>WS-21</v>
      </c>
      <c r="AE707" s="392" t="str">
        <f t="shared" si="40"/>
        <v>WS-22</v>
      </c>
      <c r="AF707" s="392" t="str">
        <f t="shared" si="40"/>
        <v>WS-23</v>
      </c>
      <c r="AG707" s="392" t="str">
        <f t="shared" si="40"/>
        <v>WS-24</v>
      </c>
      <c r="AH707" s="392" t="str">
        <f t="shared" si="40"/>
        <v>WS-25</v>
      </c>
      <c r="AI707" s="392" t="str">
        <f t="shared" si="40"/>
        <v>WS-26</v>
      </c>
      <c r="AJ707" s="392" t="str">
        <f t="shared" si="40"/>
        <v>WS-27</v>
      </c>
      <c r="AK707" s="392" t="str">
        <f t="shared" si="40"/>
        <v>WS-28</v>
      </c>
      <c r="AL707" s="392" t="str">
        <f t="shared" si="40"/>
        <v>WS-29</v>
      </c>
      <c r="AM707" s="392" t="str">
        <f t="shared" si="40"/>
        <v>WS-30</v>
      </c>
      <c r="AN707" s="392" t="str">
        <f t="shared" si="40"/>
        <v>WS-31</v>
      </c>
      <c r="AO707" s="392" t="str">
        <f t="shared" si="40"/>
        <v>WS-32</v>
      </c>
      <c r="AP707" s="392" t="str">
        <f t="shared" si="40"/>
        <v>WS-33</v>
      </c>
      <c r="AQ707" s="392" t="str">
        <f t="shared" si="40"/>
        <v>WS-34</v>
      </c>
      <c r="AR707" s="392" t="str">
        <f t="shared" si="40"/>
        <v>WS-35</v>
      </c>
      <c r="AS707" s="392" t="str">
        <f t="shared" si="40"/>
        <v>WS-36</v>
      </c>
      <c r="AT707" s="392" t="str">
        <f t="shared" si="40"/>
        <v>WS-37</v>
      </c>
      <c r="AU707" s="392" t="str">
        <f t="shared" si="40"/>
        <v>WS-38</v>
      </c>
      <c r="AV707" s="392" t="str">
        <f t="shared" si="40"/>
        <v>WS-39</v>
      </c>
      <c r="AW707" s="392" t="str">
        <f t="shared" si="40"/>
        <v>WS-40</v>
      </c>
      <c r="AX707" s="392" t="str">
        <f t="shared" si="40"/>
        <v>WS-41</v>
      </c>
      <c r="AY707" s="392" t="str">
        <f t="shared" si="40"/>
        <v>WS-42</v>
      </c>
      <c r="AZ707" s="392" t="str">
        <f t="shared" si="40"/>
        <v>WS-43</v>
      </c>
      <c r="BA707" s="392" t="str">
        <f t="shared" si="40"/>
        <v>WS-44</v>
      </c>
    </row>
    <row r="708" spans="1:53">
      <c r="A708" s="3">
        <v>16</v>
      </c>
      <c r="B708" s="125" t="str">
        <f>IFERROR(INDEX('S21 Routing Clustered'!$A$3:$A$18, A708), "")</f>
        <v>I-064</v>
      </c>
      <c r="C708" s="3">
        <v>20</v>
      </c>
      <c r="D708" s="391" t="str">
        <f>IFERROR(HLOOKUP(C708, 'S21 Routing Clustered'!$B$2:$I$18, A708+1, 0), "")</f>
        <v>WS-40</v>
      </c>
      <c r="E708" s="391" t="str">
        <f t="shared" si="39"/>
        <v>WS-04</v>
      </c>
      <c r="F708" s="3">
        <f>IF(E708="", "", VLOOKUP(B708, 'S14 ABC Output'!$A$3:$C$18, 3, 0))</f>
        <v>86542</v>
      </c>
      <c r="I708" s="392" t="str">
        <f>I661</f>
        <v>WS-01</v>
      </c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</row>
    <row r="709" spans="1:53">
      <c r="A709" s="3">
        <v>16</v>
      </c>
      <c r="B709" s="125" t="str">
        <f>IFERROR(INDEX('S21 Routing Clustered'!$A$3:$A$18, A709), "")</f>
        <v>I-064</v>
      </c>
      <c r="C709" s="3">
        <v>30</v>
      </c>
      <c r="D709" s="391" t="str">
        <f>IFERROR(HLOOKUP(C709, 'S21 Routing Clustered'!$B$2:$I$18, A709+1, 0), "")</f>
        <v>WS-04</v>
      </c>
      <c r="E709" s="391" t="str">
        <f t="shared" si="39"/>
        <v>WS-03</v>
      </c>
      <c r="F709" s="3">
        <f>IF(E709="", "", VLOOKUP(B709, 'S14 ABC Output'!$A$3:$C$18, 3, 0))</f>
        <v>86542</v>
      </c>
      <c r="I709" s="392" t="str">
        <f t="shared" ref="I709:I751" si="41">I662</f>
        <v>WS-02</v>
      </c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</row>
    <row r="710" spans="1:53">
      <c r="A710" s="3">
        <v>16</v>
      </c>
      <c r="B710" s="125" t="str">
        <f>IFERROR(INDEX('S21 Routing Clustered'!$A$3:$A$18, A710), "")</f>
        <v>I-064</v>
      </c>
      <c r="C710" s="3">
        <v>40</v>
      </c>
      <c r="D710" s="391" t="str">
        <f>IFERROR(HLOOKUP(C710, 'S21 Routing Clustered'!$B$2:$I$18, A710+1, 0), "")</f>
        <v>WS-03</v>
      </c>
      <c r="E710" s="391" t="str">
        <f t="shared" si="39"/>
        <v>WS-23</v>
      </c>
      <c r="F710" s="3">
        <f>IF(E710="", "", VLOOKUP(B710, 'S14 ABC Output'!$A$3:$C$18, 3, 0))</f>
        <v>86542</v>
      </c>
      <c r="I710" s="392" t="str">
        <f t="shared" si="41"/>
        <v>WS-03</v>
      </c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>
        <v>86542</v>
      </c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</row>
    <row r="711" spans="1:53">
      <c r="A711" s="3">
        <v>16</v>
      </c>
      <c r="B711" s="125" t="str">
        <f>IFERROR(INDEX('S21 Routing Clustered'!$A$3:$A$18, A711), "")</f>
        <v>I-064</v>
      </c>
      <c r="C711" s="3">
        <v>50</v>
      </c>
      <c r="D711" s="391" t="str">
        <f>IFERROR(HLOOKUP(C711, 'S21 Routing Clustered'!$B$2:$I$18, A711+1, 0), "")</f>
        <v>WS-23</v>
      </c>
      <c r="E711" s="391" t="str">
        <f t="shared" si="39"/>
        <v>WS-31</v>
      </c>
      <c r="F711" s="3">
        <f>IF(E711="", "", VLOOKUP(B711, 'S14 ABC Output'!$A$3:$C$18, 3, 0))</f>
        <v>86542</v>
      </c>
      <c r="I711" s="392" t="str">
        <f t="shared" si="41"/>
        <v>WS-04</v>
      </c>
      <c r="J711" s="3"/>
      <c r="K711" s="3"/>
      <c r="L711" s="3">
        <v>86542</v>
      </c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</row>
    <row r="712" spans="1:53">
      <c r="A712" s="3">
        <v>16</v>
      </c>
      <c r="B712" s="125" t="str">
        <f>IFERROR(INDEX('S21 Routing Clustered'!$A$3:$A$18, A712), "")</f>
        <v>I-064</v>
      </c>
      <c r="C712" s="3">
        <v>60</v>
      </c>
      <c r="D712" s="391" t="str">
        <f>IFERROR(HLOOKUP(C712, 'S21 Routing Clustered'!$B$2:$I$18, A712+1, 0), "")</f>
        <v>WS-31</v>
      </c>
      <c r="E712" s="391" t="str">
        <f t="shared" si="39"/>
        <v>WS-32</v>
      </c>
      <c r="F712" s="3">
        <f>IF(E712="", "", VLOOKUP(B712, 'S14 ABC Output'!$A$3:$C$18, 3, 0))</f>
        <v>86542</v>
      </c>
      <c r="I712" s="392" t="str">
        <f t="shared" si="41"/>
        <v>WS-05</v>
      </c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</row>
    <row r="713" spans="1:53">
      <c r="A713" s="3">
        <v>16</v>
      </c>
      <c r="B713" s="125" t="str">
        <f>IFERROR(INDEX('S21 Routing Clustered'!$A$3:$A$18, A713), "")</f>
        <v>I-064</v>
      </c>
      <c r="C713" s="3">
        <v>70</v>
      </c>
      <c r="D713" s="391" t="str">
        <f>IFERROR(HLOOKUP(C713, 'S21 Routing Clustered'!$B$2:$I$18, A713+1, 0), "")</f>
        <v>WS-32</v>
      </c>
      <c r="E713" s="391" t="str">
        <f t="shared" si="39"/>
        <v>WS-42</v>
      </c>
      <c r="F713" s="3">
        <f>IF(E713="", "", VLOOKUP(B713, 'S14 ABC Output'!$A$3:$C$18, 3, 0))</f>
        <v>86542</v>
      </c>
      <c r="I713" s="392" t="str">
        <f t="shared" si="41"/>
        <v>WS-06</v>
      </c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</row>
    <row r="714" spans="1:53">
      <c r="A714" s="3">
        <v>16</v>
      </c>
      <c r="B714" s="125" t="str">
        <f>IFERROR(INDEX('S21 Routing Clustered'!$A$3:$A$18, A714), "")</f>
        <v>I-064</v>
      </c>
      <c r="C714" s="3">
        <v>80</v>
      </c>
      <c r="D714" s="391" t="str">
        <f>IFERROR(HLOOKUP(C714, 'S21 Routing Clustered'!$B$2:$I$18, A714+1, 0), "")</f>
        <v>WS-42</v>
      </c>
      <c r="E714" s="391" t="str">
        <f t="shared" si="39"/>
        <v/>
      </c>
      <c r="F714" s="3" t="str">
        <f>IF(E714="", "", VLOOKUP(B714, 'S14 ABC Output'!$A$3:$C$18, 3, 0))</f>
        <v/>
      </c>
      <c r="I714" s="392" t="str">
        <f t="shared" si="41"/>
        <v>WS-07</v>
      </c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</row>
    <row r="715" spans="1:53">
      <c r="A715" s="3">
        <v>16</v>
      </c>
      <c r="B715" s="125" t="str">
        <f>IFERROR(INDEX('S21 Routing Clustered'!$A$3:$A$18, A715), "")</f>
        <v>I-064</v>
      </c>
      <c r="C715" s="3">
        <v>90</v>
      </c>
      <c r="D715" s="391" t="str">
        <f>IFERROR(HLOOKUP(C715, 'S21 Routing Clustered'!$B$2:$I$18, A715+1, 0), "")</f>
        <v/>
      </c>
      <c r="E715" s="391" t="str">
        <f t="shared" si="39"/>
        <v/>
      </c>
      <c r="F715" s="3" t="str">
        <f>IF(E715="", "", VLOOKUP(B715, 'S14 ABC Output'!$A$3:$C$18, 3, 0))</f>
        <v/>
      </c>
      <c r="I715" s="392" t="str">
        <f t="shared" si="41"/>
        <v>WS-08</v>
      </c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</row>
    <row r="716" spans="1:53">
      <c r="A716" s="3">
        <v>16</v>
      </c>
      <c r="B716" s="125" t="str">
        <f>IFERROR(INDEX('S21 Routing Clustered'!$A$3:$A$18, A716), "")</f>
        <v>I-064</v>
      </c>
      <c r="C716" s="3">
        <v>100</v>
      </c>
      <c r="D716" s="391" t="str">
        <f>IFERROR(HLOOKUP(C716, 'S21 Routing Clustered'!$B$2:$I$18, A716+1, 0), "")</f>
        <v/>
      </c>
      <c r="E716" s="391" t="str">
        <f t="shared" si="39"/>
        <v/>
      </c>
      <c r="F716" s="3" t="str">
        <f>IF(E716="", "", VLOOKUP(B716, 'S14 ABC Output'!$A$3:$C$18, 3, 0))</f>
        <v/>
      </c>
      <c r="I716" s="392" t="str">
        <f t="shared" si="41"/>
        <v>WS-09</v>
      </c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</row>
    <row r="717" spans="1:53">
      <c r="A717" s="3">
        <v>16</v>
      </c>
      <c r="B717" s="125" t="str">
        <f>IFERROR(INDEX('S21 Routing Clustered'!$A$3:$A$18, A717), "")</f>
        <v>I-064</v>
      </c>
      <c r="C717" s="3">
        <v>110</v>
      </c>
      <c r="D717" s="391" t="str">
        <f>IFERROR(HLOOKUP(C717, 'S21 Routing Clustered'!$B$2:$I$18, A717+1, 0), "")</f>
        <v/>
      </c>
      <c r="E717" s="391" t="str">
        <f t="shared" si="39"/>
        <v/>
      </c>
      <c r="F717" s="3" t="str">
        <f>IF(E717="", "", VLOOKUP(B717, 'S14 ABC Output'!$A$3:$C$18, 3, 0))</f>
        <v/>
      </c>
      <c r="I717" s="392" t="str">
        <f t="shared" si="41"/>
        <v>WS-10</v>
      </c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</row>
    <row r="718" spans="1:53">
      <c r="A718" s="3">
        <v>16</v>
      </c>
      <c r="B718" s="125" t="str">
        <f>IFERROR(INDEX('S21 Routing Clustered'!$A$3:$A$18, A718), "")</f>
        <v>I-064</v>
      </c>
      <c r="C718" s="3">
        <v>120</v>
      </c>
      <c r="D718" s="391" t="str">
        <f>IFERROR(HLOOKUP(C718, 'S21 Routing Clustered'!$B$2:$I$18, A718+1, 0), "")</f>
        <v/>
      </c>
      <c r="E718" s="391" t="str">
        <f t="shared" si="39"/>
        <v/>
      </c>
      <c r="F718" s="3" t="str">
        <f>IF(E718="", "", VLOOKUP(B718, 'S14 ABC Output'!$A$3:$C$18, 3, 0))</f>
        <v/>
      </c>
      <c r="I718" s="392" t="str">
        <f t="shared" si="41"/>
        <v>WS-11</v>
      </c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</row>
    <row r="719" spans="1:53">
      <c r="A719" s="3">
        <v>16</v>
      </c>
      <c r="B719" s="125" t="str">
        <f>IFERROR(INDEX('S21 Routing Clustered'!$A$3:$A$18, A719), "")</f>
        <v>I-064</v>
      </c>
      <c r="C719" s="3">
        <v>130</v>
      </c>
      <c r="D719" s="391" t="str">
        <f>IFERROR(HLOOKUP(C719, 'S21 Routing Clustered'!$B$2:$I$18, A719+1, 0), "")</f>
        <v/>
      </c>
      <c r="E719" s="391" t="str">
        <f t="shared" si="39"/>
        <v/>
      </c>
      <c r="F719" s="3" t="str">
        <f>IF(E719="", "", VLOOKUP(B719, 'S14 ABC Output'!$A$3:$C$18, 3, 0))</f>
        <v/>
      </c>
      <c r="I719" s="392" t="str">
        <f t="shared" si="41"/>
        <v>WS-12</v>
      </c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</row>
    <row r="720" spans="1:53">
      <c r="A720" s="3">
        <v>16</v>
      </c>
      <c r="B720" s="125" t="str">
        <f>IFERROR(INDEX('S21 Routing Clustered'!$A$3:$A$18, A720), "")</f>
        <v>I-064</v>
      </c>
      <c r="C720" s="3">
        <v>140</v>
      </c>
      <c r="D720" s="391" t="str">
        <f>IFERROR(HLOOKUP(C720, 'S21 Routing Clustered'!$B$2:$I$18, A720+1, 0), "")</f>
        <v/>
      </c>
      <c r="E720" s="391" t="str">
        <f t="shared" si="39"/>
        <v/>
      </c>
      <c r="F720" s="3" t="str">
        <f>IF(E720="", "", VLOOKUP(B720, 'S14 ABC Output'!$A$3:$C$18, 3, 0))</f>
        <v/>
      </c>
      <c r="I720" s="392" t="str">
        <f t="shared" si="41"/>
        <v>WS-13</v>
      </c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</row>
    <row r="721" spans="1:53">
      <c r="A721" s="3">
        <v>16</v>
      </c>
      <c r="B721" s="125" t="str">
        <f>IFERROR(INDEX('S21 Routing Clustered'!$A$3:$A$18, A721), "")</f>
        <v>I-064</v>
      </c>
      <c r="C721" s="3">
        <v>150</v>
      </c>
      <c r="D721" s="391" t="str">
        <f>IFERROR(HLOOKUP(C721, 'S21 Routing Clustered'!$B$2:$I$18, A721+1, 0), "")</f>
        <v/>
      </c>
      <c r="E721" s="391" t="str">
        <f t="shared" si="39"/>
        <v/>
      </c>
      <c r="F721" s="3" t="str">
        <f>IF(E721="", "", VLOOKUP(B721, 'S14 ABC Output'!$A$3:$C$18, 3, 0))</f>
        <v/>
      </c>
      <c r="I721" s="392" t="str">
        <f t="shared" si="41"/>
        <v>WS-14</v>
      </c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</row>
    <row r="722" spans="1:53">
      <c r="A722" s="3">
        <v>16</v>
      </c>
      <c r="B722" s="125" t="str">
        <f>IFERROR(INDEX('S21 Routing Clustered'!$A$3:$A$18, A722), "")</f>
        <v>I-064</v>
      </c>
      <c r="C722" s="3">
        <v>160</v>
      </c>
      <c r="D722" s="391" t="str">
        <f>IFERROR(HLOOKUP(C722, 'S21 Routing Clustered'!$B$2:$I$18, A722+1, 0), "")</f>
        <v/>
      </c>
      <c r="E722" s="391" t="str">
        <f t="shared" si="39"/>
        <v/>
      </c>
      <c r="F722" s="3" t="str">
        <f>IF(E722="", "", VLOOKUP(B722, 'S14 ABC Output'!$A$3:$C$18, 3, 0))</f>
        <v/>
      </c>
      <c r="I722" s="392" t="str">
        <f t="shared" si="41"/>
        <v>WS-15</v>
      </c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</row>
    <row r="723" spans="1:53">
      <c r="A723" s="3">
        <v>16</v>
      </c>
      <c r="B723" s="125" t="str">
        <f>IFERROR(INDEX('S21 Routing Clustered'!$A$3:$A$18, A723), "")</f>
        <v>I-064</v>
      </c>
      <c r="C723" s="3">
        <v>170</v>
      </c>
      <c r="D723" s="391" t="str">
        <f>IFERROR(HLOOKUP(C723, 'S21 Routing Clustered'!$B$2:$I$18, A723+1, 0), "")</f>
        <v/>
      </c>
      <c r="E723" s="391" t="str">
        <f t="shared" si="39"/>
        <v/>
      </c>
      <c r="F723" s="3" t="str">
        <f>IF(E723="", "", VLOOKUP(B723, 'S14 ABC Output'!$A$3:$C$18, 3, 0))</f>
        <v/>
      </c>
      <c r="I723" s="392" t="str">
        <f t="shared" si="41"/>
        <v>WS-16</v>
      </c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</row>
    <row r="724" spans="1:53">
      <c r="A724" s="3">
        <v>16</v>
      </c>
      <c r="B724" s="125" t="str">
        <f>IFERROR(INDEX('S21 Routing Clustered'!$A$3:$A$18, A724), "")</f>
        <v>I-064</v>
      </c>
      <c r="C724" s="3">
        <v>180</v>
      </c>
      <c r="D724" s="391" t="str">
        <f>IFERROR(HLOOKUP(C724, 'S21 Routing Clustered'!$B$2:$I$18, A724+1, 0), "")</f>
        <v/>
      </c>
      <c r="E724" s="391" t="str">
        <f t="shared" si="39"/>
        <v/>
      </c>
      <c r="F724" s="3" t="str">
        <f>IF(E724="", "", VLOOKUP(B724, 'S14 ABC Output'!$A$3:$C$18, 3, 0))</f>
        <v/>
      </c>
      <c r="I724" s="392" t="str">
        <f t="shared" si="41"/>
        <v>WS-17</v>
      </c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</row>
    <row r="725" spans="1:53">
      <c r="A725" s="3">
        <v>16</v>
      </c>
      <c r="B725" s="125" t="str">
        <f>IFERROR(INDEX('S21 Routing Clustered'!$A$3:$A$18, A725), "")</f>
        <v>I-064</v>
      </c>
      <c r="C725" s="3">
        <v>190</v>
      </c>
      <c r="D725" s="391" t="str">
        <f>IFERROR(HLOOKUP(C725, 'S21 Routing Clustered'!$B$2:$I$18, A725+1, 0), "")</f>
        <v/>
      </c>
      <c r="E725" s="391" t="str">
        <f t="shared" si="39"/>
        <v/>
      </c>
      <c r="F725" s="3" t="str">
        <f>IF(E725="", "", VLOOKUP(B725, 'S14 ABC Output'!$A$3:$C$18, 3, 0))</f>
        <v/>
      </c>
      <c r="I725" s="392" t="str">
        <f t="shared" si="41"/>
        <v>WS-18</v>
      </c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</row>
    <row r="726" spans="1:53">
      <c r="A726" s="3">
        <v>16</v>
      </c>
      <c r="B726" s="125" t="str">
        <f>IFERROR(INDEX('S21 Routing Clustered'!$A$3:$A$18, A726), "")</f>
        <v>I-064</v>
      </c>
      <c r="C726" s="3">
        <v>200</v>
      </c>
      <c r="D726" s="391" t="str">
        <f>IFERROR(HLOOKUP(C726, 'S21 Routing Clustered'!$B$2:$I$18, A726+1, 0), "")</f>
        <v/>
      </c>
      <c r="E726" s="391" t="str">
        <f t="shared" si="39"/>
        <v/>
      </c>
      <c r="F726" s="3" t="str">
        <f>IF(E726="", "", VLOOKUP(B726, 'S14 ABC Output'!$A$3:$C$18, 3, 0))</f>
        <v/>
      </c>
      <c r="I726" s="392" t="str">
        <f t="shared" si="41"/>
        <v>WS-19</v>
      </c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</row>
    <row r="727" spans="1:53">
      <c r="A727" s="3">
        <v>16</v>
      </c>
      <c r="B727" s="125" t="str">
        <f>IFERROR(INDEX('S21 Routing Clustered'!$A$3:$A$18, A727), "")</f>
        <v>I-064</v>
      </c>
      <c r="C727" s="3">
        <v>210</v>
      </c>
      <c r="D727" s="391" t="str">
        <f>IFERROR(HLOOKUP(C727, 'S21 Routing Clustered'!$B$2:$I$18, A727+1, 0), "")</f>
        <v/>
      </c>
      <c r="E727" s="391" t="str">
        <f t="shared" si="39"/>
        <v/>
      </c>
      <c r="F727" s="3" t="str">
        <f>IF(E727="", "", VLOOKUP(B727, 'S14 ABC Output'!$A$3:$C$18, 3, 0))</f>
        <v/>
      </c>
      <c r="I727" s="392" t="str">
        <f t="shared" si="41"/>
        <v>WS-20</v>
      </c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</row>
    <row r="728" spans="1:53">
      <c r="A728" s="3">
        <v>16</v>
      </c>
      <c r="B728" s="125" t="str">
        <f>IFERROR(INDEX('S21 Routing Clustered'!$A$3:$A$18, A728), "")</f>
        <v>I-064</v>
      </c>
      <c r="C728" s="3">
        <v>220</v>
      </c>
      <c r="D728" s="391" t="str">
        <f>IFERROR(HLOOKUP(C728, 'S21 Routing Clustered'!$B$2:$I$18, A728+1, 0), "")</f>
        <v/>
      </c>
      <c r="E728" s="391" t="str">
        <f t="shared" si="39"/>
        <v/>
      </c>
      <c r="F728" s="3" t="str">
        <f>IF(E728="", "", VLOOKUP(B728, 'S14 ABC Output'!$A$3:$C$18, 3, 0))</f>
        <v/>
      </c>
      <c r="I728" s="392" t="str">
        <f t="shared" si="41"/>
        <v>WS-21</v>
      </c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</row>
    <row r="729" spans="1:53">
      <c r="A729" s="3">
        <v>16</v>
      </c>
      <c r="B729" s="125" t="str">
        <f>IFERROR(INDEX('S21 Routing Clustered'!$A$3:$A$18, A729), "")</f>
        <v>I-064</v>
      </c>
      <c r="C729" s="3">
        <v>230</v>
      </c>
      <c r="D729" s="391" t="str">
        <f>IFERROR(HLOOKUP(C729, 'S21 Routing Clustered'!$B$2:$I$18, A729+1, 0), "")</f>
        <v/>
      </c>
      <c r="E729" s="391" t="str">
        <f t="shared" si="39"/>
        <v/>
      </c>
      <c r="F729" s="3" t="str">
        <f>IF(E729="", "", VLOOKUP(B729, 'S14 ABC Output'!$A$3:$C$18, 3, 0))</f>
        <v/>
      </c>
      <c r="I729" s="392" t="str">
        <f t="shared" si="41"/>
        <v>WS-22</v>
      </c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</row>
    <row r="730" spans="1:53">
      <c r="A730" s="3">
        <v>16</v>
      </c>
      <c r="B730" s="125" t="str">
        <f>IFERROR(INDEX('S21 Routing Clustered'!$A$3:$A$18, A730), "")</f>
        <v>I-064</v>
      </c>
      <c r="C730" s="3">
        <v>240</v>
      </c>
      <c r="D730" s="391" t="str">
        <f>IFERROR(HLOOKUP(C730, 'S21 Routing Clustered'!$B$2:$I$18, A730+1, 0), "")</f>
        <v/>
      </c>
      <c r="E730" s="391" t="str">
        <f t="shared" si="39"/>
        <v/>
      </c>
      <c r="F730" s="3" t="str">
        <f>IF(E730="", "", VLOOKUP(B730, 'S14 ABC Output'!$A$3:$C$18, 3, 0))</f>
        <v/>
      </c>
      <c r="I730" s="392" t="str">
        <f t="shared" si="41"/>
        <v>WS-23</v>
      </c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>
        <v>86542</v>
      </c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</row>
    <row r="731" spans="1:53">
      <c r="A731" s="3">
        <v>16</v>
      </c>
      <c r="B731" s="125" t="str">
        <f>IFERROR(INDEX('S21 Routing Clustered'!$A$3:$A$18, A731), "")</f>
        <v>I-064</v>
      </c>
      <c r="C731" s="3">
        <v>250</v>
      </c>
      <c r="D731" s="391" t="str">
        <f>IFERROR(HLOOKUP(C731, 'S21 Routing Clustered'!$B$2:$I$18, A731+1, 0), "")</f>
        <v/>
      </c>
      <c r="E731" s="391" t="str">
        <f t="shared" si="39"/>
        <v/>
      </c>
      <c r="F731" s="3" t="str">
        <f>IF(E731="", "", VLOOKUP(B731, 'S14 ABC Output'!$A$3:$C$18, 3, 0))</f>
        <v/>
      </c>
      <c r="I731" s="392" t="str">
        <f t="shared" si="41"/>
        <v>WS-24</v>
      </c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</row>
    <row r="732" spans="1:53">
      <c r="A732" s="3">
        <v>16</v>
      </c>
      <c r="B732" s="125" t="str">
        <f>IFERROR(INDEX('S21 Routing Clustered'!$A$3:$A$18, A732), "")</f>
        <v>I-064</v>
      </c>
      <c r="C732" s="3">
        <v>260</v>
      </c>
      <c r="D732" s="391" t="str">
        <f>IFERROR(HLOOKUP(C732, 'S21 Routing Clustered'!$B$2:$I$18, A732+1, 0), "")</f>
        <v/>
      </c>
      <c r="E732" s="391" t="str">
        <f t="shared" si="39"/>
        <v/>
      </c>
      <c r="F732" s="3" t="str">
        <f>IF(E732="", "", VLOOKUP(B732, 'S14 ABC Output'!$A$3:$C$18, 3, 0))</f>
        <v/>
      </c>
      <c r="I732" s="392" t="str">
        <f t="shared" si="41"/>
        <v>WS-25</v>
      </c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</row>
    <row r="733" spans="1:53">
      <c r="A733" s="3">
        <v>16</v>
      </c>
      <c r="B733" s="125" t="str">
        <f>IFERROR(INDEX('S21 Routing Clustered'!$A$3:$A$18, A733), "")</f>
        <v>I-064</v>
      </c>
      <c r="C733" s="3">
        <v>270</v>
      </c>
      <c r="D733" s="391" t="str">
        <f>IFERROR(HLOOKUP(C733, 'S21 Routing Clustered'!$B$2:$I$18, A733+1, 0), "")</f>
        <v/>
      </c>
      <c r="E733" s="391" t="str">
        <f t="shared" si="39"/>
        <v/>
      </c>
      <c r="F733" s="3" t="str">
        <f>IF(E733="", "", VLOOKUP(B733, 'S14 ABC Output'!$A$3:$C$18, 3, 0))</f>
        <v/>
      </c>
      <c r="I733" s="392" t="str">
        <f t="shared" si="41"/>
        <v>WS-26</v>
      </c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</row>
    <row r="734" spans="1:53">
      <c r="A734" s="3">
        <v>16</v>
      </c>
      <c r="B734" s="125" t="str">
        <f>IFERROR(INDEX('S21 Routing Clustered'!$A$3:$A$18, A734), "")</f>
        <v>I-064</v>
      </c>
      <c r="C734" s="3">
        <v>280</v>
      </c>
      <c r="D734" s="391" t="str">
        <f>IFERROR(HLOOKUP(C734, 'S21 Routing Clustered'!$B$2:$I$18, A734+1, 0), "")</f>
        <v/>
      </c>
      <c r="E734" s="391" t="str">
        <f t="shared" si="39"/>
        <v/>
      </c>
      <c r="F734" s="3" t="str">
        <f>IF(E734="", "", VLOOKUP(B734, 'S14 ABC Output'!$A$3:$C$18, 3, 0))</f>
        <v/>
      </c>
      <c r="I734" s="392" t="str">
        <f t="shared" si="41"/>
        <v>WS-27</v>
      </c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</row>
    <row r="735" spans="1:53">
      <c r="A735" s="3">
        <v>16</v>
      </c>
      <c r="B735" s="125" t="str">
        <f>IFERROR(INDEX('S21 Routing Clustered'!$A$3:$A$18, A735), "")</f>
        <v>I-064</v>
      </c>
      <c r="C735" s="3">
        <v>290</v>
      </c>
      <c r="D735" s="391" t="str">
        <f>IFERROR(HLOOKUP(C735, 'S21 Routing Clustered'!$B$2:$I$18, A735+1, 0), "")</f>
        <v/>
      </c>
      <c r="E735" s="391" t="str">
        <f t="shared" si="39"/>
        <v/>
      </c>
      <c r="F735" s="3" t="str">
        <f>IF(E735="", "", VLOOKUP(B735, 'S14 ABC Output'!$A$3:$C$18, 3, 0))</f>
        <v/>
      </c>
      <c r="I735" s="392" t="str">
        <f t="shared" si="41"/>
        <v>WS-28</v>
      </c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</row>
    <row r="736" spans="1:53">
      <c r="A736" s="3">
        <v>16</v>
      </c>
      <c r="B736" s="125" t="str">
        <f>IFERROR(INDEX('S21 Routing Clustered'!$A$3:$A$18, A736), "")</f>
        <v>I-064</v>
      </c>
      <c r="C736" s="3">
        <v>300</v>
      </c>
      <c r="D736" s="391" t="str">
        <f>IFERROR(HLOOKUP(C736, 'S21 Routing Clustered'!$B$2:$I$18, A736+1, 0), "")</f>
        <v/>
      </c>
      <c r="E736" s="391" t="str">
        <f t="shared" si="39"/>
        <v/>
      </c>
      <c r="F736" s="3" t="str">
        <f>IF(E736="", "", VLOOKUP(B736, 'S14 ABC Output'!$A$3:$C$18, 3, 0))</f>
        <v/>
      </c>
      <c r="I736" s="392" t="str">
        <f t="shared" si="41"/>
        <v>WS-29</v>
      </c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</row>
    <row r="737" spans="1:53">
      <c r="A737" s="3">
        <v>16</v>
      </c>
      <c r="B737" s="125" t="str">
        <f>IFERROR(INDEX('S21 Routing Clustered'!$A$3:$A$18, A737), "")</f>
        <v>I-064</v>
      </c>
      <c r="C737" s="3">
        <v>310</v>
      </c>
      <c r="D737" s="391" t="str">
        <f>IFERROR(HLOOKUP(C737, 'S21 Routing Clustered'!$B$2:$I$18, A737+1, 0), "")</f>
        <v/>
      </c>
      <c r="E737" s="391" t="str">
        <f t="shared" si="39"/>
        <v/>
      </c>
      <c r="F737" s="3" t="str">
        <f>IF(E737="", "", VLOOKUP(B737, 'S14 ABC Output'!$A$3:$C$18, 3, 0))</f>
        <v/>
      </c>
      <c r="I737" s="392" t="str">
        <f t="shared" si="41"/>
        <v>WS-30</v>
      </c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</row>
    <row r="738" spans="1:53">
      <c r="A738" s="3">
        <v>16</v>
      </c>
      <c r="B738" s="125" t="str">
        <f>IFERROR(INDEX('S21 Routing Clustered'!$A$3:$A$18, A738), "")</f>
        <v>I-064</v>
      </c>
      <c r="C738" s="3">
        <v>320</v>
      </c>
      <c r="D738" s="391" t="str">
        <f>IFERROR(HLOOKUP(C738, 'S21 Routing Clustered'!$B$2:$I$18, A738+1, 0), "")</f>
        <v/>
      </c>
      <c r="E738" s="391" t="str">
        <f t="shared" si="39"/>
        <v/>
      </c>
      <c r="F738" s="3" t="str">
        <f>IF(E738="", "", VLOOKUP(B738, 'S14 ABC Output'!$A$3:$C$18, 3, 0))</f>
        <v/>
      </c>
      <c r="I738" s="392" t="str">
        <f t="shared" si="41"/>
        <v>WS-31</v>
      </c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>
        <v>86542</v>
      </c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</row>
    <row r="739" spans="1:53">
      <c r="A739" s="3">
        <v>16</v>
      </c>
      <c r="B739" s="125" t="str">
        <f>IFERROR(INDEX('S21 Routing Clustered'!$A$3:$A$18, A739), "")</f>
        <v>I-064</v>
      </c>
      <c r="C739" s="3">
        <v>330</v>
      </c>
      <c r="D739" s="391" t="str">
        <f>IFERROR(HLOOKUP(C739, 'S21 Routing Clustered'!$B$2:$I$18, A739+1, 0), "")</f>
        <v/>
      </c>
      <c r="E739" s="391" t="str">
        <f t="shared" si="39"/>
        <v/>
      </c>
      <c r="F739" s="3" t="str">
        <f>IF(E739="", "", VLOOKUP(B739, 'S14 ABC Output'!$A$3:$C$18, 3, 0))</f>
        <v/>
      </c>
      <c r="I739" s="392" t="str">
        <f t="shared" si="41"/>
        <v>WS-32</v>
      </c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>
        <v>86542</v>
      </c>
      <c r="AZ739" s="3"/>
      <c r="BA739" s="3"/>
    </row>
    <row r="740" spans="1:53">
      <c r="A740" s="3">
        <v>16</v>
      </c>
      <c r="B740" s="125" t="str">
        <f>IFERROR(INDEX('S21 Routing Clustered'!$A$3:$A$18, A740), "")</f>
        <v>I-064</v>
      </c>
      <c r="C740" s="3">
        <v>340</v>
      </c>
      <c r="D740" s="391" t="str">
        <f>IFERROR(HLOOKUP(C740, 'S21 Routing Clustered'!$B$2:$I$18, A740+1, 0), "")</f>
        <v/>
      </c>
      <c r="E740" s="391" t="str">
        <f t="shared" si="39"/>
        <v/>
      </c>
      <c r="F740" s="3" t="str">
        <f>IF(E740="", "", VLOOKUP(B740, 'S14 ABC Output'!$A$3:$C$18, 3, 0))</f>
        <v/>
      </c>
      <c r="I740" s="392" t="str">
        <f t="shared" si="41"/>
        <v>WS-33</v>
      </c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</row>
    <row r="741" spans="1:53">
      <c r="A741" s="3">
        <v>16</v>
      </c>
      <c r="B741" s="125" t="str">
        <f>IFERROR(INDEX('S21 Routing Clustered'!$A$3:$A$18, A741), "")</f>
        <v>I-064</v>
      </c>
      <c r="C741" s="3">
        <v>350</v>
      </c>
      <c r="D741" s="391" t="str">
        <f>IFERROR(HLOOKUP(C741, 'S21 Routing Clustered'!$B$2:$I$18, A741+1, 0), "")</f>
        <v/>
      </c>
      <c r="E741" s="391" t="str">
        <f t="shared" si="39"/>
        <v/>
      </c>
      <c r="F741" s="3" t="str">
        <f>IF(E741="", "", VLOOKUP(B741, 'S14 ABC Output'!$A$3:$C$18, 3, 0))</f>
        <v/>
      </c>
      <c r="I741" s="392" t="str">
        <f t="shared" si="41"/>
        <v>WS-34</v>
      </c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</row>
    <row r="742" spans="1:53">
      <c r="A742" s="3">
        <v>16</v>
      </c>
      <c r="B742" s="125" t="str">
        <f>IFERROR(INDEX('S21 Routing Clustered'!$A$3:$A$18, A742), "")</f>
        <v>I-064</v>
      </c>
      <c r="C742" s="3">
        <v>360</v>
      </c>
      <c r="D742" s="391" t="str">
        <f>IFERROR(HLOOKUP(C742, 'S21 Routing Clustered'!$B$2:$I$18, A742+1, 0), "")</f>
        <v/>
      </c>
      <c r="E742" s="391" t="str">
        <f t="shared" si="39"/>
        <v/>
      </c>
      <c r="F742" s="3" t="str">
        <f>IF(E742="", "", VLOOKUP(B742, 'S14 ABC Output'!$A$3:$C$18, 3, 0))</f>
        <v/>
      </c>
      <c r="I742" s="392" t="str">
        <f t="shared" si="41"/>
        <v>WS-35</v>
      </c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</row>
    <row r="743" spans="1:53">
      <c r="A743" s="3">
        <v>16</v>
      </c>
      <c r="B743" s="125" t="str">
        <f>IFERROR(INDEX('S21 Routing Clustered'!$A$3:$A$18, A743), "")</f>
        <v>I-064</v>
      </c>
      <c r="C743" s="3">
        <v>370</v>
      </c>
      <c r="D743" s="391" t="str">
        <f>IFERROR(HLOOKUP(C743, 'S21 Routing Clustered'!$B$2:$I$18, A743+1, 0), "")</f>
        <v/>
      </c>
      <c r="E743" s="391" t="str">
        <f t="shared" si="39"/>
        <v/>
      </c>
      <c r="F743" s="3" t="str">
        <f>IF(E743="", "", VLOOKUP(B743, 'S14 ABC Output'!$A$3:$C$18, 3, 0))</f>
        <v/>
      </c>
      <c r="I743" s="392" t="str">
        <f t="shared" si="41"/>
        <v>WS-36</v>
      </c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</row>
    <row r="744" spans="1:53">
      <c r="A744" s="3">
        <v>16</v>
      </c>
      <c r="B744" s="125" t="str">
        <f>IFERROR(INDEX('S21 Routing Clustered'!$A$3:$A$18, A744), "")</f>
        <v>I-064</v>
      </c>
      <c r="C744" s="3">
        <v>380</v>
      </c>
      <c r="D744" s="391" t="str">
        <f>IFERROR(HLOOKUP(C744, 'S21 Routing Clustered'!$B$2:$I$18, A744+1, 0), "")</f>
        <v/>
      </c>
      <c r="E744" s="391" t="str">
        <f t="shared" si="39"/>
        <v/>
      </c>
      <c r="F744" s="3" t="str">
        <f>IF(E744="", "", VLOOKUP(B744, 'S14 ABC Output'!$A$3:$C$18, 3, 0))</f>
        <v/>
      </c>
      <c r="I744" s="392" t="str">
        <f t="shared" si="41"/>
        <v>WS-37</v>
      </c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</row>
    <row r="745" spans="1:53">
      <c r="A745" s="3">
        <v>16</v>
      </c>
      <c r="B745" s="125" t="str">
        <f>IFERROR(INDEX('S21 Routing Clustered'!$A$3:$A$18, A745), "")</f>
        <v>I-064</v>
      </c>
      <c r="C745" s="3">
        <v>390</v>
      </c>
      <c r="D745" s="391" t="str">
        <f>IFERROR(HLOOKUP(C745, 'S21 Routing Clustered'!$B$2:$I$18, A745+1, 0), "")</f>
        <v/>
      </c>
      <c r="E745" s="391" t="str">
        <f t="shared" si="39"/>
        <v/>
      </c>
      <c r="F745" s="3" t="str">
        <f>IF(E745="", "", VLOOKUP(B745, 'S14 ABC Output'!$A$3:$C$18, 3, 0))</f>
        <v/>
      </c>
      <c r="I745" s="392" t="str">
        <f t="shared" si="41"/>
        <v>WS-38</v>
      </c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</row>
    <row r="746" spans="1:53">
      <c r="A746" s="3">
        <v>16</v>
      </c>
      <c r="B746" s="125" t="str">
        <f>IFERROR(INDEX('S21 Routing Clustered'!$A$3:$A$18, A746), "")</f>
        <v>I-064</v>
      </c>
      <c r="C746" s="3">
        <v>400</v>
      </c>
      <c r="D746" s="391" t="str">
        <f>IFERROR(HLOOKUP(C746, 'S21 Routing Clustered'!$B$2:$I$18, A746+1, 0), "")</f>
        <v/>
      </c>
      <c r="E746" s="391" t="str">
        <f t="shared" si="39"/>
        <v/>
      </c>
      <c r="F746" s="3" t="str">
        <f>IF(E746="", "", VLOOKUP(B746, 'S14 ABC Output'!$A$3:$C$18, 3, 0))</f>
        <v/>
      </c>
      <c r="I746" s="392" t="str">
        <f t="shared" si="41"/>
        <v>WS-39</v>
      </c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</row>
    <row r="747" spans="1:53">
      <c r="A747" s="3">
        <v>16</v>
      </c>
      <c r="B747" s="125" t="str">
        <f>IFERROR(INDEX('S21 Routing Clustered'!$A$3:$A$18, A747), "")</f>
        <v>I-064</v>
      </c>
      <c r="C747" s="3">
        <v>410</v>
      </c>
      <c r="D747" s="391" t="str">
        <f>IFERROR(HLOOKUP(C747, 'S21 Routing Clustered'!$B$2:$I$18, A747+1, 0), "")</f>
        <v/>
      </c>
      <c r="E747" s="391" t="str">
        <f t="shared" si="39"/>
        <v/>
      </c>
      <c r="F747" s="3" t="str">
        <f>IF(E747="", "", VLOOKUP(B747, 'S14 ABC Output'!$A$3:$C$18, 3, 0))</f>
        <v/>
      </c>
      <c r="I747" s="392" t="str">
        <f t="shared" si="41"/>
        <v>WS-40</v>
      </c>
      <c r="J747" s="3"/>
      <c r="K747" s="3"/>
      <c r="L747" s="3"/>
      <c r="M747" s="3">
        <v>86542</v>
      </c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</row>
    <row r="748" spans="1:53">
      <c r="A748" s="3">
        <v>16</v>
      </c>
      <c r="B748" s="125" t="str">
        <f>IFERROR(INDEX('S21 Routing Clustered'!$A$3:$A$18, A748), "")</f>
        <v>I-064</v>
      </c>
      <c r="C748" s="3">
        <v>420</v>
      </c>
      <c r="D748" s="391" t="str">
        <f>IFERROR(HLOOKUP(C748, 'S21 Routing Clustered'!$B$2:$I$18, A748+1, 0), "")</f>
        <v/>
      </c>
      <c r="E748" s="391" t="str">
        <f t="shared" si="39"/>
        <v/>
      </c>
      <c r="F748" s="3" t="str">
        <f>IF(E748="", "", VLOOKUP(B748, 'S14 ABC Output'!$A$3:$C$18, 3, 0))</f>
        <v/>
      </c>
      <c r="I748" s="392" t="str">
        <f t="shared" si="41"/>
        <v>WS-41</v>
      </c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</row>
    <row r="749" spans="1:53">
      <c r="A749" s="3">
        <v>16</v>
      </c>
      <c r="B749" s="125" t="str">
        <f>IFERROR(INDEX('S21 Routing Clustered'!$A$3:$A$18, A749), "")</f>
        <v>I-064</v>
      </c>
      <c r="C749" s="3">
        <v>430</v>
      </c>
      <c r="D749" s="391" t="str">
        <f>IFERROR(HLOOKUP(C749, 'S21 Routing Clustered'!$B$2:$I$18, A749+1, 0), "")</f>
        <v/>
      </c>
      <c r="E749" s="391" t="str">
        <f t="shared" si="39"/>
        <v/>
      </c>
      <c r="F749" s="3" t="str">
        <f>IF(E749="", "", VLOOKUP(B749, 'S14 ABC Output'!$A$3:$C$18, 3, 0))</f>
        <v/>
      </c>
      <c r="I749" s="392" t="str">
        <f t="shared" si="41"/>
        <v>WS-42</v>
      </c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</row>
    <row r="750" spans="1:53">
      <c r="A750" s="3">
        <v>16</v>
      </c>
      <c r="B750" s="125" t="str">
        <f>IFERROR(INDEX('S21 Routing Clustered'!$A$3:$A$18, A750), "")</f>
        <v>I-064</v>
      </c>
      <c r="C750" s="3">
        <v>440</v>
      </c>
      <c r="D750" s="391" t="str">
        <f>IFERROR(HLOOKUP(C750, 'S21 Routing Clustered'!$B$2:$I$18, A750+1, 0), "")</f>
        <v/>
      </c>
      <c r="E750" s="391" t="str">
        <f t="shared" si="39"/>
        <v/>
      </c>
      <c r="F750" s="3" t="str">
        <f>IF(E750="", "", VLOOKUP(B750, 'S14 ABC Output'!$A$3:$C$18, 3, 0))</f>
        <v/>
      </c>
      <c r="I750" s="392" t="str">
        <f t="shared" si="41"/>
        <v>WS-43</v>
      </c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>
        <v>86542</v>
      </c>
      <c r="AX750" s="3"/>
      <c r="AY750" s="3"/>
      <c r="AZ750" s="3"/>
      <c r="BA750" s="3"/>
    </row>
    <row r="751" spans="1:53">
      <c r="A751" s="3">
        <v>16</v>
      </c>
      <c r="B751" s="125" t="str">
        <f>IFERROR(INDEX('S21 Routing Clustered'!$A$3:$A$18, A751), "")</f>
        <v>I-064</v>
      </c>
      <c r="C751" s="3">
        <v>450</v>
      </c>
      <c r="D751" s="391" t="str">
        <f>IFERROR(HLOOKUP(C751, 'S21 Routing Clustered'!$B$2:$I$18, A751+1, 0), "")</f>
        <v/>
      </c>
      <c r="E751" s="391" t="str">
        <f t="shared" si="39"/>
        <v/>
      </c>
      <c r="F751" s="3" t="str">
        <f>IF(E751="", "", VLOOKUP(B751, 'S14 ABC Output'!$A$3:$C$18, 3, 0))</f>
        <v/>
      </c>
      <c r="I751" s="392" t="str">
        <f t="shared" si="41"/>
        <v>WS-44</v>
      </c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</row>
    <row r="752" spans="1:53">
      <c r="B752" s="125" t="str">
        <f>IFERROR(INDEX('S21 Routing Clustered'!$A$3:$A$18, A752), "")</f>
        <v/>
      </c>
      <c r="D752" s="391" t="str">
        <f>IFERROR(HLOOKUP(C752, 'S21 Routing Clustered'!$B$2:$I$18, A752+1, 0), "")</f>
        <v/>
      </c>
      <c r="E752" s="391" t="str">
        <f t="shared" si="39"/>
        <v/>
      </c>
      <c r="F752" s="3" t="str">
        <f>IF(E752="", "", VLOOKUP(B752, 'S14 ABC Output'!$A$3:$C$18, 3, 0))</f>
        <v/>
      </c>
    </row>
    <row r="753" spans="1:53">
      <c r="B753" s="125" t="str">
        <f>IFERROR(INDEX('S21 Routing Clustered'!$A$3:$A$18, A753), "")</f>
        <v/>
      </c>
      <c r="D753" s="391" t="str">
        <f>IFERROR(HLOOKUP(C753, 'S21 Routing Clustered'!$B$2:$I$18, A753+1, 0), "")</f>
        <v/>
      </c>
      <c r="E753" s="391" t="str">
        <f t="shared" si="39"/>
        <v/>
      </c>
      <c r="F753" s="3" t="str">
        <f>IF(E753="", "", VLOOKUP(B753, 'S14 ABC Output'!$A$3:$C$18, 3, 0))</f>
        <v/>
      </c>
    </row>
    <row r="754" spans="1:53">
      <c r="A754" s="3">
        <v>17</v>
      </c>
      <c r="B754" s="125" t="str">
        <f>IFERROR(INDEX('S21 Routing Clustered'!$A$3:$A$18, A754), "")</f>
        <v/>
      </c>
      <c r="C754" s="3">
        <v>10</v>
      </c>
      <c r="D754" s="391" t="str">
        <f>IFERROR(HLOOKUP(C754, 'S21 Routing Clustered'!$B$2:$I$18, A754+1, 0), "")</f>
        <v/>
      </c>
      <c r="E754" s="391" t="str">
        <f t="shared" si="39"/>
        <v/>
      </c>
      <c r="F754" s="3" t="str">
        <f>IF(E754="", "", VLOOKUP(B754, 'S14 ABC Output'!$A$3:$C$18, 3, 0))</f>
        <v/>
      </c>
      <c r="I754" s="392"/>
      <c r="J754" s="392" t="str">
        <f>J707</f>
        <v>WS-01</v>
      </c>
      <c r="K754" s="392" t="str">
        <f t="shared" ref="K754:BA754" si="42">K707</f>
        <v>WS-02</v>
      </c>
      <c r="L754" s="392" t="str">
        <f t="shared" si="42"/>
        <v>WS-03</v>
      </c>
      <c r="M754" s="392" t="str">
        <f t="shared" si="42"/>
        <v>WS-04</v>
      </c>
      <c r="N754" s="392" t="str">
        <f t="shared" si="42"/>
        <v>WS-05</v>
      </c>
      <c r="O754" s="392" t="str">
        <f t="shared" si="42"/>
        <v>WS-06</v>
      </c>
      <c r="P754" s="392" t="str">
        <f t="shared" si="42"/>
        <v>WS-07</v>
      </c>
      <c r="Q754" s="392" t="str">
        <f t="shared" si="42"/>
        <v>WS-08</v>
      </c>
      <c r="R754" s="392" t="str">
        <f t="shared" si="42"/>
        <v>WS-09</v>
      </c>
      <c r="S754" s="392" t="str">
        <f t="shared" si="42"/>
        <v>WS-10</v>
      </c>
      <c r="T754" s="392" t="str">
        <f t="shared" si="42"/>
        <v>WS-11</v>
      </c>
      <c r="U754" s="392" t="str">
        <f t="shared" si="42"/>
        <v>WS-12</v>
      </c>
      <c r="V754" s="392" t="str">
        <f t="shared" si="42"/>
        <v>WS-13</v>
      </c>
      <c r="W754" s="392" t="str">
        <f t="shared" si="42"/>
        <v>WS-14</v>
      </c>
      <c r="X754" s="392" t="str">
        <f t="shared" si="42"/>
        <v>WS-15</v>
      </c>
      <c r="Y754" s="392" t="str">
        <f t="shared" si="42"/>
        <v>WS-16</v>
      </c>
      <c r="Z754" s="392" t="str">
        <f t="shared" si="42"/>
        <v>WS-17</v>
      </c>
      <c r="AA754" s="392" t="str">
        <f t="shared" si="42"/>
        <v>WS-18</v>
      </c>
      <c r="AB754" s="392" t="str">
        <f t="shared" si="42"/>
        <v>WS-19</v>
      </c>
      <c r="AC754" s="392" t="str">
        <f t="shared" si="42"/>
        <v>WS-20</v>
      </c>
      <c r="AD754" s="392" t="str">
        <f t="shared" si="42"/>
        <v>WS-21</v>
      </c>
      <c r="AE754" s="392" t="str">
        <f t="shared" si="42"/>
        <v>WS-22</v>
      </c>
      <c r="AF754" s="392" t="str">
        <f t="shared" si="42"/>
        <v>WS-23</v>
      </c>
      <c r="AG754" s="392" t="str">
        <f t="shared" si="42"/>
        <v>WS-24</v>
      </c>
      <c r="AH754" s="392" t="str">
        <f t="shared" si="42"/>
        <v>WS-25</v>
      </c>
      <c r="AI754" s="392" t="str">
        <f t="shared" si="42"/>
        <v>WS-26</v>
      </c>
      <c r="AJ754" s="392" t="str">
        <f t="shared" si="42"/>
        <v>WS-27</v>
      </c>
      <c r="AK754" s="392" t="str">
        <f t="shared" si="42"/>
        <v>WS-28</v>
      </c>
      <c r="AL754" s="392" t="str">
        <f t="shared" si="42"/>
        <v>WS-29</v>
      </c>
      <c r="AM754" s="392" t="str">
        <f t="shared" si="42"/>
        <v>WS-30</v>
      </c>
      <c r="AN754" s="392" t="str">
        <f t="shared" si="42"/>
        <v>WS-31</v>
      </c>
      <c r="AO754" s="392" t="str">
        <f t="shared" si="42"/>
        <v>WS-32</v>
      </c>
      <c r="AP754" s="392" t="str">
        <f t="shared" si="42"/>
        <v>WS-33</v>
      </c>
      <c r="AQ754" s="392" t="str">
        <f t="shared" si="42"/>
        <v>WS-34</v>
      </c>
      <c r="AR754" s="392" t="str">
        <f t="shared" si="42"/>
        <v>WS-35</v>
      </c>
      <c r="AS754" s="392" t="str">
        <f t="shared" si="42"/>
        <v>WS-36</v>
      </c>
      <c r="AT754" s="392" t="str">
        <f t="shared" si="42"/>
        <v>WS-37</v>
      </c>
      <c r="AU754" s="392" t="str">
        <f t="shared" si="42"/>
        <v>WS-38</v>
      </c>
      <c r="AV754" s="392" t="str">
        <f t="shared" si="42"/>
        <v>WS-39</v>
      </c>
      <c r="AW754" s="392" t="str">
        <f t="shared" si="42"/>
        <v>WS-40</v>
      </c>
      <c r="AX754" s="392" t="str">
        <f t="shared" si="42"/>
        <v>WS-41</v>
      </c>
      <c r="AY754" s="392" t="str">
        <f t="shared" si="42"/>
        <v>WS-42</v>
      </c>
      <c r="AZ754" s="392" t="str">
        <f t="shared" si="42"/>
        <v>WS-43</v>
      </c>
      <c r="BA754" s="392" t="str">
        <f t="shared" si="42"/>
        <v>WS-44</v>
      </c>
    </row>
    <row r="755" spans="1:53">
      <c r="A755" s="3">
        <v>17</v>
      </c>
      <c r="B755" s="125" t="str">
        <f>IFERROR(INDEX('S21 Routing Clustered'!$A$3:$A$18, A755), "")</f>
        <v/>
      </c>
      <c r="C755" s="3">
        <v>20</v>
      </c>
      <c r="D755" s="391" t="str">
        <f>IFERROR(HLOOKUP(C755, 'S21 Routing Clustered'!$B$2:$I$18, A755+1, 0), "")</f>
        <v/>
      </c>
      <c r="E755" s="391" t="str">
        <f t="shared" si="39"/>
        <v/>
      </c>
      <c r="F755" s="3" t="str">
        <f>IF(E755="", "", VLOOKUP(B755, 'S14 ABC Output'!$A$3:$C$18, 3, 0))</f>
        <v/>
      </c>
      <c r="I755" s="392" t="str">
        <f>I708</f>
        <v>WS-01</v>
      </c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</row>
    <row r="756" spans="1:53">
      <c r="A756" s="3">
        <v>17</v>
      </c>
      <c r="B756" s="125" t="str">
        <f>IFERROR(INDEX('S21 Routing Clustered'!$A$3:$A$18, A756), "")</f>
        <v/>
      </c>
      <c r="C756" s="3">
        <v>30</v>
      </c>
      <c r="D756" s="391" t="str">
        <f>IFERROR(HLOOKUP(C756, 'S21 Routing Clustered'!$B$2:$I$18, A756+1, 0), "")</f>
        <v/>
      </c>
      <c r="E756" s="391" t="str">
        <f t="shared" si="39"/>
        <v/>
      </c>
      <c r="F756" s="3" t="str">
        <f>IF(E756="", "", VLOOKUP(B756, 'S14 ABC Output'!$A$3:$C$18, 3, 0))</f>
        <v/>
      </c>
      <c r="I756" s="392" t="str">
        <f t="shared" ref="I756:I798" si="43">I709</f>
        <v>WS-02</v>
      </c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</row>
    <row r="757" spans="1:53">
      <c r="A757" s="3">
        <v>17</v>
      </c>
      <c r="B757" s="125" t="str">
        <f>IFERROR(INDEX('S21 Routing Clustered'!$A$3:$A$18, A757), "")</f>
        <v/>
      </c>
      <c r="C757" s="3">
        <v>40</v>
      </c>
      <c r="D757" s="391" t="str">
        <f>IFERROR(HLOOKUP(C757, 'S21 Routing Clustered'!$B$2:$I$18, A757+1, 0), "")</f>
        <v/>
      </c>
      <c r="E757" s="391" t="str">
        <f t="shared" si="39"/>
        <v/>
      </c>
      <c r="F757" s="3" t="str">
        <f>IF(E757="", "", VLOOKUP(B757, 'S14 ABC Output'!$A$3:$C$18, 3, 0))</f>
        <v/>
      </c>
      <c r="I757" s="392" t="str">
        <f t="shared" si="43"/>
        <v>WS-03</v>
      </c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</row>
    <row r="758" spans="1:53">
      <c r="A758" s="3">
        <v>17</v>
      </c>
      <c r="B758" s="125" t="str">
        <f>IFERROR(INDEX('S21 Routing Clustered'!$A$3:$A$18, A758), "")</f>
        <v/>
      </c>
      <c r="C758" s="3">
        <v>50</v>
      </c>
      <c r="D758" s="391" t="str">
        <f>IFERROR(HLOOKUP(C758, 'S21 Routing Clustered'!$B$2:$I$18, A758+1, 0), "")</f>
        <v/>
      </c>
      <c r="E758" s="391" t="str">
        <f t="shared" si="39"/>
        <v/>
      </c>
      <c r="F758" s="3" t="str">
        <f>IF(E758="", "", VLOOKUP(B758, 'S14 ABC Output'!$A$3:$C$18, 3, 0))</f>
        <v/>
      </c>
      <c r="I758" s="392" t="str">
        <f t="shared" si="43"/>
        <v>WS-04</v>
      </c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</row>
    <row r="759" spans="1:53">
      <c r="A759" s="3">
        <v>17</v>
      </c>
      <c r="B759" s="125" t="str">
        <f>IFERROR(INDEX('S21 Routing Clustered'!$A$3:$A$18, A759), "")</f>
        <v/>
      </c>
      <c r="C759" s="3">
        <v>60</v>
      </c>
      <c r="D759" s="391" t="str">
        <f>IFERROR(HLOOKUP(C759, 'S21 Routing Clustered'!$B$2:$I$18, A759+1, 0), "")</f>
        <v/>
      </c>
      <c r="E759" s="391" t="str">
        <f t="shared" si="39"/>
        <v/>
      </c>
      <c r="F759" s="3" t="str">
        <f>IF(E759="", "", VLOOKUP(B759, 'S14 ABC Output'!$A$3:$C$18, 3, 0))</f>
        <v/>
      </c>
      <c r="I759" s="392" t="str">
        <f t="shared" si="43"/>
        <v>WS-05</v>
      </c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</row>
    <row r="760" spans="1:53">
      <c r="A760" s="3">
        <v>17</v>
      </c>
      <c r="B760" s="125" t="str">
        <f>IFERROR(INDEX('S21 Routing Clustered'!$A$3:$A$18, A760), "")</f>
        <v/>
      </c>
      <c r="C760" s="3">
        <v>70</v>
      </c>
      <c r="D760" s="391" t="str">
        <f>IFERROR(HLOOKUP(C760, 'S21 Routing Clustered'!$B$2:$I$18, A760+1, 0), "")</f>
        <v/>
      </c>
      <c r="E760" s="391" t="str">
        <f t="shared" si="39"/>
        <v/>
      </c>
      <c r="F760" s="3" t="str">
        <f>IF(E760="", "", VLOOKUP(B760, 'S14 ABC Output'!$A$3:$C$18, 3, 0))</f>
        <v/>
      </c>
      <c r="I760" s="392" t="str">
        <f t="shared" si="43"/>
        <v>WS-06</v>
      </c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</row>
    <row r="761" spans="1:53">
      <c r="A761" s="3">
        <v>17</v>
      </c>
      <c r="B761" s="125" t="str">
        <f>IFERROR(INDEX('S21 Routing Clustered'!$A$3:$A$18, A761), "")</f>
        <v/>
      </c>
      <c r="C761" s="3">
        <v>80</v>
      </c>
      <c r="D761" s="391" t="str">
        <f>IFERROR(HLOOKUP(C761, 'S21 Routing Clustered'!$B$2:$I$18, A761+1, 0), "")</f>
        <v/>
      </c>
      <c r="E761" s="391" t="str">
        <f t="shared" si="39"/>
        <v/>
      </c>
      <c r="F761" s="3" t="str">
        <f>IF(E761="", "", VLOOKUP(B761, 'S14 ABC Output'!$A$3:$C$18, 3, 0))</f>
        <v/>
      </c>
      <c r="I761" s="392" t="str">
        <f t="shared" si="43"/>
        <v>WS-07</v>
      </c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</row>
    <row r="762" spans="1:53">
      <c r="A762" s="3">
        <v>17</v>
      </c>
      <c r="B762" s="125" t="str">
        <f>IFERROR(INDEX('S21 Routing Clustered'!$A$3:$A$18, A762), "")</f>
        <v/>
      </c>
      <c r="C762" s="3">
        <v>90</v>
      </c>
      <c r="D762" s="391" t="str">
        <f>IFERROR(HLOOKUP(C762, 'S21 Routing Clustered'!$B$2:$I$18, A762+1, 0), "")</f>
        <v/>
      </c>
      <c r="E762" s="391" t="str">
        <f t="shared" si="39"/>
        <v/>
      </c>
      <c r="F762" s="3" t="str">
        <f>IF(E762="", "", VLOOKUP(B762, 'S14 ABC Output'!$A$3:$C$18, 3, 0))</f>
        <v/>
      </c>
      <c r="I762" s="392" t="str">
        <f t="shared" si="43"/>
        <v>WS-08</v>
      </c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</row>
    <row r="763" spans="1:53">
      <c r="A763" s="3">
        <v>17</v>
      </c>
      <c r="B763" s="125" t="str">
        <f>IFERROR(INDEX('S21 Routing Clustered'!$A$3:$A$18, A763), "")</f>
        <v/>
      </c>
      <c r="C763" s="3">
        <v>100</v>
      </c>
      <c r="D763" s="391" t="str">
        <f>IFERROR(HLOOKUP(C763, 'S21 Routing Clustered'!$B$2:$I$18, A763+1, 0), "")</f>
        <v/>
      </c>
      <c r="E763" s="391" t="str">
        <f t="shared" si="39"/>
        <v/>
      </c>
      <c r="F763" s="3" t="str">
        <f>IF(E763="", "", VLOOKUP(B763, 'S14 ABC Output'!$A$3:$C$18, 3, 0))</f>
        <v/>
      </c>
      <c r="I763" s="392" t="str">
        <f t="shared" si="43"/>
        <v>WS-09</v>
      </c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</row>
    <row r="764" spans="1:53">
      <c r="A764" s="3">
        <v>17</v>
      </c>
      <c r="B764" s="125" t="str">
        <f>IFERROR(INDEX('S21 Routing Clustered'!$A$3:$A$18, A764), "")</f>
        <v/>
      </c>
      <c r="C764" s="3">
        <v>110</v>
      </c>
      <c r="D764" s="391" t="str">
        <f>IFERROR(HLOOKUP(C764, 'S21 Routing Clustered'!$B$2:$I$18, A764+1, 0), "")</f>
        <v/>
      </c>
      <c r="E764" s="391" t="str">
        <f t="shared" si="39"/>
        <v/>
      </c>
      <c r="F764" s="3" t="str">
        <f>IF(E764="", "", VLOOKUP(B764, 'S14 ABC Output'!$A$3:$C$18, 3, 0))</f>
        <v/>
      </c>
      <c r="I764" s="392" t="str">
        <f t="shared" si="43"/>
        <v>WS-10</v>
      </c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</row>
    <row r="765" spans="1:53">
      <c r="A765" s="3">
        <v>17</v>
      </c>
      <c r="B765" s="125" t="str">
        <f>IFERROR(INDEX('S21 Routing Clustered'!$A$3:$A$18, A765), "")</f>
        <v/>
      </c>
      <c r="C765" s="3">
        <v>120</v>
      </c>
      <c r="D765" s="391" t="str">
        <f>IFERROR(HLOOKUP(C765, 'S21 Routing Clustered'!$B$2:$I$18, A765+1, 0), "")</f>
        <v/>
      </c>
      <c r="E765" s="391" t="str">
        <f t="shared" si="39"/>
        <v/>
      </c>
      <c r="F765" s="3" t="str">
        <f>IF(E765="", "", VLOOKUP(B765, 'S14 ABC Output'!$A$3:$C$18, 3, 0))</f>
        <v/>
      </c>
      <c r="I765" s="392" t="str">
        <f t="shared" si="43"/>
        <v>WS-11</v>
      </c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</row>
    <row r="766" spans="1:53">
      <c r="A766" s="3">
        <v>17</v>
      </c>
      <c r="B766" s="125" t="str">
        <f>IFERROR(INDEX('S21 Routing Clustered'!$A$3:$A$18, A766), "")</f>
        <v/>
      </c>
      <c r="C766" s="3">
        <v>130</v>
      </c>
      <c r="D766" s="391" t="str">
        <f>IFERROR(HLOOKUP(C766, 'S21 Routing Clustered'!$B$2:$I$18, A766+1, 0), "")</f>
        <v/>
      </c>
      <c r="E766" s="391" t="str">
        <f t="shared" si="39"/>
        <v/>
      </c>
      <c r="F766" s="3" t="str">
        <f>IF(E766="", "", VLOOKUP(B766, 'S14 ABC Output'!$A$3:$C$18, 3, 0))</f>
        <v/>
      </c>
      <c r="I766" s="392" t="str">
        <f t="shared" si="43"/>
        <v>WS-12</v>
      </c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</row>
    <row r="767" spans="1:53">
      <c r="A767" s="3">
        <v>17</v>
      </c>
      <c r="B767" s="125" t="str">
        <f>IFERROR(INDEX('S21 Routing Clustered'!$A$3:$A$18, A767), "")</f>
        <v/>
      </c>
      <c r="C767" s="3">
        <v>140</v>
      </c>
      <c r="D767" s="391" t="str">
        <f>IFERROR(HLOOKUP(C767, 'S21 Routing Clustered'!$B$2:$I$18, A767+1, 0), "")</f>
        <v/>
      </c>
      <c r="E767" s="391" t="str">
        <f t="shared" si="39"/>
        <v/>
      </c>
      <c r="F767" s="3" t="str">
        <f>IF(E767="", "", VLOOKUP(B767, 'S14 ABC Output'!$A$3:$C$18, 3, 0))</f>
        <v/>
      </c>
      <c r="I767" s="392" t="str">
        <f t="shared" si="43"/>
        <v>WS-13</v>
      </c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</row>
    <row r="768" spans="1:53">
      <c r="A768" s="3">
        <v>17</v>
      </c>
      <c r="B768" s="125" t="str">
        <f>IFERROR(INDEX('S21 Routing Clustered'!$A$3:$A$18, A768), "")</f>
        <v/>
      </c>
      <c r="C768" s="3">
        <v>150</v>
      </c>
      <c r="D768" s="391" t="str">
        <f>IFERROR(HLOOKUP(C768, 'S21 Routing Clustered'!$B$2:$I$18, A768+1, 0), "")</f>
        <v/>
      </c>
      <c r="E768" s="391" t="str">
        <f t="shared" si="39"/>
        <v/>
      </c>
      <c r="F768" s="3" t="str">
        <f>IF(E768="", "", VLOOKUP(B768, 'S14 ABC Output'!$A$3:$C$18, 3, 0))</f>
        <v/>
      </c>
      <c r="I768" s="392" t="str">
        <f t="shared" si="43"/>
        <v>WS-14</v>
      </c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</row>
    <row r="769" spans="1:53">
      <c r="A769" s="3">
        <v>17</v>
      </c>
      <c r="B769" s="125" t="str">
        <f>IFERROR(INDEX('S21 Routing Clustered'!$A$3:$A$18, A769), "")</f>
        <v/>
      </c>
      <c r="C769" s="3">
        <v>160</v>
      </c>
      <c r="D769" s="391" t="str">
        <f>IFERROR(HLOOKUP(C769, 'S21 Routing Clustered'!$B$2:$I$18, A769+1, 0), "")</f>
        <v/>
      </c>
      <c r="E769" s="391" t="str">
        <f t="shared" si="39"/>
        <v/>
      </c>
      <c r="F769" s="3" t="str">
        <f>IF(E769="", "", VLOOKUP(B769, 'S14 ABC Output'!$A$3:$C$18, 3, 0))</f>
        <v/>
      </c>
      <c r="I769" s="392" t="str">
        <f t="shared" si="43"/>
        <v>WS-15</v>
      </c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</row>
    <row r="770" spans="1:53">
      <c r="A770" s="3">
        <v>17</v>
      </c>
      <c r="B770" s="125" t="str">
        <f>IFERROR(INDEX('S21 Routing Clustered'!$A$3:$A$18, A770), "")</f>
        <v/>
      </c>
      <c r="C770" s="3">
        <v>170</v>
      </c>
      <c r="D770" s="391" t="str">
        <f>IFERROR(HLOOKUP(C770, 'S21 Routing Clustered'!$B$2:$I$18, A770+1, 0), "")</f>
        <v/>
      </c>
      <c r="E770" s="391" t="str">
        <f t="shared" si="39"/>
        <v/>
      </c>
      <c r="F770" s="3" t="str">
        <f>IF(E770="", "", VLOOKUP(B770, 'S14 ABC Output'!$A$3:$C$18, 3, 0))</f>
        <v/>
      </c>
      <c r="I770" s="392" t="str">
        <f t="shared" si="43"/>
        <v>WS-16</v>
      </c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</row>
    <row r="771" spans="1:53">
      <c r="A771" s="3">
        <v>17</v>
      </c>
      <c r="B771" s="125" t="str">
        <f>IFERROR(INDEX('S21 Routing Clustered'!$A$3:$A$18, A771), "")</f>
        <v/>
      </c>
      <c r="C771" s="3">
        <v>180</v>
      </c>
      <c r="D771" s="391" t="str">
        <f>IFERROR(HLOOKUP(C771, 'S21 Routing Clustered'!$B$2:$I$18, A771+1, 0), "")</f>
        <v/>
      </c>
      <c r="E771" s="391" t="str">
        <f t="shared" ref="E771:E834" si="44">IF(D771="", "", D772)</f>
        <v/>
      </c>
      <c r="F771" s="3" t="str">
        <f>IF(E771="", "", VLOOKUP(B771, 'S14 ABC Output'!$A$3:$C$18, 3, 0))</f>
        <v/>
      </c>
      <c r="I771" s="392" t="str">
        <f t="shared" si="43"/>
        <v>WS-17</v>
      </c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</row>
    <row r="772" spans="1:53">
      <c r="A772" s="3">
        <v>17</v>
      </c>
      <c r="B772" s="125" t="str">
        <f>IFERROR(INDEX('S21 Routing Clustered'!$A$3:$A$18, A772), "")</f>
        <v/>
      </c>
      <c r="C772" s="3">
        <v>190</v>
      </c>
      <c r="D772" s="391" t="str">
        <f>IFERROR(HLOOKUP(C772, 'S21 Routing Clustered'!$B$2:$I$18, A772+1, 0), "")</f>
        <v/>
      </c>
      <c r="E772" s="391" t="str">
        <f t="shared" si="44"/>
        <v/>
      </c>
      <c r="F772" s="3" t="str">
        <f>IF(E772="", "", VLOOKUP(B772, 'S14 ABC Output'!$A$3:$C$18, 3, 0))</f>
        <v/>
      </c>
      <c r="I772" s="392" t="str">
        <f t="shared" si="43"/>
        <v>WS-18</v>
      </c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</row>
    <row r="773" spans="1:53">
      <c r="A773" s="3">
        <v>17</v>
      </c>
      <c r="B773" s="125" t="str">
        <f>IFERROR(INDEX('S21 Routing Clustered'!$A$3:$A$18, A773), "")</f>
        <v/>
      </c>
      <c r="C773" s="3">
        <v>200</v>
      </c>
      <c r="D773" s="391" t="str">
        <f>IFERROR(HLOOKUP(C773, 'S21 Routing Clustered'!$B$2:$I$18, A773+1, 0), "")</f>
        <v/>
      </c>
      <c r="E773" s="391" t="str">
        <f t="shared" si="44"/>
        <v/>
      </c>
      <c r="F773" s="3" t="str">
        <f>IF(E773="", "", VLOOKUP(B773, 'S14 ABC Output'!$A$3:$C$18, 3, 0))</f>
        <v/>
      </c>
      <c r="I773" s="392" t="str">
        <f t="shared" si="43"/>
        <v>WS-19</v>
      </c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</row>
    <row r="774" spans="1:53">
      <c r="A774" s="3">
        <v>17</v>
      </c>
      <c r="B774" s="125" t="str">
        <f>IFERROR(INDEX('S21 Routing Clustered'!$A$3:$A$18, A774), "")</f>
        <v/>
      </c>
      <c r="C774" s="3">
        <v>210</v>
      </c>
      <c r="D774" s="391" t="str">
        <f>IFERROR(HLOOKUP(C774, 'S21 Routing Clustered'!$B$2:$I$18, A774+1, 0), "")</f>
        <v/>
      </c>
      <c r="E774" s="391" t="str">
        <f t="shared" si="44"/>
        <v/>
      </c>
      <c r="F774" s="3" t="str">
        <f>IF(E774="", "", VLOOKUP(B774, 'S14 ABC Output'!$A$3:$C$18, 3, 0))</f>
        <v/>
      </c>
      <c r="I774" s="392" t="str">
        <f t="shared" si="43"/>
        <v>WS-20</v>
      </c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</row>
    <row r="775" spans="1:53">
      <c r="A775" s="3">
        <v>17</v>
      </c>
      <c r="B775" s="125" t="str">
        <f>IFERROR(INDEX('S21 Routing Clustered'!$A$3:$A$18, A775), "")</f>
        <v/>
      </c>
      <c r="C775" s="3">
        <v>220</v>
      </c>
      <c r="D775" s="391" t="str">
        <f>IFERROR(HLOOKUP(C775, 'S21 Routing Clustered'!$B$2:$I$18, A775+1, 0), "")</f>
        <v/>
      </c>
      <c r="E775" s="391" t="str">
        <f t="shared" si="44"/>
        <v/>
      </c>
      <c r="F775" s="3" t="str">
        <f>IF(E775="", "", VLOOKUP(B775, 'S14 ABC Output'!$A$3:$C$18, 3, 0))</f>
        <v/>
      </c>
      <c r="I775" s="392" t="str">
        <f t="shared" si="43"/>
        <v>WS-21</v>
      </c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</row>
    <row r="776" spans="1:53">
      <c r="A776" s="3">
        <v>17</v>
      </c>
      <c r="B776" s="125" t="str">
        <f>IFERROR(INDEX('S21 Routing Clustered'!$A$3:$A$18, A776), "")</f>
        <v/>
      </c>
      <c r="C776" s="3">
        <v>230</v>
      </c>
      <c r="D776" s="391" t="str">
        <f>IFERROR(HLOOKUP(C776, 'S21 Routing Clustered'!$B$2:$I$18, A776+1, 0), "")</f>
        <v/>
      </c>
      <c r="E776" s="391" t="str">
        <f t="shared" si="44"/>
        <v/>
      </c>
      <c r="F776" s="3" t="str">
        <f>IF(E776="", "", VLOOKUP(B776, 'S14 ABC Output'!$A$3:$C$18, 3, 0))</f>
        <v/>
      </c>
      <c r="I776" s="392" t="str">
        <f t="shared" si="43"/>
        <v>WS-22</v>
      </c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</row>
    <row r="777" spans="1:53">
      <c r="A777" s="3">
        <v>17</v>
      </c>
      <c r="B777" s="125" t="str">
        <f>IFERROR(INDEX('S21 Routing Clustered'!$A$3:$A$18, A777), "")</f>
        <v/>
      </c>
      <c r="C777" s="3">
        <v>240</v>
      </c>
      <c r="D777" s="391" t="str">
        <f>IFERROR(HLOOKUP(C777, 'S21 Routing Clustered'!$B$2:$I$18, A777+1, 0), "")</f>
        <v/>
      </c>
      <c r="E777" s="391" t="str">
        <f t="shared" si="44"/>
        <v/>
      </c>
      <c r="F777" s="3" t="str">
        <f>IF(E777="", "", VLOOKUP(B777, 'S14 ABC Output'!$A$3:$C$18, 3, 0))</f>
        <v/>
      </c>
      <c r="I777" s="392" t="str">
        <f t="shared" si="43"/>
        <v>WS-23</v>
      </c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</row>
    <row r="778" spans="1:53">
      <c r="A778" s="3">
        <v>17</v>
      </c>
      <c r="B778" s="125" t="str">
        <f>IFERROR(INDEX('S21 Routing Clustered'!$A$3:$A$18, A778), "")</f>
        <v/>
      </c>
      <c r="C778" s="3">
        <v>250</v>
      </c>
      <c r="D778" s="391" t="str">
        <f>IFERROR(HLOOKUP(C778, 'S21 Routing Clustered'!$B$2:$I$18, A778+1, 0), "")</f>
        <v/>
      </c>
      <c r="E778" s="391" t="str">
        <f t="shared" si="44"/>
        <v/>
      </c>
      <c r="F778" s="3" t="str">
        <f>IF(E778="", "", VLOOKUP(B778, 'S14 ABC Output'!$A$3:$C$18, 3, 0))</f>
        <v/>
      </c>
      <c r="I778" s="392" t="str">
        <f t="shared" si="43"/>
        <v>WS-24</v>
      </c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</row>
    <row r="779" spans="1:53">
      <c r="A779" s="3">
        <v>17</v>
      </c>
      <c r="B779" s="125" t="str">
        <f>IFERROR(INDEX('S21 Routing Clustered'!$A$3:$A$18, A779), "")</f>
        <v/>
      </c>
      <c r="C779" s="3">
        <v>260</v>
      </c>
      <c r="D779" s="391" t="str">
        <f>IFERROR(HLOOKUP(C779, 'S21 Routing Clustered'!$B$2:$I$18, A779+1, 0), "")</f>
        <v/>
      </c>
      <c r="E779" s="391" t="str">
        <f t="shared" si="44"/>
        <v/>
      </c>
      <c r="F779" s="3" t="str">
        <f>IF(E779="", "", VLOOKUP(B779, 'S14 ABC Output'!$A$3:$C$18, 3, 0))</f>
        <v/>
      </c>
      <c r="I779" s="392" t="str">
        <f t="shared" si="43"/>
        <v>WS-25</v>
      </c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</row>
    <row r="780" spans="1:53">
      <c r="A780" s="3">
        <v>17</v>
      </c>
      <c r="B780" s="125" t="str">
        <f>IFERROR(INDEX('S21 Routing Clustered'!$A$3:$A$18, A780), "")</f>
        <v/>
      </c>
      <c r="C780" s="3">
        <v>270</v>
      </c>
      <c r="D780" s="391" t="str">
        <f>IFERROR(HLOOKUP(C780, 'S21 Routing Clustered'!$B$2:$I$18, A780+1, 0), "")</f>
        <v/>
      </c>
      <c r="E780" s="391" t="str">
        <f t="shared" si="44"/>
        <v/>
      </c>
      <c r="F780" s="3" t="str">
        <f>IF(E780="", "", VLOOKUP(B780, 'S14 ABC Output'!$A$3:$C$18, 3, 0))</f>
        <v/>
      </c>
      <c r="I780" s="392" t="str">
        <f t="shared" si="43"/>
        <v>WS-26</v>
      </c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</row>
    <row r="781" spans="1:53">
      <c r="A781" s="3">
        <v>17</v>
      </c>
      <c r="B781" s="125" t="str">
        <f>IFERROR(INDEX('S21 Routing Clustered'!$A$3:$A$18, A781), "")</f>
        <v/>
      </c>
      <c r="C781" s="3">
        <v>280</v>
      </c>
      <c r="D781" s="391" t="str">
        <f>IFERROR(HLOOKUP(C781, 'S21 Routing Clustered'!$B$2:$I$18, A781+1, 0), "")</f>
        <v/>
      </c>
      <c r="E781" s="391" t="str">
        <f t="shared" si="44"/>
        <v/>
      </c>
      <c r="F781" s="3" t="str">
        <f>IF(E781="", "", VLOOKUP(B781, 'S14 ABC Output'!$A$3:$C$18, 3, 0))</f>
        <v/>
      </c>
      <c r="I781" s="392" t="str">
        <f t="shared" si="43"/>
        <v>WS-27</v>
      </c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</row>
    <row r="782" spans="1:53">
      <c r="A782" s="3">
        <v>17</v>
      </c>
      <c r="B782" s="125" t="str">
        <f>IFERROR(INDEX('S21 Routing Clustered'!$A$3:$A$18, A782), "")</f>
        <v/>
      </c>
      <c r="C782" s="3">
        <v>290</v>
      </c>
      <c r="D782" s="391" t="str">
        <f>IFERROR(HLOOKUP(C782, 'S21 Routing Clustered'!$B$2:$I$18, A782+1, 0), "")</f>
        <v/>
      </c>
      <c r="E782" s="391" t="str">
        <f t="shared" si="44"/>
        <v/>
      </c>
      <c r="F782" s="3" t="str">
        <f>IF(E782="", "", VLOOKUP(B782, 'S14 ABC Output'!$A$3:$C$18, 3, 0))</f>
        <v/>
      </c>
      <c r="I782" s="392" t="str">
        <f t="shared" si="43"/>
        <v>WS-28</v>
      </c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</row>
    <row r="783" spans="1:53">
      <c r="A783" s="3">
        <v>17</v>
      </c>
      <c r="B783" s="125" t="str">
        <f>IFERROR(INDEX('S21 Routing Clustered'!$A$3:$A$18, A783), "")</f>
        <v/>
      </c>
      <c r="C783" s="3">
        <v>300</v>
      </c>
      <c r="D783" s="391" t="str">
        <f>IFERROR(HLOOKUP(C783, 'S21 Routing Clustered'!$B$2:$I$18, A783+1, 0), "")</f>
        <v/>
      </c>
      <c r="E783" s="391" t="str">
        <f t="shared" si="44"/>
        <v/>
      </c>
      <c r="F783" s="3" t="str">
        <f>IF(E783="", "", VLOOKUP(B783, 'S14 ABC Output'!$A$3:$C$18, 3, 0))</f>
        <v/>
      </c>
      <c r="I783" s="392" t="str">
        <f t="shared" si="43"/>
        <v>WS-29</v>
      </c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</row>
    <row r="784" spans="1:53">
      <c r="A784" s="3">
        <v>17</v>
      </c>
      <c r="B784" s="125" t="str">
        <f>IFERROR(INDEX('S21 Routing Clustered'!$A$3:$A$18, A784), "")</f>
        <v/>
      </c>
      <c r="C784" s="3">
        <v>310</v>
      </c>
      <c r="D784" s="391" t="str">
        <f>IFERROR(HLOOKUP(C784, 'S21 Routing Clustered'!$B$2:$I$18, A784+1, 0), "")</f>
        <v/>
      </c>
      <c r="E784" s="391" t="str">
        <f t="shared" si="44"/>
        <v/>
      </c>
      <c r="F784" s="3" t="str">
        <f>IF(E784="", "", VLOOKUP(B784, 'S14 ABC Output'!$A$3:$C$18, 3, 0))</f>
        <v/>
      </c>
      <c r="I784" s="392" t="str">
        <f t="shared" si="43"/>
        <v>WS-30</v>
      </c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</row>
    <row r="785" spans="1:53">
      <c r="A785" s="3">
        <v>17</v>
      </c>
      <c r="B785" s="125" t="str">
        <f>IFERROR(INDEX('S21 Routing Clustered'!$A$3:$A$18, A785), "")</f>
        <v/>
      </c>
      <c r="C785" s="3">
        <v>320</v>
      </c>
      <c r="D785" s="391" t="str">
        <f>IFERROR(HLOOKUP(C785, 'S21 Routing Clustered'!$B$2:$I$18, A785+1, 0), "")</f>
        <v/>
      </c>
      <c r="E785" s="391" t="str">
        <f t="shared" si="44"/>
        <v/>
      </c>
      <c r="F785" s="3" t="str">
        <f>IF(E785="", "", VLOOKUP(B785, 'S14 ABC Output'!$A$3:$C$18, 3, 0))</f>
        <v/>
      </c>
      <c r="I785" s="392" t="str">
        <f t="shared" si="43"/>
        <v>WS-31</v>
      </c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</row>
    <row r="786" spans="1:53">
      <c r="A786" s="3">
        <v>17</v>
      </c>
      <c r="B786" s="125" t="str">
        <f>IFERROR(INDEX('S21 Routing Clustered'!$A$3:$A$18, A786), "")</f>
        <v/>
      </c>
      <c r="C786" s="3">
        <v>330</v>
      </c>
      <c r="D786" s="391" t="str">
        <f>IFERROR(HLOOKUP(C786, 'S21 Routing Clustered'!$B$2:$I$18, A786+1, 0), "")</f>
        <v/>
      </c>
      <c r="E786" s="391" t="str">
        <f t="shared" si="44"/>
        <v/>
      </c>
      <c r="F786" s="3" t="str">
        <f>IF(E786="", "", VLOOKUP(B786, 'S14 ABC Output'!$A$3:$C$18, 3, 0))</f>
        <v/>
      </c>
      <c r="I786" s="392" t="str">
        <f t="shared" si="43"/>
        <v>WS-32</v>
      </c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</row>
    <row r="787" spans="1:53">
      <c r="A787" s="3">
        <v>17</v>
      </c>
      <c r="B787" s="125" t="str">
        <f>IFERROR(INDEX('S21 Routing Clustered'!$A$3:$A$18, A787), "")</f>
        <v/>
      </c>
      <c r="C787" s="3">
        <v>340</v>
      </c>
      <c r="D787" s="391" t="str">
        <f>IFERROR(HLOOKUP(C787, 'S21 Routing Clustered'!$B$2:$I$18, A787+1, 0), "")</f>
        <v/>
      </c>
      <c r="E787" s="391" t="str">
        <f t="shared" si="44"/>
        <v/>
      </c>
      <c r="F787" s="3" t="str">
        <f>IF(E787="", "", VLOOKUP(B787, 'S14 ABC Output'!$A$3:$C$18, 3, 0))</f>
        <v/>
      </c>
      <c r="I787" s="392" t="str">
        <f t="shared" si="43"/>
        <v>WS-33</v>
      </c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</row>
    <row r="788" spans="1:53">
      <c r="A788" s="3">
        <v>17</v>
      </c>
      <c r="B788" s="125" t="str">
        <f>IFERROR(INDEX('S21 Routing Clustered'!$A$3:$A$18, A788), "")</f>
        <v/>
      </c>
      <c r="C788" s="3">
        <v>350</v>
      </c>
      <c r="D788" s="391" t="str">
        <f>IFERROR(HLOOKUP(C788, 'S21 Routing Clustered'!$B$2:$I$18, A788+1, 0), "")</f>
        <v/>
      </c>
      <c r="E788" s="391" t="str">
        <f t="shared" si="44"/>
        <v/>
      </c>
      <c r="F788" s="3" t="str">
        <f>IF(E788="", "", VLOOKUP(B788, 'S14 ABC Output'!$A$3:$C$18, 3, 0))</f>
        <v/>
      </c>
      <c r="I788" s="392" t="str">
        <f t="shared" si="43"/>
        <v>WS-34</v>
      </c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</row>
    <row r="789" spans="1:53">
      <c r="A789" s="3">
        <v>17</v>
      </c>
      <c r="B789" s="125" t="str">
        <f>IFERROR(INDEX('S21 Routing Clustered'!$A$3:$A$18, A789), "")</f>
        <v/>
      </c>
      <c r="C789" s="3">
        <v>360</v>
      </c>
      <c r="D789" s="391" t="str">
        <f>IFERROR(HLOOKUP(C789, 'S21 Routing Clustered'!$B$2:$I$18, A789+1, 0), "")</f>
        <v/>
      </c>
      <c r="E789" s="391" t="str">
        <f t="shared" si="44"/>
        <v/>
      </c>
      <c r="F789" s="3" t="str">
        <f>IF(E789="", "", VLOOKUP(B789, 'S14 ABC Output'!$A$3:$C$18, 3, 0))</f>
        <v/>
      </c>
      <c r="I789" s="392" t="str">
        <f t="shared" si="43"/>
        <v>WS-35</v>
      </c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</row>
    <row r="790" spans="1:53">
      <c r="A790" s="3">
        <v>17</v>
      </c>
      <c r="B790" s="125" t="str">
        <f>IFERROR(INDEX('S21 Routing Clustered'!$A$3:$A$18, A790), "")</f>
        <v/>
      </c>
      <c r="C790" s="3">
        <v>370</v>
      </c>
      <c r="D790" s="391" t="str">
        <f>IFERROR(HLOOKUP(C790, 'S21 Routing Clustered'!$B$2:$I$18, A790+1, 0), "")</f>
        <v/>
      </c>
      <c r="E790" s="391" t="str">
        <f t="shared" si="44"/>
        <v/>
      </c>
      <c r="F790" s="3" t="str">
        <f>IF(E790="", "", VLOOKUP(B790, 'S14 ABC Output'!$A$3:$C$18, 3, 0))</f>
        <v/>
      </c>
      <c r="I790" s="392" t="str">
        <f t="shared" si="43"/>
        <v>WS-36</v>
      </c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</row>
    <row r="791" spans="1:53">
      <c r="A791" s="3">
        <v>17</v>
      </c>
      <c r="B791" s="125" t="str">
        <f>IFERROR(INDEX('S21 Routing Clustered'!$A$3:$A$18, A791), "")</f>
        <v/>
      </c>
      <c r="C791" s="3">
        <v>380</v>
      </c>
      <c r="D791" s="391" t="str">
        <f>IFERROR(HLOOKUP(C791, 'S21 Routing Clustered'!$B$2:$I$18, A791+1, 0), "")</f>
        <v/>
      </c>
      <c r="E791" s="391" t="str">
        <f t="shared" si="44"/>
        <v/>
      </c>
      <c r="F791" s="3" t="str">
        <f>IF(E791="", "", VLOOKUP(B791, 'S14 ABC Output'!$A$3:$C$18, 3, 0))</f>
        <v/>
      </c>
      <c r="I791" s="392" t="str">
        <f t="shared" si="43"/>
        <v>WS-37</v>
      </c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</row>
    <row r="792" spans="1:53">
      <c r="A792" s="3">
        <v>17</v>
      </c>
      <c r="B792" s="125" t="str">
        <f>IFERROR(INDEX('S21 Routing Clustered'!$A$3:$A$18, A792), "")</f>
        <v/>
      </c>
      <c r="C792" s="3">
        <v>390</v>
      </c>
      <c r="D792" s="391" t="str">
        <f>IFERROR(HLOOKUP(C792, 'S21 Routing Clustered'!$B$2:$I$18, A792+1, 0), "")</f>
        <v/>
      </c>
      <c r="E792" s="391" t="str">
        <f t="shared" si="44"/>
        <v/>
      </c>
      <c r="F792" s="3" t="str">
        <f>IF(E792="", "", VLOOKUP(B792, 'S14 ABC Output'!$A$3:$C$18, 3, 0))</f>
        <v/>
      </c>
      <c r="I792" s="392" t="str">
        <f t="shared" si="43"/>
        <v>WS-38</v>
      </c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</row>
    <row r="793" spans="1:53">
      <c r="A793" s="3">
        <v>17</v>
      </c>
      <c r="B793" s="125" t="str">
        <f>IFERROR(INDEX('S21 Routing Clustered'!$A$3:$A$18, A793), "")</f>
        <v/>
      </c>
      <c r="C793" s="3">
        <v>400</v>
      </c>
      <c r="D793" s="391" t="str">
        <f>IFERROR(HLOOKUP(C793, 'S21 Routing Clustered'!$B$2:$I$18, A793+1, 0), "")</f>
        <v/>
      </c>
      <c r="E793" s="391" t="str">
        <f t="shared" si="44"/>
        <v/>
      </c>
      <c r="F793" s="3" t="str">
        <f>IF(E793="", "", VLOOKUP(B793, 'S14 ABC Output'!$A$3:$C$18, 3, 0))</f>
        <v/>
      </c>
      <c r="I793" s="392" t="str">
        <f t="shared" si="43"/>
        <v>WS-39</v>
      </c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</row>
    <row r="794" spans="1:53">
      <c r="A794" s="3">
        <v>17</v>
      </c>
      <c r="B794" s="125" t="str">
        <f>IFERROR(INDEX('S21 Routing Clustered'!$A$3:$A$18, A794), "")</f>
        <v/>
      </c>
      <c r="C794" s="3">
        <v>410</v>
      </c>
      <c r="D794" s="391" t="str">
        <f>IFERROR(HLOOKUP(C794, 'S21 Routing Clustered'!$B$2:$I$18, A794+1, 0), "")</f>
        <v/>
      </c>
      <c r="E794" s="391" t="str">
        <f t="shared" si="44"/>
        <v/>
      </c>
      <c r="F794" s="3" t="str">
        <f>IF(E794="", "", VLOOKUP(B794, 'S14 ABC Output'!$A$3:$C$18, 3, 0))</f>
        <v/>
      </c>
      <c r="I794" s="392" t="str">
        <f t="shared" si="43"/>
        <v>WS-40</v>
      </c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</row>
    <row r="795" spans="1:53">
      <c r="A795" s="3">
        <v>17</v>
      </c>
      <c r="B795" s="125" t="str">
        <f>IFERROR(INDEX('S21 Routing Clustered'!$A$3:$A$18, A795), "")</f>
        <v/>
      </c>
      <c r="C795" s="3">
        <v>420</v>
      </c>
      <c r="D795" s="391" t="str">
        <f>IFERROR(HLOOKUP(C795, 'S21 Routing Clustered'!$B$2:$I$18, A795+1, 0), "")</f>
        <v/>
      </c>
      <c r="E795" s="391" t="str">
        <f t="shared" si="44"/>
        <v/>
      </c>
      <c r="F795" s="3" t="str">
        <f>IF(E795="", "", VLOOKUP(B795, 'S14 ABC Output'!$A$3:$C$18, 3, 0))</f>
        <v/>
      </c>
      <c r="I795" s="392" t="str">
        <f t="shared" si="43"/>
        <v>WS-41</v>
      </c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</row>
    <row r="796" spans="1:53">
      <c r="A796" s="3">
        <v>17</v>
      </c>
      <c r="B796" s="125" t="str">
        <f>IFERROR(INDEX('S21 Routing Clustered'!$A$3:$A$18, A796), "")</f>
        <v/>
      </c>
      <c r="C796" s="3">
        <v>430</v>
      </c>
      <c r="D796" s="391" t="str">
        <f>IFERROR(HLOOKUP(C796, 'S21 Routing Clustered'!$B$2:$I$18, A796+1, 0), "")</f>
        <v/>
      </c>
      <c r="E796" s="391" t="str">
        <f t="shared" si="44"/>
        <v/>
      </c>
      <c r="F796" s="3" t="str">
        <f>IF(E796="", "", VLOOKUP(B796, 'S14 ABC Output'!$A$3:$C$18, 3, 0))</f>
        <v/>
      </c>
      <c r="I796" s="392" t="str">
        <f t="shared" si="43"/>
        <v>WS-42</v>
      </c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</row>
    <row r="797" spans="1:53">
      <c r="A797" s="3">
        <v>17</v>
      </c>
      <c r="B797" s="125" t="str">
        <f>IFERROR(INDEX('S21 Routing Clustered'!$A$3:$A$18, A797), "")</f>
        <v/>
      </c>
      <c r="C797" s="3">
        <v>440</v>
      </c>
      <c r="D797" s="391" t="str">
        <f>IFERROR(HLOOKUP(C797, 'S21 Routing Clustered'!$B$2:$I$18, A797+1, 0), "")</f>
        <v/>
      </c>
      <c r="E797" s="391" t="str">
        <f t="shared" si="44"/>
        <v/>
      </c>
      <c r="F797" s="3" t="str">
        <f>IF(E797="", "", VLOOKUP(B797, 'S14 ABC Output'!$A$3:$C$18, 3, 0))</f>
        <v/>
      </c>
      <c r="I797" s="392" t="str">
        <f t="shared" si="43"/>
        <v>WS-43</v>
      </c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</row>
    <row r="798" spans="1:53">
      <c r="A798" s="3">
        <v>17</v>
      </c>
      <c r="B798" s="125" t="str">
        <f>IFERROR(INDEX('S21 Routing Clustered'!$A$3:$A$18, A798), "")</f>
        <v/>
      </c>
      <c r="C798" s="3">
        <v>450</v>
      </c>
      <c r="D798" s="391" t="str">
        <f>IFERROR(HLOOKUP(C798, 'S21 Routing Clustered'!$B$2:$I$18, A798+1, 0), "")</f>
        <v/>
      </c>
      <c r="E798" s="391" t="str">
        <f t="shared" si="44"/>
        <v/>
      </c>
      <c r="F798" s="3" t="str">
        <f>IF(E798="", "", VLOOKUP(B798, 'S14 ABC Output'!$A$3:$C$18, 3, 0))</f>
        <v/>
      </c>
      <c r="I798" s="392" t="str">
        <f t="shared" si="43"/>
        <v>WS-44</v>
      </c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</row>
    <row r="799" spans="1:53">
      <c r="B799" s="125" t="str">
        <f>IFERROR(INDEX('S21 Routing Clustered'!$A$3:$A$18, A799), "")</f>
        <v/>
      </c>
      <c r="D799" s="391" t="str">
        <f>IFERROR(HLOOKUP(C799, 'S21 Routing Clustered'!$B$2:$I$18, A799+1, 0), "")</f>
        <v/>
      </c>
      <c r="E799" s="391" t="str">
        <f t="shared" si="44"/>
        <v/>
      </c>
      <c r="F799" s="3" t="str">
        <f>IF(E799="", "", VLOOKUP(B799, 'S14 ABC Output'!$A$3:$C$18, 3, 0))</f>
        <v/>
      </c>
    </row>
    <row r="800" spans="1:53">
      <c r="B800" s="125" t="str">
        <f>IFERROR(INDEX('S21 Routing Clustered'!$A$3:$A$18, A800), "")</f>
        <v/>
      </c>
      <c r="D800" s="391" t="str">
        <f>IFERROR(HLOOKUP(C800, 'S21 Routing Clustered'!$B$2:$I$18, A800+1, 0), "")</f>
        <v/>
      </c>
      <c r="E800" s="391" t="str">
        <f t="shared" si="44"/>
        <v/>
      </c>
      <c r="F800" s="3" t="str">
        <f>IF(E800="", "", VLOOKUP(B800, 'S14 ABC Output'!$A$3:$C$18, 3, 0))</f>
        <v/>
      </c>
    </row>
    <row r="801" spans="1:53">
      <c r="A801" s="3">
        <v>18</v>
      </c>
      <c r="B801" s="125" t="str">
        <f>IFERROR(INDEX('S21 Routing Clustered'!$A$3:$A$18, A801), "")</f>
        <v/>
      </c>
      <c r="C801" s="3">
        <v>10</v>
      </c>
      <c r="D801" s="391" t="str">
        <f>IFERROR(HLOOKUP(C801, 'S21 Routing Clustered'!$B$2:$I$18, A801+1, 0), "")</f>
        <v/>
      </c>
      <c r="E801" s="391" t="str">
        <f t="shared" si="44"/>
        <v/>
      </c>
      <c r="F801" s="3" t="str">
        <f>IF(E801="", "", VLOOKUP(B801, 'S14 ABC Output'!$A$3:$C$18, 3, 0))</f>
        <v/>
      </c>
      <c r="I801" s="392"/>
      <c r="J801" s="392" t="str">
        <f>J754</f>
        <v>WS-01</v>
      </c>
      <c r="K801" s="392" t="str">
        <f t="shared" ref="K801:BA801" si="45">K754</f>
        <v>WS-02</v>
      </c>
      <c r="L801" s="392" t="str">
        <f t="shared" si="45"/>
        <v>WS-03</v>
      </c>
      <c r="M801" s="392" t="str">
        <f t="shared" si="45"/>
        <v>WS-04</v>
      </c>
      <c r="N801" s="392" t="str">
        <f t="shared" si="45"/>
        <v>WS-05</v>
      </c>
      <c r="O801" s="392" t="str">
        <f t="shared" si="45"/>
        <v>WS-06</v>
      </c>
      <c r="P801" s="392" t="str">
        <f t="shared" si="45"/>
        <v>WS-07</v>
      </c>
      <c r="Q801" s="392" t="str">
        <f t="shared" si="45"/>
        <v>WS-08</v>
      </c>
      <c r="R801" s="392" t="str">
        <f t="shared" si="45"/>
        <v>WS-09</v>
      </c>
      <c r="S801" s="392" t="str">
        <f t="shared" si="45"/>
        <v>WS-10</v>
      </c>
      <c r="T801" s="392" t="str">
        <f t="shared" si="45"/>
        <v>WS-11</v>
      </c>
      <c r="U801" s="392" t="str">
        <f t="shared" si="45"/>
        <v>WS-12</v>
      </c>
      <c r="V801" s="392" t="str">
        <f t="shared" si="45"/>
        <v>WS-13</v>
      </c>
      <c r="W801" s="392" t="str">
        <f t="shared" si="45"/>
        <v>WS-14</v>
      </c>
      <c r="X801" s="392" t="str">
        <f t="shared" si="45"/>
        <v>WS-15</v>
      </c>
      <c r="Y801" s="392" t="str">
        <f t="shared" si="45"/>
        <v>WS-16</v>
      </c>
      <c r="Z801" s="392" t="str">
        <f t="shared" si="45"/>
        <v>WS-17</v>
      </c>
      <c r="AA801" s="392" t="str">
        <f t="shared" si="45"/>
        <v>WS-18</v>
      </c>
      <c r="AB801" s="392" t="str">
        <f t="shared" si="45"/>
        <v>WS-19</v>
      </c>
      <c r="AC801" s="392" t="str">
        <f t="shared" si="45"/>
        <v>WS-20</v>
      </c>
      <c r="AD801" s="392" t="str">
        <f t="shared" si="45"/>
        <v>WS-21</v>
      </c>
      <c r="AE801" s="392" t="str">
        <f t="shared" si="45"/>
        <v>WS-22</v>
      </c>
      <c r="AF801" s="392" t="str">
        <f t="shared" si="45"/>
        <v>WS-23</v>
      </c>
      <c r="AG801" s="392" t="str">
        <f t="shared" si="45"/>
        <v>WS-24</v>
      </c>
      <c r="AH801" s="392" t="str">
        <f t="shared" si="45"/>
        <v>WS-25</v>
      </c>
      <c r="AI801" s="392" t="str">
        <f t="shared" si="45"/>
        <v>WS-26</v>
      </c>
      <c r="AJ801" s="392" t="str">
        <f t="shared" si="45"/>
        <v>WS-27</v>
      </c>
      <c r="AK801" s="392" t="str">
        <f t="shared" si="45"/>
        <v>WS-28</v>
      </c>
      <c r="AL801" s="392" t="str">
        <f t="shared" si="45"/>
        <v>WS-29</v>
      </c>
      <c r="AM801" s="392" t="str">
        <f t="shared" si="45"/>
        <v>WS-30</v>
      </c>
      <c r="AN801" s="392" t="str">
        <f t="shared" si="45"/>
        <v>WS-31</v>
      </c>
      <c r="AO801" s="392" t="str">
        <f t="shared" si="45"/>
        <v>WS-32</v>
      </c>
      <c r="AP801" s="392" t="str">
        <f t="shared" si="45"/>
        <v>WS-33</v>
      </c>
      <c r="AQ801" s="392" t="str">
        <f t="shared" si="45"/>
        <v>WS-34</v>
      </c>
      <c r="AR801" s="392" t="str">
        <f t="shared" si="45"/>
        <v>WS-35</v>
      </c>
      <c r="AS801" s="392" t="str">
        <f t="shared" si="45"/>
        <v>WS-36</v>
      </c>
      <c r="AT801" s="392" t="str">
        <f t="shared" si="45"/>
        <v>WS-37</v>
      </c>
      <c r="AU801" s="392" t="str">
        <f t="shared" si="45"/>
        <v>WS-38</v>
      </c>
      <c r="AV801" s="392" t="str">
        <f t="shared" si="45"/>
        <v>WS-39</v>
      </c>
      <c r="AW801" s="392" t="str">
        <f t="shared" si="45"/>
        <v>WS-40</v>
      </c>
      <c r="AX801" s="392" t="str">
        <f t="shared" si="45"/>
        <v>WS-41</v>
      </c>
      <c r="AY801" s="392" t="str">
        <f t="shared" si="45"/>
        <v>WS-42</v>
      </c>
      <c r="AZ801" s="392" t="str">
        <f t="shared" si="45"/>
        <v>WS-43</v>
      </c>
      <c r="BA801" s="392" t="str">
        <f t="shared" si="45"/>
        <v>WS-44</v>
      </c>
    </row>
    <row r="802" spans="1:53">
      <c r="A802" s="3">
        <v>18</v>
      </c>
      <c r="B802" s="125" t="str">
        <f>IFERROR(INDEX('S21 Routing Clustered'!$A$3:$A$18, A802), "")</f>
        <v/>
      </c>
      <c r="C802" s="3">
        <v>20</v>
      </c>
      <c r="D802" s="391" t="str">
        <f>IFERROR(HLOOKUP(C802, 'S21 Routing Clustered'!$B$2:$I$18, A802+1, 0), "")</f>
        <v/>
      </c>
      <c r="E802" s="391" t="str">
        <f t="shared" si="44"/>
        <v/>
      </c>
      <c r="F802" s="3" t="str">
        <f>IF(E802="", "", VLOOKUP(B802, 'S14 ABC Output'!$A$3:$C$18, 3, 0))</f>
        <v/>
      </c>
      <c r="I802" s="392" t="str">
        <f>I755</f>
        <v>WS-01</v>
      </c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</row>
    <row r="803" spans="1:53">
      <c r="A803" s="3">
        <v>18</v>
      </c>
      <c r="B803" s="125" t="str">
        <f>IFERROR(INDEX('S21 Routing Clustered'!$A$3:$A$18, A803), "")</f>
        <v/>
      </c>
      <c r="C803" s="3">
        <v>30</v>
      </c>
      <c r="D803" s="391" t="str">
        <f>IFERROR(HLOOKUP(C803, 'S21 Routing Clustered'!$B$2:$I$18, A803+1, 0), "")</f>
        <v/>
      </c>
      <c r="E803" s="391" t="str">
        <f t="shared" si="44"/>
        <v/>
      </c>
      <c r="F803" s="3" t="str">
        <f>IF(E803="", "", VLOOKUP(B803, 'S14 ABC Output'!$A$3:$C$18, 3, 0))</f>
        <v/>
      </c>
      <c r="I803" s="392" t="str">
        <f t="shared" ref="I803:I845" si="46">I756</f>
        <v>WS-02</v>
      </c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</row>
    <row r="804" spans="1:53">
      <c r="A804" s="3">
        <v>18</v>
      </c>
      <c r="B804" s="125" t="str">
        <f>IFERROR(INDEX('S21 Routing Clustered'!$A$3:$A$18, A804), "")</f>
        <v/>
      </c>
      <c r="C804" s="3">
        <v>40</v>
      </c>
      <c r="D804" s="391" t="str">
        <f>IFERROR(HLOOKUP(C804, 'S21 Routing Clustered'!$B$2:$I$18, A804+1, 0), "")</f>
        <v/>
      </c>
      <c r="E804" s="391" t="str">
        <f t="shared" si="44"/>
        <v/>
      </c>
      <c r="F804" s="3" t="str">
        <f>IF(E804="", "", VLOOKUP(B804, 'S14 ABC Output'!$A$3:$C$18, 3, 0))</f>
        <v/>
      </c>
      <c r="I804" s="392" t="str">
        <f t="shared" si="46"/>
        <v>WS-03</v>
      </c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</row>
    <row r="805" spans="1:53">
      <c r="A805" s="3">
        <v>18</v>
      </c>
      <c r="B805" s="125" t="str">
        <f>IFERROR(INDEX('S21 Routing Clustered'!$A$3:$A$18, A805), "")</f>
        <v/>
      </c>
      <c r="C805" s="3">
        <v>50</v>
      </c>
      <c r="D805" s="391" t="str">
        <f>IFERROR(HLOOKUP(C805, 'S21 Routing Clustered'!$B$2:$I$18, A805+1, 0), "")</f>
        <v/>
      </c>
      <c r="E805" s="391" t="str">
        <f t="shared" si="44"/>
        <v/>
      </c>
      <c r="F805" s="3" t="str">
        <f>IF(E805="", "", VLOOKUP(B805, 'S14 ABC Output'!$A$3:$C$18, 3, 0))</f>
        <v/>
      </c>
      <c r="I805" s="392" t="str">
        <f t="shared" si="46"/>
        <v>WS-04</v>
      </c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</row>
    <row r="806" spans="1:53">
      <c r="A806" s="3">
        <v>18</v>
      </c>
      <c r="B806" s="125" t="str">
        <f>IFERROR(INDEX('S21 Routing Clustered'!$A$3:$A$18, A806), "")</f>
        <v/>
      </c>
      <c r="C806" s="3">
        <v>60</v>
      </c>
      <c r="D806" s="391" t="str">
        <f>IFERROR(HLOOKUP(C806, 'S21 Routing Clustered'!$B$2:$I$18, A806+1, 0), "")</f>
        <v/>
      </c>
      <c r="E806" s="391" t="str">
        <f t="shared" si="44"/>
        <v/>
      </c>
      <c r="F806" s="3" t="str">
        <f>IF(E806="", "", VLOOKUP(B806, 'S14 ABC Output'!$A$3:$C$18, 3, 0))</f>
        <v/>
      </c>
      <c r="I806" s="392" t="str">
        <f t="shared" si="46"/>
        <v>WS-05</v>
      </c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</row>
    <row r="807" spans="1:53">
      <c r="A807" s="3">
        <v>18</v>
      </c>
      <c r="B807" s="125" t="str">
        <f>IFERROR(INDEX('S21 Routing Clustered'!$A$3:$A$18, A807), "")</f>
        <v/>
      </c>
      <c r="C807" s="3">
        <v>70</v>
      </c>
      <c r="D807" s="391" t="str">
        <f>IFERROR(HLOOKUP(C807, 'S21 Routing Clustered'!$B$2:$I$18, A807+1, 0), "")</f>
        <v/>
      </c>
      <c r="E807" s="391" t="str">
        <f t="shared" si="44"/>
        <v/>
      </c>
      <c r="F807" s="3" t="str">
        <f>IF(E807="", "", VLOOKUP(B807, 'S14 ABC Output'!$A$3:$C$18, 3, 0))</f>
        <v/>
      </c>
      <c r="I807" s="392" t="str">
        <f t="shared" si="46"/>
        <v>WS-06</v>
      </c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</row>
    <row r="808" spans="1:53">
      <c r="A808" s="3">
        <v>18</v>
      </c>
      <c r="B808" s="125" t="str">
        <f>IFERROR(INDEX('S21 Routing Clustered'!$A$3:$A$18, A808), "")</f>
        <v/>
      </c>
      <c r="C808" s="3">
        <v>80</v>
      </c>
      <c r="D808" s="391" t="str">
        <f>IFERROR(HLOOKUP(C808, 'S21 Routing Clustered'!$B$2:$I$18, A808+1, 0), "")</f>
        <v/>
      </c>
      <c r="E808" s="391" t="str">
        <f t="shared" si="44"/>
        <v/>
      </c>
      <c r="F808" s="3" t="str">
        <f>IF(E808="", "", VLOOKUP(B808, 'S14 ABC Output'!$A$3:$C$18, 3, 0))</f>
        <v/>
      </c>
      <c r="I808" s="392" t="str">
        <f t="shared" si="46"/>
        <v>WS-07</v>
      </c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</row>
    <row r="809" spans="1:53">
      <c r="A809" s="3">
        <v>18</v>
      </c>
      <c r="B809" s="125" t="str">
        <f>IFERROR(INDEX('S21 Routing Clustered'!$A$3:$A$18, A809), "")</f>
        <v/>
      </c>
      <c r="C809" s="3">
        <v>90</v>
      </c>
      <c r="D809" s="391" t="str">
        <f>IFERROR(HLOOKUP(C809, 'S21 Routing Clustered'!$B$2:$I$18, A809+1, 0), "")</f>
        <v/>
      </c>
      <c r="E809" s="391" t="str">
        <f t="shared" si="44"/>
        <v/>
      </c>
      <c r="F809" s="3" t="str">
        <f>IF(E809="", "", VLOOKUP(B809, 'S14 ABC Output'!$A$3:$C$18, 3, 0))</f>
        <v/>
      </c>
      <c r="I809" s="392" t="str">
        <f t="shared" si="46"/>
        <v>WS-08</v>
      </c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</row>
    <row r="810" spans="1:53">
      <c r="A810" s="3">
        <v>18</v>
      </c>
      <c r="B810" s="125" t="str">
        <f>IFERROR(INDEX('S21 Routing Clustered'!$A$3:$A$18, A810), "")</f>
        <v/>
      </c>
      <c r="C810" s="3">
        <v>100</v>
      </c>
      <c r="D810" s="391" t="str">
        <f>IFERROR(HLOOKUP(C810, 'S21 Routing Clustered'!$B$2:$I$18, A810+1, 0), "")</f>
        <v/>
      </c>
      <c r="E810" s="391" t="str">
        <f t="shared" si="44"/>
        <v/>
      </c>
      <c r="F810" s="3" t="str">
        <f>IF(E810="", "", VLOOKUP(B810, 'S14 ABC Output'!$A$3:$C$18, 3, 0))</f>
        <v/>
      </c>
      <c r="I810" s="392" t="str">
        <f t="shared" si="46"/>
        <v>WS-09</v>
      </c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</row>
    <row r="811" spans="1:53">
      <c r="A811" s="3">
        <v>18</v>
      </c>
      <c r="B811" s="125" t="str">
        <f>IFERROR(INDEX('S21 Routing Clustered'!$A$3:$A$18, A811), "")</f>
        <v/>
      </c>
      <c r="C811" s="3">
        <v>110</v>
      </c>
      <c r="D811" s="391" t="str">
        <f>IFERROR(HLOOKUP(C811, 'S21 Routing Clustered'!$B$2:$I$18, A811+1, 0), "")</f>
        <v/>
      </c>
      <c r="E811" s="391" t="str">
        <f t="shared" si="44"/>
        <v/>
      </c>
      <c r="F811" s="3" t="str">
        <f>IF(E811="", "", VLOOKUP(B811, 'S14 ABC Output'!$A$3:$C$18, 3, 0))</f>
        <v/>
      </c>
      <c r="I811" s="392" t="str">
        <f t="shared" si="46"/>
        <v>WS-10</v>
      </c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</row>
    <row r="812" spans="1:53">
      <c r="A812" s="3">
        <v>18</v>
      </c>
      <c r="B812" s="125" t="str">
        <f>IFERROR(INDEX('S21 Routing Clustered'!$A$3:$A$18, A812), "")</f>
        <v/>
      </c>
      <c r="C812" s="3">
        <v>120</v>
      </c>
      <c r="D812" s="391" t="str">
        <f>IFERROR(HLOOKUP(C812, 'S21 Routing Clustered'!$B$2:$I$18, A812+1, 0), "")</f>
        <v/>
      </c>
      <c r="E812" s="391" t="str">
        <f t="shared" si="44"/>
        <v/>
      </c>
      <c r="F812" s="3" t="str">
        <f>IF(E812="", "", VLOOKUP(B812, 'S14 ABC Output'!$A$3:$C$18, 3, 0))</f>
        <v/>
      </c>
      <c r="I812" s="392" t="str">
        <f t="shared" si="46"/>
        <v>WS-11</v>
      </c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</row>
    <row r="813" spans="1:53">
      <c r="A813" s="3">
        <v>18</v>
      </c>
      <c r="B813" s="125" t="str">
        <f>IFERROR(INDEX('S21 Routing Clustered'!$A$3:$A$18, A813), "")</f>
        <v/>
      </c>
      <c r="C813" s="3">
        <v>130</v>
      </c>
      <c r="D813" s="391" t="str">
        <f>IFERROR(HLOOKUP(C813, 'S21 Routing Clustered'!$B$2:$I$18, A813+1, 0), "")</f>
        <v/>
      </c>
      <c r="E813" s="391" t="str">
        <f t="shared" si="44"/>
        <v/>
      </c>
      <c r="F813" s="3" t="str">
        <f>IF(E813="", "", VLOOKUP(B813, 'S14 ABC Output'!$A$3:$C$18, 3, 0))</f>
        <v/>
      </c>
      <c r="I813" s="392" t="str">
        <f t="shared" si="46"/>
        <v>WS-12</v>
      </c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</row>
    <row r="814" spans="1:53">
      <c r="A814" s="3">
        <v>18</v>
      </c>
      <c r="B814" s="125" t="str">
        <f>IFERROR(INDEX('S21 Routing Clustered'!$A$3:$A$18, A814), "")</f>
        <v/>
      </c>
      <c r="C814" s="3">
        <v>140</v>
      </c>
      <c r="D814" s="391" t="str">
        <f>IFERROR(HLOOKUP(C814, 'S21 Routing Clustered'!$B$2:$I$18, A814+1, 0), "")</f>
        <v/>
      </c>
      <c r="E814" s="391" t="str">
        <f t="shared" si="44"/>
        <v/>
      </c>
      <c r="F814" s="3" t="str">
        <f>IF(E814="", "", VLOOKUP(B814, 'S14 ABC Output'!$A$3:$C$18, 3, 0))</f>
        <v/>
      </c>
      <c r="I814" s="392" t="str">
        <f t="shared" si="46"/>
        <v>WS-13</v>
      </c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</row>
    <row r="815" spans="1:53">
      <c r="A815" s="3">
        <v>18</v>
      </c>
      <c r="B815" s="125" t="str">
        <f>IFERROR(INDEX('S21 Routing Clustered'!$A$3:$A$18, A815), "")</f>
        <v/>
      </c>
      <c r="C815" s="3">
        <v>150</v>
      </c>
      <c r="D815" s="391" t="str">
        <f>IFERROR(HLOOKUP(C815, 'S21 Routing Clustered'!$B$2:$I$18, A815+1, 0), "")</f>
        <v/>
      </c>
      <c r="E815" s="391" t="str">
        <f t="shared" si="44"/>
        <v/>
      </c>
      <c r="F815" s="3" t="str">
        <f>IF(E815="", "", VLOOKUP(B815, 'S14 ABC Output'!$A$3:$C$18, 3, 0))</f>
        <v/>
      </c>
      <c r="I815" s="392" t="str">
        <f t="shared" si="46"/>
        <v>WS-14</v>
      </c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</row>
    <row r="816" spans="1:53">
      <c r="A816" s="3">
        <v>18</v>
      </c>
      <c r="B816" s="125" t="str">
        <f>IFERROR(INDEX('S21 Routing Clustered'!$A$3:$A$18, A816), "")</f>
        <v/>
      </c>
      <c r="C816" s="3">
        <v>160</v>
      </c>
      <c r="D816" s="391" t="str">
        <f>IFERROR(HLOOKUP(C816, 'S21 Routing Clustered'!$B$2:$I$18, A816+1, 0), "")</f>
        <v/>
      </c>
      <c r="E816" s="391" t="str">
        <f t="shared" si="44"/>
        <v/>
      </c>
      <c r="F816" s="3" t="str">
        <f>IF(E816="", "", VLOOKUP(B816, 'S14 ABC Output'!$A$3:$C$18, 3, 0))</f>
        <v/>
      </c>
      <c r="I816" s="392" t="str">
        <f t="shared" si="46"/>
        <v>WS-15</v>
      </c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</row>
    <row r="817" spans="1:53">
      <c r="A817" s="3">
        <v>18</v>
      </c>
      <c r="B817" s="125" t="str">
        <f>IFERROR(INDEX('S21 Routing Clustered'!$A$3:$A$18, A817), "")</f>
        <v/>
      </c>
      <c r="C817" s="3">
        <v>170</v>
      </c>
      <c r="D817" s="391" t="str">
        <f>IFERROR(HLOOKUP(C817, 'S21 Routing Clustered'!$B$2:$I$18, A817+1, 0), "")</f>
        <v/>
      </c>
      <c r="E817" s="391" t="str">
        <f t="shared" si="44"/>
        <v/>
      </c>
      <c r="F817" s="3" t="str">
        <f>IF(E817="", "", VLOOKUP(B817, 'S14 ABC Output'!$A$3:$C$18, 3, 0))</f>
        <v/>
      </c>
      <c r="I817" s="392" t="str">
        <f t="shared" si="46"/>
        <v>WS-16</v>
      </c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</row>
    <row r="818" spans="1:53">
      <c r="A818" s="3">
        <v>18</v>
      </c>
      <c r="B818" s="125" t="str">
        <f>IFERROR(INDEX('S21 Routing Clustered'!$A$3:$A$18, A818), "")</f>
        <v/>
      </c>
      <c r="C818" s="3">
        <v>180</v>
      </c>
      <c r="D818" s="391" t="str">
        <f>IFERROR(HLOOKUP(C818, 'S21 Routing Clustered'!$B$2:$I$18, A818+1, 0), "")</f>
        <v/>
      </c>
      <c r="E818" s="391" t="str">
        <f t="shared" si="44"/>
        <v/>
      </c>
      <c r="F818" s="3" t="str">
        <f>IF(E818="", "", VLOOKUP(B818, 'S14 ABC Output'!$A$3:$C$18, 3, 0))</f>
        <v/>
      </c>
      <c r="I818" s="392" t="str">
        <f t="shared" si="46"/>
        <v>WS-17</v>
      </c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</row>
    <row r="819" spans="1:53">
      <c r="A819" s="3">
        <v>18</v>
      </c>
      <c r="B819" s="125" t="str">
        <f>IFERROR(INDEX('S21 Routing Clustered'!$A$3:$A$18, A819), "")</f>
        <v/>
      </c>
      <c r="C819" s="3">
        <v>190</v>
      </c>
      <c r="D819" s="391" t="str">
        <f>IFERROR(HLOOKUP(C819, 'S21 Routing Clustered'!$B$2:$I$18, A819+1, 0), "")</f>
        <v/>
      </c>
      <c r="E819" s="391" t="str">
        <f t="shared" si="44"/>
        <v/>
      </c>
      <c r="F819" s="3" t="str">
        <f>IF(E819="", "", VLOOKUP(B819, 'S14 ABC Output'!$A$3:$C$18, 3, 0))</f>
        <v/>
      </c>
      <c r="I819" s="392" t="str">
        <f t="shared" si="46"/>
        <v>WS-18</v>
      </c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</row>
    <row r="820" spans="1:53">
      <c r="A820" s="3">
        <v>18</v>
      </c>
      <c r="B820" s="125" t="str">
        <f>IFERROR(INDEX('S21 Routing Clustered'!$A$3:$A$18, A820), "")</f>
        <v/>
      </c>
      <c r="C820" s="3">
        <v>200</v>
      </c>
      <c r="D820" s="391" t="str">
        <f>IFERROR(HLOOKUP(C820, 'S21 Routing Clustered'!$B$2:$I$18, A820+1, 0), "")</f>
        <v/>
      </c>
      <c r="E820" s="391" t="str">
        <f t="shared" si="44"/>
        <v/>
      </c>
      <c r="F820" s="3" t="str">
        <f>IF(E820="", "", VLOOKUP(B820, 'S14 ABC Output'!$A$3:$C$18, 3, 0))</f>
        <v/>
      </c>
      <c r="I820" s="392" t="str">
        <f t="shared" si="46"/>
        <v>WS-19</v>
      </c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</row>
    <row r="821" spans="1:53">
      <c r="A821" s="3">
        <v>18</v>
      </c>
      <c r="B821" s="125" t="str">
        <f>IFERROR(INDEX('S21 Routing Clustered'!$A$3:$A$18, A821), "")</f>
        <v/>
      </c>
      <c r="C821" s="3">
        <v>210</v>
      </c>
      <c r="D821" s="391" t="str">
        <f>IFERROR(HLOOKUP(C821, 'S21 Routing Clustered'!$B$2:$I$18, A821+1, 0), "")</f>
        <v/>
      </c>
      <c r="E821" s="391" t="str">
        <f t="shared" si="44"/>
        <v/>
      </c>
      <c r="F821" s="3" t="str">
        <f>IF(E821="", "", VLOOKUP(B821, 'S14 ABC Output'!$A$3:$C$18, 3, 0))</f>
        <v/>
      </c>
      <c r="I821" s="392" t="str">
        <f t="shared" si="46"/>
        <v>WS-20</v>
      </c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</row>
    <row r="822" spans="1:53">
      <c r="A822" s="3">
        <v>18</v>
      </c>
      <c r="B822" s="125" t="str">
        <f>IFERROR(INDEX('S21 Routing Clustered'!$A$3:$A$18, A822), "")</f>
        <v/>
      </c>
      <c r="C822" s="3">
        <v>220</v>
      </c>
      <c r="D822" s="391" t="str">
        <f>IFERROR(HLOOKUP(C822, 'S21 Routing Clustered'!$B$2:$I$18, A822+1, 0), "")</f>
        <v/>
      </c>
      <c r="E822" s="391" t="str">
        <f t="shared" si="44"/>
        <v/>
      </c>
      <c r="F822" s="3" t="str">
        <f>IF(E822="", "", VLOOKUP(B822, 'S14 ABC Output'!$A$3:$C$18, 3, 0))</f>
        <v/>
      </c>
      <c r="I822" s="392" t="str">
        <f t="shared" si="46"/>
        <v>WS-21</v>
      </c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</row>
    <row r="823" spans="1:53">
      <c r="A823" s="3">
        <v>18</v>
      </c>
      <c r="B823" s="125" t="str">
        <f>IFERROR(INDEX('S21 Routing Clustered'!$A$3:$A$18, A823), "")</f>
        <v/>
      </c>
      <c r="C823" s="3">
        <v>230</v>
      </c>
      <c r="D823" s="391" t="str">
        <f>IFERROR(HLOOKUP(C823, 'S21 Routing Clustered'!$B$2:$I$18, A823+1, 0), "")</f>
        <v/>
      </c>
      <c r="E823" s="391" t="str">
        <f t="shared" si="44"/>
        <v/>
      </c>
      <c r="F823" s="3" t="str">
        <f>IF(E823="", "", VLOOKUP(B823, 'S14 ABC Output'!$A$3:$C$18, 3, 0))</f>
        <v/>
      </c>
      <c r="I823" s="392" t="str">
        <f t="shared" si="46"/>
        <v>WS-22</v>
      </c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</row>
    <row r="824" spans="1:53">
      <c r="A824" s="3">
        <v>18</v>
      </c>
      <c r="B824" s="125" t="str">
        <f>IFERROR(INDEX('S21 Routing Clustered'!$A$3:$A$18, A824), "")</f>
        <v/>
      </c>
      <c r="C824" s="3">
        <v>240</v>
      </c>
      <c r="D824" s="391" t="str">
        <f>IFERROR(HLOOKUP(C824, 'S21 Routing Clustered'!$B$2:$I$18, A824+1, 0), "")</f>
        <v/>
      </c>
      <c r="E824" s="391" t="str">
        <f t="shared" si="44"/>
        <v/>
      </c>
      <c r="F824" s="3" t="str">
        <f>IF(E824="", "", VLOOKUP(B824, 'S14 ABC Output'!$A$3:$C$18, 3, 0))</f>
        <v/>
      </c>
      <c r="I824" s="392" t="str">
        <f t="shared" si="46"/>
        <v>WS-23</v>
      </c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</row>
    <row r="825" spans="1:53">
      <c r="A825" s="3">
        <v>18</v>
      </c>
      <c r="B825" s="125" t="str">
        <f>IFERROR(INDEX('S21 Routing Clustered'!$A$3:$A$18, A825), "")</f>
        <v/>
      </c>
      <c r="C825" s="3">
        <v>250</v>
      </c>
      <c r="D825" s="391" t="str">
        <f>IFERROR(HLOOKUP(C825, 'S21 Routing Clustered'!$B$2:$I$18, A825+1, 0), "")</f>
        <v/>
      </c>
      <c r="E825" s="391" t="str">
        <f t="shared" si="44"/>
        <v/>
      </c>
      <c r="F825" s="3" t="str">
        <f>IF(E825="", "", VLOOKUP(B825, 'S14 ABC Output'!$A$3:$C$18, 3, 0))</f>
        <v/>
      </c>
      <c r="I825" s="392" t="str">
        <f t="shared" si="46"/>
        <v>WS-24</v>
      </c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</row>
    <row r="826" spans="1:53">
      <c r="A826" s="3">
        <v>18</v>
      </c>
      <c r="B826" s="125" t="str">
        <f>IFERROR(INDEX('S21 Routing Clustered'!$A$3:$A$18, A826), "")</f>
        <v/>
      </c>
      <c r="C826" s="3">
        <v>260</v>
      </c>
      <c r="D826" s="391" t="str">
        <f>IFERROR(HLOOKUP(C826, 'S21 Routing Clustered'!$B$2:$I$18, A826+1, 0), "")</f>
        <v/>
      </c>
      <c r="E826" s="391" t="str">
        <f t="shared" si="44"/>
        <v/>
      </c>
      <c r="F826" s="3" t="str">
        <f>IF(E826="", "", VLOOKUP(B826, 'S14 ABC Output'!$A$3:$C$18, 3, 0))</f>
        <v/>
      </c>
      <c r="I826" s="392" t="str">
        <f t="shared" si="46"/>
        <v>WS-25</v>
      </c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</row>
    <row r="827" spans="1:53">
      <c r="A827" s="3">
        <v>18</v>
      </c>
      <c r="B827" s="125" t="str">
        <f>IFERROR(INDEX('S21 Routing Clustered'!$A$3:$A$18, A827), "")</f>
        <v/>
      </c>
      <c r="C827" s="3">
        <v>270</v>
      </c>
      <c r="D827" s="391" t="str">
        <f>IFERROR(HLOOKUP(C827, 'S21 Routing Clustered'!$B$2:$I$18, A827+1, 0), "")</f>
        <v/>
      </c>
      <c r="E827" s="391" t="str">
        <f t="shared" si="44"/>
        <v/>
      </c>
      <c r="F827" s="3" t="str">
        <f>IF(E827="", "", VLOOKUP(B827, 'S14 ABC Output'!$A$3:$C$18, 3, 0))</f>
        <v/>
      </c>
      <c r="I827" s="392" t="str">
        <f t="shared" si="46"/>
        <v>WS-26</v>
      </c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</row>
    <row r="828" spans="1:53">
      <c r="A828" s="3">
        <v>18</v>
      </c>
      <c r="B828" s="125" t="str">
        <f>IFERROR(INDEX('S21 Routing Clustered'!$A$3:$A$18, A828), "")</f>
        <v/>
      </c>
      <c r="C828" s="3">
        <v>280</v>
      </c>
      <c r="D828" s="391" t="str">
        <f>IFERROR(HLOOKUP(C828, 'S21 Routing Clustered'!$B$2:$I$18, A828+1, 0), "")</f>
        <v/>
      </c>
      <c r="E828" s="391" t="str">
        <f t="shared" si="44"/>
        <v/>
      </c>
      <c r="F828" s="3" t="str">
        <f>IF(E828="", "", VLOOKUP(B828, 'S14 ABC Output'!$A$3:$C$18, 3, 0))</f>
        <v/>
      </c>
      <c r="I828" s="392" t="str">
        <f t="shared" si="46"/>
        <v>WS-27</v>
      </c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</row>
    <row r="829" spans="1:53">
      <c r="A829" s="3">
        <v>18</v>
      </c>
      <c r="B829" s="125" t="str">
        <f>IFERROR(INDEX('S21 Routing Clustered'!$A$3:$A$18, A829), "")</f>
        <v/>
      </c>
      <c r="C829" s="3">
        <v>290</v>
      </c>
      <c r="D829" s="391" t="str">
        <f>IFERROR(HLOOKUP(C829, 'S21 Routing Clustered'!$B$2:$I$18, A829+1, 0), "")</f>
        <v/>
      </c>
      <c r="E829" s="391" t="str">
        <f t="shared" si="44"/>
        <v/>
      </c>
      <c r="F829" s="3" t="str">
        <f>IF(E829="", "", VLOOKUP(B829, 'S14 ABC Output'!$A$3:$C$18, 3, 0))</f>
        <v/>
      </c>
      <c r="I829" s="392" t="str">
        <f t="shared" si="46"/>
        <v>WS-28</v>
      </c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</row>
    <row r="830" spans="1:53">
      <c r="A830" s="3">
        <v>18</v>
      </c>
      <c r="B830" s="125" t="str">
        <f>IFERROR(INDEX('S21 Routing Clustered'!$A$3:$A$18, A830), "")</f>
        <v/>
      </c>
      <c r="C830" s="3">
        <v>300</v>
      </c>
      <c r="D830" s="391" t="str">
        <f>IFERROR(HLOOKUP(C830, 'S21 Routing Clustered'!$B$2:$I$18, A830+1, 0), "")</f>
        <v/>
      </c>
      <c r="E830" s="391" t="str">
        <f t="shared" si="44"/>
        <v/>
      </c>
      <c r="F830" s="3" t="str">
        <f>IF(E830="", "", VLOOKUP(B830, 'S14 ABC Output'!$A$3:$C$18, 3, 0))</f>
        <v/>
      </c>
      <c r="I830" s="392" t="str">
        <f t="shared" si="46"/>
        <v>WS-29</v>
      </c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</row>
    <row r="831" spans="1:53">
      <c r="A831" s="3">
        <v>18</v>
      </c>
      <c r="B831" s="125" t="str">
        <f>IFERROR(INDEX('S21 Routing Clustered'!$A$3:$A$18, A831), "")</f>
        <v/>
      </c>
      <c r="C831" s="3">
        <v>310</v>
      </c>
      <c r="D831" s="391" t="str">
        <f>IFERROR(HLOOKUP(C831, 'S21 Routing Clustered'!$B$2:$I$18, A831+1, 0), "")</f>
        <v/>
      </c>
      <c r="E831" s="391" t="str">
        <f t="shared" si="44"/>
        <v/>
      </c>
      <c r="F831" s="3" t="str">
        <f>IF(E831="", "", VLOOKUP(B831, 'S14 ABC Output'!$A$3:$C$18, 3, 0))</f>
        <v/>
      </c>
      <c r="I831" s="392" t="str">
        <f t="shared" si="46"/>
        <v>WS-30</v>
      </c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</row>
    <row r="832" spans="1:53">
      <c r="A832" s="3">
        <v>18</v>
      </c>
      <c r="B832" s="125" t="str">
        <f>IFERROR(INDEX('S21 Routing Clustered'!$A$3:$A$18, A832), "")</f>
        <v/>
      </c>
      <c r="C832" s="3">
        <v>320</v>
      </c>
      <c r="D832" s="391" t="str">
        <f>IFERROR(HLOOKUP(C832, 'S21 Routing Clustered'!$B$2:$I$18, A832+1, 0), "")</f>
        <v/>
      </c>
      <c r="E832" s="391" t="str">
        <f t="shared" si="44"/>
        <v/>
      </c>
      <c r="F832" s="3" t="str">
        <f>IF(E832="", "", VLOOKUP(B832, 'S14 ABC Output'!$A$3:$C$18, 3, 0))</f>
        <v/>
      </c>
      <c r="I832" s="392" t="str">
        <f t="shared" si="46"/>
        <v>WS-31</v>
      </c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</row>
    <row r="833" spans="1:53">
      <c r="A833" s="3">
        <v>18</v>
      </c>
      <c r="B833" s="125" t="str">
        <f>IFERROR(INDEX('S21 Routing Clustered'!$A$3:$A$18, A833), "")</f>
        <v/>
      </c>
      <c r="C833" s="3">
        <v>330</v>
      </c>
      <c r="D833" s="391" t="str">
        <f>IFERROR(HLOOKUP(C833, 'S21 Routing Clustered'!$B$2:$I$18, A833+1, 0), "")</f>
        <v/>
      </c>
      <c r="E833" s="391" t="str">
        <f t="shared" si="44"/>
        <v/>
      </c>
      <c r="F833" s="3" t="str">
        <f>IF(E833="", "", VLOOKUP(B833, 'S14 ABC Output'!$A$3:$C$18, 3, 0))</f>
        <v/>
      </c>
      <c r="I833" s="392" t="str">
        <f t="shared" si="46"/>
        <v>WS-32</v>
      </c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</row>
    <row r="834" spans="1:53">
      <c r="A834" s="3">
        <v>18</v>
      </c>
      <c r="B834" s="125" t="str">
        <f>IFERROR(INDEX('S21 Routing Clustered'!$A$3:$A$18, A834), "")</f>
        <v/>
      </c>
      <c r="C834" s="3">
        <v>340</v>
      </c>
      <c r="D834" s="391" t="str">
        <f>IFERROR(HLOOKUP(C834, 'S21 Routing Clustered'!$B$2:$I$18, A834+1, 0), "")</f>
        <v/>
      </c>
      <c r="E834" s="391" t="str">
        <f t="shared" si="44"/>
        <v/>
      </c>
      <c r="F834" s="3" t="str">
        <f>IF(E834="", "", VLOOKUP(B834, 'S14 ABC Output'!$A$3:$C$18, 3, 0))</f>
        <v/>
      </c>
      <c r="I834" s="392" t="str">
        <f t="shared" si="46"/>
        <v>WS-33</v>
      </c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</row>
    <row r="835" spans="1:53">
      <c r="A835" s="3">
        <v>18</v>
      </c>
      <c r="B835" s="125" t="str">
        <f>IFERROR(INDEX('S21 Routing Clustered'!$A$3:$A$18, A835), "")</f>
        <v/>
      </c>
      <c r="C835" s="3">
        <v>350</v>
      </c>
      <c r="D835" s="391" t="str">
        <f>IFERROR(HLOOKUP(C835, 'S21 Routing Clustered'!$B$2:$I$18, A835+1, 0), "")</f>
        <v/>
      </c>
      <c r="E835" s="391" t="str">
        <f t="shared" ref="E835:E898" si="47">IF(D835="", "", D836)</f>
        <v/>
      </c>
      <c r="F835" s="3" t="str">
        <f>IF(E835="", "", VLOOKUP(B835, 'S14 ABC Output'!$A$3:$C$18, 3, 0))</f>
        <v/>
      </c>
      <c r="I835" s="392" t="str">
        <f t="shared" si="46"/>
        <v>WS-34</v>
      </c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</row>
    <row r="836" spans="1:53">
      <c r="A836" s="3">
        <v>18</v>
      </c>
      <c r="B836" s="125" t="str">
        <f>IFERROR(INDEX('S21 Routing Clustered'!$A$3:$A$18, A836), "")</f>
        <v/>
      </c>
      <c r="C836" s="3">
        <v>360</v>
      </c>
      <c r="D836" s="391" t="str">
        <f>IFERROR(HLOOKUP(C836, 'S21 Routing Clustered'!$B$2:$I$18, A836+1, 0), "")</f>
        <v/>
      </c>
      <c r="E836" s="391" t="str">
        <f t="shared" si="47"/>
        <v/>
      </c>
      <c r="F836" s="3" t="str">
        <f>IF(E836="", "", VLOOKUP(B836, 'S14 ABC Output'!$A$3:$C$18, 3, 0))</f>
        <v/>
      </c>
      <c r="I836" s="392" t="str">
        <f t="shared" si="46"/>
        <v>WS-35</v>
      </c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</row>
    <row r="837" spans="1:53">
      <c r="A837" s="3">
        <v>18</v>
      </c>
      <c r="B837" s="125" t="str">
        <f>IFERROR(INDEX('S21 Routing Clustered'!$A$3:$A$18, A837), "")</f>
        <v/>
      </c>
      <c r="C837" s="3">
        <v>370</v>
      </c>
      <c r="D837" s="391" t="str">
        <f>IFERROR(HLOOKUP(C837, 'S21 Routing Clustered'!$B$2:$I$18, A837+1, 0), "")</f>
        <v/>
      </c>
      <c r="E837" s="391" t="str">
        <f t="shared" si="47"/>
        <v/>
      </c>
      <c r="F837" s="3" t="str">
        <f>IF(E837="", "", VLOOKUP(B837, 'S14 ABC Output'!$A$3:$C$18, 3, 0))</f>
        <v/>
      </c>
      <c r="I837" s="392" t="str">
        <f t="shared" si="46"/>
        <v>WS-36</v>
      </c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</row>
    <row r="838" spans="1:53">
      <c r="A838" s="3">
        <v>18</v>
      </c>
      <c r="B838" s="125" t="str">
        <f>IFERROR(INDEX('S21 Routing Clustered'!$A$3:$A$18, A838), "")</f>
        <v/>
      </c>
      <c r="C838" s="3">
        <v>380</v>
      </c>
      <c r="D838" s="391" t="str">
        <f>IFERROR(HLOOKUP(C838, 'S21 Routing Clustered'!$B$2:$I$18, A838+1, 0), "")</f>
        <v/>
      </c>
      <c r="E838" s="391" t="str">
        <f t="shared" si="47"/>
        <v/>
      </c>
      <c r="F838" s="3" t="str">
        <f>IF(E838="", "", VLOOKUP(B838, 'S14 ABC Output'!$A$3:$C$18, 3, 0))</f>
        <v/>
      </c>
      <c r="I838" s="392" t="str">
        <f t="shared" si="46"/>
        <v>WS-37</v>
      </c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</row>
    <row r="839" spans="1:53">
      <c r="A839" s="3">
        <v>18</v>
      </c>
      <c r="B839" s="125" t="str">
        <f>IFERROR(INDEX('S21 Routing Clustered'!$A$3:$A$18, A839), "")</f>
        <v/>
      </c>
      <c r="C839" s="3">
        <v>390</v>
      </c>
      <c r="D839" s="391" t="str">
        <f>IFERROR(HLOOKUP(C839, 'S21 Routing Clustered'!$B$2:$I$18, A839+1, 0), "")</f>
        <v/>
      </c>
      <c r="E839" s="391" t="str">
        <f t="shared" si="47"/>
        <v/>
      </c>
      <c r="F839" s="3" t="str">
        <f>IF(E839="", "", VLOOKUP(B839, 'S14 ABC Output'!$A$3:$C$18, 3, 0))</f>
        <v/>
      </c>
      <c r="I839" s="392" t="str">
        <f t="shared" si="46"/>
        <v>WS-38</v>
      </c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</row>
    <row r="840" spans="1:53">
      <c r="A840" s="3">
        <v>18</v>
      </c>
      <c r="B840" s="125" t="str">
        <f>IFERROR(INDEX('S21 Routing Clustered'!$A$3:$A$18, A840), "")</f>
        <v/>
      </c>
      <c r="C840" s="3">
        <v>400</v>
      </c>
      <c r="D840" s="391" t="str">
        <f>IFERROR(HLOOKUP(C840, 'S21 Routing Clustered'!$B$2:$I$18, A840+1, 0), "")</f>
        <v/>
      </c>
      <c r="E840" s="391" t="str">
        <f t="shared" si="47"/>
        <v/>
      </c>
      <c r="F840" s="3" t="str">
        <f>IF(E840="", "", VLOOKUP(B840, 'S14 ABC Output'!$A$3:$C$18, 3, 0))</f>
        <v/>
      </c>
      <c r="I840" s="392" t="str">
        <f t="shared" si="46"/>
        <v>WS-39</v>
      </c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</row>
    <row r="841" spans="1:53">
      <c r="A841" s="3">
        <v>18</v>
      </c>
      <c r="B841" s="125" t="str">
        <f>IFERROR(INDEX('S21 Routing Clustered'!$A$3:$A$18, A841), "")</f>
        <v/>
      </c>
      <c r="C841" s="3">
        <v>410</v>
      </c>
      <c r="D841" s="391" t="str">
        <f>IFERROR(HLOOKUP(C841, 'S21 Routing Clustered'!$B$2:$I$18, A841+1, 0), "")</f>
        <v/>
      </c>
      <c r="E841" s="391" t="str">
        <f t="shared" si="47"/>
        <v/>
      </c>
      <c r="F841" s="3" t="str">
        <f>IF(E841="", "", VLOOKUP(B841, 'S14 ABC Output'!$A$3:$C$18, 3, 0))</f>
        <v/>
      </c>
      <c r="I841" s="392" t="str">
        <f t="shared" si="46"/>
        <v>WS-40</v>
      </c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</row>
    <row r="842" spans="1:53">
      <c r="A842" s="3">
        <v>18</v>
      </c>
      <c r="B842" s="125" t="str">
        <f>IFERROR(INDEX('S21 Routing Clustered'!$A$3:$A$18, A842), "")</f>
        <v/>
      </c>
      <c r="C842" s="3">
        <v>420</v>
      </c>
      <c r="D842" s="391" t="str">
        <f>IFERROR(HLOOKUP(C842, 'S21 Routing Clustered'!$B$2:$I$18, A842+1, 0), "")</f>
        <v/>
      </c>
      <c r="E842" s="391" t="str">
        <f t="shared" si="47"/>
        <v/>
      </c>
      <c r="F842" s="3" t="str">
        <f>IF(E842="", "", VLOOKUP(B842, 'S14 ABC Output'!$A$3:$C$18, 3, 0))</f>
        <v/>
      </c>
      <c r="I842" s="392" t="str">
        <f t="shared" si="46"/>
        <v>WS-41</v>
      </c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</row>
    <row r="843" spans="1:53">
      <c r="A843" s="3">
        <v>18</v>
      </c>
      <c r="B843" s="125" t="str">
        <f>IFERROR(INDEX('S21 Routing Clustered'!$A$3:$A$18, A843), "")</f>
        <v/>
      </c>
      <c r="C843" s="3">
        <v>430</v>
      </c>
      <c r="D843" s="391" t="str">
        <f>IFERROR(HLOOKUP(C843, 'S21 Routing Clustered'!$B$2:$I$18, A843+1, 0), "")</f>
        <v/>
      </c>
      <c r="E843" s="391" t="str">
        <f t="shared" si="47"/>
        <v/>
      </c>
      <c r="F843" s="3" t="str">
        <f>IF(E843="", "", VLOOKUP(B843, 'S14 ABC Output'!$A$3:$C$18, 3, 0))</f>
        <v/>
      </c>
      <c r="I843" s="392" t="str">
        <f t="shared" si="46"/>
        <v>WS-42</v>
      </c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</row>
    <row r="844" spans="1:53">
      <c r="A844" s="3">
        <v>18</v>
      </c>
      <c r="B844" s="125" t="str">
        <f>IFERROR(INDEX('S21 Routing Clustered'!$A$3:$A$18, A844), "")</f>
        <v/>
      </c>
      <c r="C844" s="3">
        <v>440</v>
      </c>
      <c r="D844" s="391" t="str">
        <f>IFERROR(HLOOKUP(C844, 'S21 Routing Clustered'!$B$2:$I$18, A844+1, 0), "")</f>
        <v/>
      </c>
      <c r="E844" s="391" t="str">
        <f t="shared" si="47"/>
        <v/>
      </c>
      <c r="F844" s="3" t="str">
        <f>IF(E844="", "", VLOOKUP(B844, 'S14 ABC Output'!$A$3:$C$18, 3, 0))</f>
        <v/>
      </c>
      <c r="I844" s="392" t="str">
        <f t="shared" si="46"/>
        <v>WS-43</v>
      </c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</row>
    <row r="845" spans="1:53">
      <c r="A845" s="3">
        <v>18</v>
      </c>
      <c r="B845" s="125" t="str">
        <f>IFERROR(INDEX('S21 Routing Clustered'!$A$3:$A$18, A845), "")</f>
        <v/>
      </c>
      <c r="C845" s="3">
        <v>450</v>
      </c>
      <c r="D845" s="391" t="str">
        <f>IFERROR(HLOOKUP(C845, 'S21 Routing Clustered'!$B$2:$I$18, A845+1, 0), "")</f>
        <v/>
      </c>
      <c r="E845" s="391" t="str">
        <f t="shared" si="47"/>
        <v/>
      </c>
      <c r="F845" s="3" t="str">
        <f>IF(E845="", "", VLOOKUP(B845, 'S14 ABC Output'!$A$3:$C$18, 3, 0))</f>
        <v/>
      </c>
      <c r="I845" s="392" t="str">
        <f t="shared" si="46"/>
        <v>WS-44</v>
      </c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</row>
    <row r="846" spans="1:53">
      <c r="B846" s="125" t="str">
        <f>IFERROR(INDEX('S21 Routing Clustered'!$A$3:$A$18, A846), "")</f>
        <v/>
      </c>
      <c r="D846" s="391" t="str">
        <f>IFERROR(HLOOKUP(C846, 'S21 Routing Clustered'!$B$2:$I$18, A846+1, 0), "")</f>
        <v/>
      </c>
      <c r="E846" s="391" t="str">
        <f t="shared" si="47"/>
        <v/>
      </c>
      <c r="F846" s="3" t="str">
        <f>IF(E846="", "", VLOOKUP(B846, 'S14 ABC Output'!$A$3:$C$18, 3, 0))</f>
        <v/>
      </c>
    </row>
    <row r="847" spans="1:53">
      <c r="B847" s="125" t="str">
        <f>IFERROR(INDEX('S21 Routing Clustered'!$A$3:$A$18, A847), "")</f>
        <v/>
      </c>
      <c r="D847" s="391" t="str">
        <f>IFERROR(HLOOKUP(C847, 'S21 Routing Clustered'!$B$2:$I$18, A847+1, 0), "")</f>
        <v/>
      </c>
      <c r="E847" s="391" t="str">
        <f t="shared" si="47"/>
        <v/>
      </c>
      <c r="F847" s="3" t="str">
        <f>IF(E847="", "", VLOOKUP(B847, 'S14 ABC Output'!$A$3:$C$18, 3, 0))</f>
        <v/>
      </c>
    </row>
    <row r="848" spans="1:53">
      <c r="A848" s="3">
        <v>19</v>
      </c>
      <c r="B848" s="125" t="str">
        <f>IFERROR(INDEX('S21 Routing Clustered'!$A$3:$A$18, A848), "")</f>
        <v/>
      </c>
      <c r="C848" s="3">
        <v>10</v>
      </c>
      <c r="D848" s="391" t="str">
        <f>IFERROR(HLOOKUP(C848, 'S21 Routing Clustered'!$B$2:$I$18, A848+1, 0), "")</f>
        <v/>
      </c>
      <c r="E848" s="391" t="str">
        <f t="shared" si="47"/>
        <v/>
      </c>
      <c r="F848" s="3" t="str">
        <f>IF(E848="", "", VLOOKUP(B848, 'S14 ABC Output'!$A$3:$C$18, 3, 0))</f>
        <v/>
      </c>
      <c r="I848" s="392"/>
      <c r="J848" s="392" t="str">
        <f>J801</f>
        <v>WS-01</v>
      </c>
      <c r="K848" s="392" t="str">
        <f t="shared" ref="K848:BA848" si="48">K801</f>
        <v>WS-02</v>
      </c>
      <c r="L848" s="392" t="str">
        <f t="shared" si="48"/>
        <v>WS-03</v>
      </c>
      <c r="M848" s="392" t="str">
        <f t="shared" si="48"/>
        <v>WS-04</v>
      </c>
      <c r="N848" s="392" t="str">
        <f t="shared" si="48"/>
        <v>WS-05</v>
      </c>
      <c r="O848" s="392" t="str">
        <f t="shared" si="48"/>
        <v>WS-06</v>
      </c>
      <c r="P848" s="392" t="str">
        <f t="shared" si="48"/>
        <v>WS-07</v>
      </c>
      <c r="Q848" s="392" t="str">
        <f t="shared" si="48"/>
        <v>WS-08</v>
      </c>
      <c r="R848" s="392" t="str">
        <f t="shared" si="48"/>
        <v>WS-09</v>
      </c>
      <c r="S848" s="392" t="str">
        <f t="shared" si="48"/>
        <v>WS-10</v>
      </c>
      <c r="T848" s="392" t="str">
        <f t="shared" si="48"/>
        <v>WS-11</v>
      </c>
      <c r="U848" s="392" t="str">
        <f t="shared" si="48"/>
        <v>WS-12</v>
      </c>
      <c r="V848" s="392" t="str">
        <f t="shared" si="48"/>
        <v>WS-13</v>
      </c>
      <c r="W848" s="392" t="str">
        <f t="shared" si="48"/>
        <v>WS-14</v>
      </c>
      <c r="X848" s="392" t="str">
        <f t="shared" si="48"/>
        <v>WS-15</v>
      </c>
      <c r="Y848" s="392" t="str">
        <f t="shared" si="48"/>
        <v>WS-16</v>
      </c>
      <c r="Z848" s="392" t="str">
        <f t="shared" si="48"/>
        <v>WS-17</v>
      </c>
      <c r="AA848" s="392" t="str">
        <f t="shared" si="48"/>
        <v>WS-18</v>
      </c>
      <c r="AB848" s="392" t="str">
        <f t="shared" si="48"/>
        <v>WS-19</v>
      </c>
      <c r="AC848" s="392" t="str">
        <f t="shared" si="48"/>
        <v>WS-20</v>
      </c>
      <c r="AD848" s="392" t="str">
        <f t="shared" si="48"/>
        <v>WS-21</v>
      </c>
      <c r="AE848" s="392" t="str">
        <f t="shared" si="48"/>
        <v>WS-22</v>
      </c>
      <c r="AF848" s="392" t="str">
        <f t="shared" si="48"/>
        <v>WS-23</v>
      </c>
      <c r="AG848" s="392" t="str">
        <f t="shared" si="48"/>
        <v>WS-24</v>
      </c>
      <c r="AH848" s="392" t="str">
        <f t="shared" si="48"/>
        <v>WS-25</v>
      </c>
      <c r="AI848" s="392" t="str">
        <f t="shared" si="48"/>
        <v>WS-26</v>
      </c>
      <c r="AJ848" s="392" t="str">
        <f t="shared" si="48"/>
        <v>WS-27</v>
      </c>
      <c r="AK848" s="392" t="str">
        <f t="shared" si="48"/>
        <v>WS-28</v>
      </c>
      <c r="AL848" s="392" t="str">
        <f t="shared" si="48"/>
        <v>WS-29</v>
      </c>
      <c r="AM848" s="392" t="str">
        <f t="shared" si="48"/>
        <v>WS-30</v>
      </c>
      <c r="AN848" s="392" t="str">
        <f t="shared" si="48"/>
        <v>WS-31</v>
      </c>
      <c r="AO848" s="392" t="str">
        <f t="shared" si="48"/>
        <v>WS-32</v>
      </c>
      <c r="AP848" s="392" t="str">
        <f t="shared" si="48"/>
        <v>WS-33</v>
      </c>
      <c r="AQ848" s="392" t="str">
        <f t="shared" si="48"/>
        <v>WS-34</v>
      </c>
      <c r="AR848" s="392" t="str">
        <f t="shared" si="48"/>
        <v>WS-35</v>
      </c>
      <c r="AS848" s="392" t="str">
        <f t="shared" si="48"/>
        <v>WS-36</v>
      </c>
      <c r="AT848" s="392" t="str">
        <f t="shared" si="48"/>
        <v>WS-37</v>
      </c>
      <c r="AU848" s="392" t="str">
        <f t="shared" si="48"/>
        <v>WS-38</v>
      </c>
      <c r="AV848" s="392" t="str">
        <f t="shared" si="48"/>
        <v>WS-39</v>
      </c>
      <c r="AW848" s="392" t="str">
        <f t="shared" si="48"/>
        <v>WS-40</v>
      </c>
      <c r="AX848" s="392" t="str">
        <f t="shared" si="48"/>
        <v>WS-41</v>
      </c>
      <c r="AY848" s="392" t="str">
        <f t="shared" si="48"/>
        <v>WS-42</v>
      </c>
      <c r="AZ848" s="392" t="str">
        <f t="shared" si="48"/>
        <v>WS-43</v>
      </c>
      <c r="BA848" s="392" t="str">
        <f t="shared" si="48"/>
        <v>WS-44</v>
      </c>
    </row>
    <row r="849" spans="1:53">
      <c r="A849" s="3">
        <v>19</v>
      </c>
      <c r="B849" s="125" t="str">
        <f>IFERROR(INDEX('S21 Routing Clustered'!$A$3:$A$18, A849), "")</f>
        <v/>
      </c>
      <c r="C849" s="3">
        <v>20</v>
      </c>
      <c r="D849" s="391" t="str">
        <f>IFERROR(HLOOKUP(C849, 'S21 Routing Clustered'!$B$2:$I$18, A849+1, 0), "")</f>
        <v/>
      </c>
      <c r="E849" s="391" t="str">
        <f t="shared" si="47"/>
        <v/>
      </c>
      <c r="F849" s="3" t="str">
        <f>IF(E849="", "", VLOOKUP(B849, 'S14 ABC Output'!$A$3:$C$18, 3, 0))</f>
        <v/>
      </c>
      <c r="I849" s="392" t="str">
        <f>I802</f>
        <v>WS-01</v>
      </c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</row>
    <row r="850" spans="1:53">
      <c r="A850" s="3">
        <v>19</v>
      </c>
      <c r="B850" s="125" t="str">
        <f>IFERROR(INDEX('S21 Routing Clustered'!$A$3:$A$18, A850), "")</f>
        <v/>
      </c>
      <c r="C850" s="3">
        <v>30</v>
      </c>
      <c r="D850" s="391" t="str">
        <f>IFERROR(HLOOKUP(C850, 'S21 Routing Clustered'!$B$2:$I$18, A850+1, 0), "")</f>
        <v/>
      </c>
      <c r="E850" s="391" t="str">
        <f t="shared" si="47"/>
        <v/>
      </c>
      <c r="F850" s="3" t="str">
        <f>IF(E850="", "", VLOOKUP(B850, 'S14 ABC Output'!$A$3:$C$18, 3, 0))</f>
        <v/>
      </c>
      <c r="I850" s="392" t="str">
        <f t="shared" ref="I850:I892" si="49">I803</f>
        <v>WS-02</v>
      </c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</row>
    <row r="851" spans="1:53">
      <c r="A851" s="3">
        <v>19</v>
      </c>
      <c r="B851" s="125" t="str">
        <f>IFERROR(INDEX('S21 Routing Clustered'!$A$3:$A$18, A851), "")</f>
        <v/>
      </c>
      <c r="C851" s="3">
        <v>40</v>
      </c>
      <c r="D851" s="391" t="str">
        <f>IFERROR(HLOOKUP(C851, 'S21 Routing Clustered'!$B$2:$I$18, A851+1, 0), "")</f>
        <v/>
      </c>
      <c r="E851" s="391" t="str">
        <f t="shared" si="47"/>
        <v/>
      </c>
      <c r="F851" s="3" t="str">
        <f>IF(E851="", "", VLOOKUP(B851, 'S14 ABC Output'!$A$3:$C$18, 3, 0))</f>
        <v/>
      </c>
      <c r="I851" s="392" t="str">
        <f t="shared" si="49"/>
        <v>WS-03</v>
      </c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</row>
    <row r="852" spans="1:53">
      <c r="A852" s="3">
        <v>19</v>
      </c>
      <c r="B852" s="125" t="str">
        <f>IFERROR(INDEX('S21 Routing Clustered'!$A$3:$A$18, A852), "")</f>
        <v/>
      </c>
      <c r="C852" s="3">
        <v>50</v>
      </c>
      <c r="D852" s="391" t="str">
        <f>IFERROR(HLOOKUP(C852, 'S21 Routing Clustered'!$B$2:$I$18, A852+1, 0), "")</f>
        <v/>
      </c>
      <c r="E852" s="391" t="str">
        <f t="shared" si="47"/>
        <v/>
      </c>
      <c r="F852" s="3" t="str">
        <f>IF(E852="", "", VLOOKUP(B852, 'S14 ABC Output'!$A$3:$C$18, 3, 0))</f>
        <v/>
      </c>
      <c r="I852" s="392" t="str">
        <f t="shared" si="49"/>
        <v>WS-04</v>
      </c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</row>
    <row r="853" spans="1:53">
      <c r="A853" s="3">
        <v>19</v>
      </c>
      <c r="B853" s="125" t="str">
        <f>IFERROR(INDEX('S21 Routing Clustered'!$A$3:$A$18, A853), "")</f>
        <v/>
      </c>
      <c r="C853" s="3">
        <v>60</v>
      </c>
      <c r="D853" s="391" t="str">
        <f>IFERROR(HLOOKUP(C853, 'S21 Routing Clustered'!$B$2:$I$18, A853+1, 0), "")</f>
        <v/>
      </c>
      <c r="E853" s="391" t="str">
        <f t="shared" si="47"/>
        <v/>
      </c>
      <c r="F853" s="3" t="str">
        <f>IF(E853="", "", VLOOKUP(B853, 'S14 ABC Output'!$A$3:$C$18, 3, 0))</f>
        <v/>
      </c>
      <c r="I853" s="392" t="str">
        <f t="shared" si="49"/>
        <v>WS-05</v>
      </c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</row>
    <row r="854" spans="1:53">
      <c r="A854" s="3">
        <v>19</v>
      </c>
      <c r="B854" s="125" t="str">
        <f>IFERROR(INDEX('S21 Routing Clustered'!$A$3:$A$18, A854), "")</f>
        <v/>
      </c>
      <c r="C854" s="3">
        <v>70</v>
      </c>
      <c r="D854" s="391" t="str">
        <f>IFERROR(HLOOKUP(C854, 'S21 Routing Clustered'!$B$2:$I$18, A854+1, 0), "")</f>
        <v/>
      </c>
      <c r="E854" s="391" t="str">
        <f t="shared" si="47"/>
        <v/>
      </c>
      <c r="F854" s="3" t="str">
        <f>IF(E854="", "", VLOOKUP(B854, 'S14 ABC Output'!$A$3:$C$18, 3, 0))</f>
        <v/>
      </c>
      <c r="I854" s="392" t="str">
        <f t="shared" si="49"/>
        <v>WS-06</v>
      </c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</row>
    <row r="855" spans="1:53">
      <c r="A855" s="3">
        <v>19</v>
      </c>
      <c r="B855" s="125" t="str">
        <f>IFERROR(INDEX('S21 Routing Clustered'!$A$3:$A$18, A855), "")</f>
        <v/>
      </c>
      <c r="C855" s="3">
        <v>80</v>
      </c>
      <c r="D855" s="391" t="str">
        <f>IFERROR(HLOOKUP(C855, 'S21 Routing Clustered'!$B$2:$I$18, A855+1, 0), "")</f>
        <v/>
      </c>
      <c r="E855" s="391" t="str">
        <f t="shared" si="47"/>
        <v/>
      </c>
      <c r="F855" s="3" t="str">
        <f>IF(E855="", "", VLOOKUP(B855, 'S14 ABC Output'!$A$3:$C$18, 3, 0))</f>
        <v/>
      </c>
      <c r="I855" s="392" t="str">
        <f t="shared" si="49"/>
        <v>WS-07</v>
      </c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</row>
    <row r="856" spans="1:53">
      <c r="A856" s="3">
        <v>19</v>
      </c>
      <c r="B856" s="125" t="str">
        <f>IFERROR(INDEX('S21 Routing Clustered'!$A$3:$A$18, A856), "")</f>
        <v/>
      </c>
      <c r="C856" s="3">
        <v>90</v>
      </c>
      <c r="D856" s="391" t="str">
        <f>IFERROR(HLOOKUP(C856, 'S21 Routing Clustered'!$B$2:$I$18, A856+1, 0), "")</f>
        <v/>
      </c>
      <c r="E856" s="391" t="str">
        <f t="shared" si="47"/>
        <v/>
      </c>
      <c r="F856" s="3" t="str">
        <f>IF(E856="", "", VLOOKUP(B856, 'S14 ABC Output'!$A$3:$C$18, 3, 0))</f>
        <v/>
      </c>
      <c r="I856" s="392" t="str">
        <f t="shared" si="49"/>
        <v>WS-08</v>
      </c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</row>
    <row r="857" spans="1:53">
      <c r="A857" s="3">
        <v>19</v>
      </c>
      <c r="B857" s="125" t="str">
        <f>IFERROR(INDEX('S21 Routing Clustered'!$A$3:$A$18, A857), "")</f>
        <v/>
      </c>
      <c r="C857" s="3">
        <v>100</v>
      </c>
      <c r="D857" s="391" t="str">
        <f>IFERROR(HLOOKUP(C857, 'S21 Routing Clustered'!$B$2:$I$18, A857+1, 0), "")</f>
        <v/>
      </c>
      <c r="E857" s="391" t="str">
        <f t="shared" si="47"/>
        <v/>
      </c>
      <c r="F857" s="3" t="str">
        <f>IF(E857="", "", VLOOKUP(B857, 'S14 ABC Output'!$A$3:$C$18, 3, 0))</f>
        <v/>
      </c>
      <c r="I857" s="392" t="str">
        <f t="shared" si="49"/>
        <v>WS-09</v>
      </c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</row>
    <row r="858" spans="1:53">
      <c r="A858" s="3">
        <v>19</v>
      </c>
      <c r="B858" s="125" t="str">
        <f>IFERROR(INDEX('S21 Routing Clustered'!$A$3:$A$18, A858), "")</f>
        <v/>
      </c>
      <c r="C858" s="3">
        <v>110</v>
      </c>
      <c r="D858" s="391" t="str">
        <f>IFERROR(HLOOKUP(C858, 'S21 Routing Clustered'!$B$2:$I$18, A858+1, 0), "")</f>
        <v/>
      </c>
      <c r="E858" s="391" t="str">
        <f t="shared" si="47"/>
        <v/>
      </c>
      <c r="F858" s="3" t="str">
        <f>IF(E858="", "", VLOOKUP(B858, 'S14 ABC Output'!$A$3:$C$18, 3, 0))</f>
        <v/>
      </c>
      <c r="I858" s="392" t="str">
        <f t="shared" si="49"/>
        <v>WS-10</v>
      </c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</row>
    <row r="859" spans="1:53">
      <c r="A859" s="3">
        <v>19</v>
      </c>
      <c r="B859" s="125" t="str">
        <f>IFERROR(INDEX('S21 Routing Clustered'!$A$3:$A$18, A859), "")</f>
        <v/>
      </c>
      <c r="C859" s="3">
        <v>120</v>
      </c>
      <c r="D859" s="391" t="str">
        <f>IFERROR(HLOOKUP(C859, 'S21 Routing Clustered'!$B$2:$I$18, A859+1, 0), "")</f>
        <v/>
      </c>
      <c r="E859" s="391" t="str">
        <f t="shared" si="47"/>
        <v/>
      </c>
      <c r="F859" s="3" t="str">
        <f>IF(E859="", "", VLOOKUP(B859, 'S14 ABC Output'!$A$3:$C$18, 3, 0))</f>
        <v/>
      </c>
      <c r="I859" s="392" t="str">
        <f t="shared" si="49"/>
        <v>WS-11</v>
      </c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</row>
    <row r="860" spans="1:53">
      <c r="A860" s="3">
        <v>19</v>
      </c>
      <c r="B860" s="125" t="str">
        <f>IFERROR(INDEX('S21 Routing Clustered'!$A$3:$A$18, A860), "")</f>
        <v/>
      </c>
      <c r="C860" s="3">
        <v>130</v>
      </c>
      <c r="D860" s="391" t="str">
        <f>IFERROR(HLOOKUP(C860, 'S21 Routing Clustered'!$B$2:$I$18, A860+1, 0), "")</f>
        <v/>
      </c>
      <c r="E860" s="391" t="str">
        <f t="shared" si="47"/>
        <v/>
      </c>
      <c r="F860" s="3" t="str">
        <f>IF(E860="", "", VLOOKUP(B860, 'S14 ABC Output'!$A$3:$C$18, 3, 0))</f>
        <v/>
      </c>
      <c r="I860" s="392" t="str">
        <f t="shared" si="49"/>
        <v>WS-12</v>
      </c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</row>
    <row r="861" spans="1:53">
      <c r="A861" s="3">
        <v>19</v>
      </c>
      <c r="B861" s="125" t="str">
        <f>IFERROR(INDEX('S21 Routing Clustered'!$A$3:$A$18, A861), "")</f>
        <v/>
      </c>
      <c r="C861" s="3">
        <v>140</v>
      </c>
      <c r="D861" s="391" t="str">
        <f>IFERROR(HLOOKUP(C861, 'S21 Routing Clustered'!$B$2:$I$18, A861+1, 0), "")</f>
        <v/>
      </c>
      <c r="E861" s="391" t="str">
        <f t="shared" si="47"/>
        <v/>
      </c>
      <c r="F861" s="3" t="str">
        <f>IF(E861="", "", VLOOKUP(B861, 'S14 ABC Output'!$A$3:$C$18, 3, 0))</f>
        <v/>
      </c>
      <c r="I861" s="392" t="str">
        <f t="shared" si="49"/>
        <v>WS-13</v>
      </c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</row>
    <row r="862" spans="1:53">
      <c r="A862" s="3">
        <v>19</v>
      </c>
      <c r="B862" s="125" t="str">
        <f>IFERROR(INDEX('S21 Routing Clustered'!$A$3:$A$18, A862), "")</f>
        <v/>
      </c>
      <c r="C862" s="3">
        <v>150</v>
      </c>
      <c r="D862" s="391" t="str">
        <f>IFERROR(HLOOKUP(C862, 'S21 Routing Clustered'!$B$2:$I$18, A862+1, 0), "")</f>
        <v/>
      </c>
      <c r="E862" s="391" t="str">
        <f t="shared" si="47"/>
        <v/>
      </c>
      <c r="F862" s="3" t="str">
        <f>IF(E862="", "", VLOOKUP(B862, 'S14 ABC Output'!$A$3:$C$18, 3, 0))</f>
        <v/>
      </c>
      <c r="I862" s="392" t="str">
        <f t="shared" si="49"/>
        <v>WS-14</v>
      </c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</row>
    <row r="863" spans="1:53">
      <c r="A863" s="3">
        <v>19</v>
      </c>
      <c r="B863" s="125" t="str">
        <f>IFERROR(INDEX('S21 Routing Clustered'!$A$3:$A$18, A863), "")</f>
        <v/>
      </c>
      <c r="C863" s="3">
        <v>160</v>
      </c>
      <c r="D863" s="391" t="str">
        <f>IFERROR(HLOOKUP(C863, 'S21 Routing Clustered'!$B$2:$I$18, A863+1, 0), "")</f>
        <v/>
      </c>
      <c r="E863" s="391" t="str">
        <f t="shared" si="47"/>
        <v/>
      </c>
      <c r="F863" s="3" t="str">
        <f>IF(E863="", "", VLOOKUP(B863, 'S14 ABC Output'!$A$3:$C$18, 3, 0))</f>
        <v/>
      </c>
      <c r="I863" s="392" t="str">
        <f t="shared" si="49"/>
        <v>WS-15</v>
      </c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</row>
    <row r="864" spans="1:53">
      <c r="A864" s="3">
        <v>19</v>
      </c>
      <c r="B864" s="125" t="str">
        <f>IFERROR(INDEX('S21 Routing Clustered'!$A$3:$A$18, A864), "")</f>
        <v/>
      </c>
      <c r="C864" s="3">
        <v>170</v>
      </c>
      <c r="D864" s="391" t="str">
        <f>IFERROR(HLOOKUP(C864, 'S21 Routing Clustered'!$B$2:$I$18, A864+1, 0), "")</f>
        <v/>
      </c>
      <c r="E864" s="391" t="str">
        <f t="shared" si="47"/>
        <v/>
      </c>
      <c r="F864" s="3" t="str">
        <f>IF(E864="", "", VLOOKUP(B864, 'S14 ABC Output'!$A$3:$C$18, 3, 0))</f>
        <v/>
      </c>
      <c r="I864" s="392" t="str">
        <f t="shared" si="49"/>
        <v>WS-16</v>
      </c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</row>
    <row r="865" spans="1:53">
      <c r="A865" s="3">
        <v>19</v>
      </c>
      <c r="B865" s="125" t="str">
        <f>IFERROR(INDEX('S21 Routing Clustered'!$A$3:$A$18, A865), "")</f>
        <v/>
      </c>
      <c r="C865" s="3">
        <v>180</v>
      </c>
      <c r="D865" s="391" t="str">
        <f>IFERROR(HLOOKUP(C865, 'S21 Routing Clustered'!$B$2:$I$18, A865+1, 0), "")</f>
        <v/>
      </c>
      <c r="E865" s="391" t="str">
        <f t="shared" si="47"/>
        <v/>
      </c>
      <c r="F865" s="3" t="str">
        <f>IF(E865="", "", VLOOKUP(B865, 'S14 ABC Output'!$A$3:$C$18, 3, 0))</f>
        <v/>
      </c>
      <c r="I865" s="392" t="str">
        <f t="shared" si="49"/>
        <v>WS-17</v>
      </c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</row>
    <row r="866" spans="1:53">
      <c r="A866" s="3">
        <v>19</v>
      </c>
      <c r="B866" s="125" t="str">
        <f>IFERROR(INDEX('S21 Routing Clustered'!$A$3:$A$18, A866), "")</f>
        <v/>
      </c>
      <c r="C866" s="3">
        <v>190</v>
      </c>
      <c r="D866" s="391" t="str">
        <f>IFERROR(HLOOKUP(C866, 'S21 Routing Clustered'!$B$2:$I$18, A866+1, 0), "")</f>
        <v/>
      </c>
      <c r="E866" s="391" t="str">
        <f t="shared" si="47"/>
        <v/>
      </c>
      <c r="F866" s="3" t="str">
        <f>IF(E866="", "", VLOOKUP(B866, 'S14 ABC Output'!$A$3:$C$18, 3, 0))</f>
        <v/>
      </c>
      <c r="I866" s="392" t="str">
        <f t="shared" si="49"/>
        <v>WS-18</v>
      </c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</row>
    <row r="867" spans="1:53">
      <c r="A867" s="3">
        <v>19</v>
      </c>
      <c r="B867" s="125" t="str">
        <f>IFERROR(INDEX('S21 Routing Clustered'!$A$3:$A$18, A867), "")</f>
        <v/>
      </c>
      <c r="C867" s="3">
        <v>200</v>
      </c>
      <c r="D867" s="391" t="str">
        <f>IFERROR(HLOOKUP(C867, 'S21 Routing Clustered'!$B$2:$I$18, A867+1, 0), "")</f>
        <v/>
      </c>
      <c r="E867" s="391" t="str">
        <f t="shared" si="47"/>
        <v/>
      </c>
      <c r="F867" s="3" t="str">
        <f>IF(E867="", "", VLOOKUP(B867, 'S14 ABC Output'!$A$3:$C$18, 3, 0))</f>
        <v/>
      </c>
      <c r="I867" s="392" t="str">
        <f t="shared" si="49"/>
        <v>WS-19</v>
      </c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</row>
    <row r="868" spans="1:53">
      <c r="A868" s="3">
        <v>19</v>
      </c>
      <c r="B868" s="125" t="str">
        <f>IFERROR(INDEX('S21 Routing Clustered'!$A$3:$A$18, A868), "")</f>
        <v/>
      </c>
      <c r="C868" s="3">
        <v>210</v>
      </c>
      <c r="D868" s="391" t="str">
        <f>IFERROR(HLOOKUP(C868, 'S21 Routing Clustered'!$B$2:$I$18, A868+1, 0), "")</f>
        <v/>
      </c>
      <c r="E868" s="391" t="str">
        <f t="shared" si="47"/>
        <v/>
      </c>
      <c r="F868" s="3" t="str">
        <f>IF(E868="", "", VLOOKUP(B868, 'S14 ABC Output'!$A$3:$C$18, 3, 0))</f>
        <v/>
      </c>
      <c r="I868" s="392" t="str">
        <f t="shared" si="49"/>
        <v>WS-20</v>
      </c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</row>
    <row r="869" spans="1:53">
      <c r="A869" s="3">
        <v>19</v>
      </c>
      <c r="B869" s="125" t="str">
        <f>IFERROR(INDEX('S21 Routing Clustered'!$A$3:$A$18, A869), "")</f>
        <v/>
      </c>
      <c r="C869" s="3">
        <v>220</v>
      </c>
      <c r="D869" s="391" t="str">
        <f>IFERROR(HLOOKUP(C869, 'S21 Routing Clustered'!$B$2:$I$18, A869+1, 0), "")</f>
        <v/>
      </c>
      <c r="E869" s="391" t="str">
        <f t="shared" si="47"/>
        <v/>
      </c>
      <c r="F869" s="3" t="str">
        <f>IF(E869="", "", VLOOKUP(B869, 'S14 ABC Output'!$A$3:$C$18, 3, 0))</f>
        <v/>
      </c>
      <c r="I869" s="392" t="str">
        <f t="shared" si="49"/>
        <v>WS-21</v>
      </c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</row>
    <row r="870" spans="1:53">
      <c r="A870" s="3">
        <v>19</v>
      </c>
      <c r="B870" s="125" t="str">
        <f>IFERROR(INDEX('S21 Routing Clustered'!$A$3:$A$18, A870), "")</f>
        <v/>
      </c>
      <c r="C870" s="3">
        <v>230</v>
      </c>
      <c r="D870" s="391" t="str">
        <f>IFERROR(HLOOKUP(C870, 'S21 Routing Clustered'!$B$2:$I$18, A870+1, 0), "")</f>
        <v/>
      </c>
      <c r="E870" s="391" t="str">
        <f t="shared" si="47"/>
        <v/>
      </c>
      <c r="F870" s="3" t="str">
        <f>IF(E870="", "", VLOOKUP(B870, 'S14 ABC Output'!$A$3:$C$18, 3, 0))</f>
        <v/>
      </c>
      <c r="I870" s="392" t="str">
        <f t="shared" si="49"/>
        <v>WS-22</v>
      </c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</row>
    <row r="871" spans="1:53">
      <c r="A871" s="3">
        <v>19</v>
      </c>
      <c r="B871" s="125" t="str">
        <f>IFERROR(INDEX('S21 Routing Clustered'!$A$3:$A$18, A871), "")</f>
        <v/>
      </c>
      <c r="C871" s="3">
        <v>240</v>
      </c>
      <c r="D871" s="391" t="str">
        <f>IFERROR(HLOOKUP(C871, 'S21 Routing Clustered'!$B$2:$I$18, A871+1, 0), "")</f>
        <v/>
      </c>
      <c r="E871" s="391" t="str">
        <f t="shared" si="47"/>
        <v/>
      </c>
      <c r="F871" s="3" t="str">
        <f>IF(E871="", "", VLOOKUP(B871, 'S14 ABC Output'!$A$3:$C$18, 3, 0))</f>
        <v/>
      </c>
      <c r="I871" s="392" t="str">
        <f t="shared" si="49"/>
        <v>WS-23</v>
      </c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</row>
    <row r="872" spans="1:53">
      <c r="A872" s="3">
        <v>19</v>
      </c>
      <c r="B872" s="125" t="str">
        <f>IFERROR(INDEX('S21 Routing Clustered'!$A$3:$A$18, A872), "")</f>
        <v/>
      </c>
      <c r="C872" s="3">
        <v>250</v>
      </c>
      <c r="D872" s="391" t="str">
        <f>IFERROR(HLOOKUP(C872, 'S21 Routing Clustered'!$B$2:$I$18, A872+1, 0), "")</f>
        <v/>
      </c>
      <c r="E872" s="391" t="str">
        <f t="shared" si="47"/>
        <v/>
      </c>
      <c r="F872" s="3" t="str">
        <f>IF(E872="", "", VLOOKUP(B872, 'S14 ABC Output'!$A$3:$C$18, 3, 0))</f>
        <v/>
      </c>
      <c r="I872" s="392" t="str">
        <f t="shared" si="49"/>
        <v>WS-24</v>
      </c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</row>
    <row r="873" spans="1:53">
      <c r="A873" s="3">
        <v>19</v>
      </c>
      <c r="B873" s="125" t="str">
        <f>IFERROR(INDEX('S21 Routing Clustered'!$A$3:$A$18, A873), "")</f>
        <v/>
      </c>
      <c r="C873" s="3">
        <v>260</v>
      </c>
      <c r="D873" s="391" t="str">
        <f>IFERROR(HLOOKUP(C873, 'S21 Routing Clustered'!$B$2:$I$18, A873+1, 0), "")</f>
        <v/>
      </c>
      <c r="E873" s="391" t="str">
        <f t="shared" si="47"/>
        <v/>
      </c>
      <c r="F873" s="3" t="str">
        <f>IF(E873="", "", VLOOKUP(B873, 'S14 ABC Output'!$A$3:$C$18, 3, 0))</f>
        <v/>
      </c>
      <c r="I873" s="392" t="str">
        <f t="shared" si="49"/>
        <v>WS-25</v>
      </c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</row>
    <row r="874" spans="1:53">
      <c r="A874" s="3">
        <v>19</v>
      </c>
      <c r="B874" s="125" t="str">
        <f>IFERROR(INDEX('S21 Routing Clustered'!$A$3:$A$18, A874), "")</f>
        <v/>
      </c>
      <c r="C874" s="3">
        <v>270</v>
      </c>
      <c r="D874" s="391" t="str">
        <f>IFERROR(HLOOKUP(C874, 'S21 Routing Clustered'!$B$2:$I$18, A874+1, 0), "")</f>
        <v/>
      </c>
      <c r="E874" s="391" t="str">
        <f t="shared" si="47"/>
        <v/>
      </c>
      <c r="F874" s="3" t="str">
        <f>IF(E874="", "", VLOOKUP(B874, 'S14 ABC Output'!$A$3:$C$18, 3, 0))</f>
        <v/>
      </c>
      <c r="I874" s="392" t="str">
        <f t="shared" si="49"/>
        <v>WS-26</v>
      </c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</row>
    <row r="875" spans="1:53">
      <c r="A875" s="3">
        <v>19</v>
      </c>
      <c r="B875" s="125" t="str">
        <f>IFERROR(INDEX('S21 Routing Clustered'!$A$3:$A$18, A875), "")</f>
        <v/>
      </c>
      <c r="C875" s="3">
        <v>280</v>
      </c>
      <c r="D875" s="391" t="str">
        <f>IFERROR(HLOOKUP(C875, 'S21 Routing Clustered'!$B$2:$I$18, A875+1, 0), "")</f>
        <v/>
      </c>
      <c r="E875" s="391" t="str">
        <f t="shared" si="47"/>
        <v/>
      </c>
      <c r="F875" s="3" t="str">
        <f>IF(E875="", "", VLOOKUP(B875, 'S14 ABC Output'!$A$3:$C$18, 3, 0))</f>
        <v/>
      </c>
      <c r="I875" s="392" t="str">
        <f t="shared" si="49"/>
        <v>WS-27</v>
      </c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</row>
    <row r="876" spans="1:53">
      <c r="A876" s="3">
        <v>19</v>
      </c>
      <c r="B876" s="125" t="str">
        <f>IFERROR(INDEX('S21 Routing Clustered'!$A$3:$A$18, A876), "")</f>
        <v/>
      </c>
      <c r="C876" s="3">
        <v>290</v>
      </c>
      <c r="D876" s="391" t="str">
        <f>IFERROR(HLOOKUP(C876, 'S21 Routing Clustered'!$B$2:$I$18, A876+1, 0), "")</f>
        <v/>
      </c>
      <c r="E876" s="391" t="str">
        <f t="shared" si="47"/>
        <v/>
      </c>
      <c r="F876" s="3" t="str">
        <f>IF(E876="", "", VLOOKUP(B876, 'S14 ABC Output'!$A$3:$C$18, 3, 0))</f>
        <v/>
      </c>
      <c r="I876" s="392" t="str">
        <f t="shared" si="49"/>
        <v>WS-28</v>
      </c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</row>
    <row r="877" spans="1:53">
      <c r="A877" s="3">
        <v>19</v>
      </c>
      <c r="B877" s="125" t="str">
        <f>IFERROR(INDEX('S21 Routing Clustered'!$A$3:$A$18, A877), "")</f>
        <v/>
      </c>
      <c r="C877" s="3">
        <v>300</v>
      </c>
      <c r="D877" s="391" t="str">
        <f>IFERROR(HLOOKUP(C877, 'S21 Routing Clustered'!$B$2:$I$18, A877+1, 0), "")</f>
        <v/>
      </c>
      <c r="E877" s="391" t="str">
        <f t="shared" si="47"/>
        <v/>
      </c>
      <c r="F877" s="3" t="str">
        <f>IF(E877="", "", VLOOKUP(B877, 'S14 ABC Output'!$A$3:$C$18, 3, 0))</f>
        <v/>
      </c>
      <c r="I877" s="392" t="str">
        <f t="shared" si="49"/>
        <v>WS-29</v>
      </c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</row>
    <row r="878" spans="1:53">
      <c r="A878" s="3">
        <v>19</v>
      </c>
      <c r="B878" s="125" t="str">
        <f>IFERROR(INDEX('S21 Routing Clustered'!$A$3:$A$18, A878), "")</f>
        <v/>
      </c>
      <c r="C878" s="3">
        <v>310</v>
      </c>
      <c r="D878" s="391" t="str">
        <f>IFERROR(HLOOKUP(C878, 'S21 Routing Clustered'!$B$2:$I$18, A878+1, 0), "")</f>
        <v/>
      </c>
      <c r="E878" s="391" t="str">
        <f t="shared" si="47"/>
        <v/>
      </c>
      <c r="F878" s="3" t="str">
        <f>IF(E878="", "", VLOOKUP(B878, 'S14 ABC Output'!$A$3:$C$18, 3, 0))</f>
        <v/>
      </c>
      <c r="I878" s="392" t="str">
        <f t="shared" si="49"/>
        <v>WS-30</v>
      </c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</row>
    <row r="879" spans="1:53">
      <c r="A879" s="3">
        <v>19</v>
      </c>
      <c r="B879" s="125" t="str">
        <f>IFERROR(INDEX('S21 Routing Clustered'!$A$3:$A$18, A879), "")</f>
        <v/>
      </c>
      <c r="C879" s="3">
        <v>320</v>
      </c>
      <c r="D879" s="391" t="str">
        <f>IFERROR(HLOOKUP(C879, 'S21 Routing Clustered'!$B$2:$I$18, A879+1, 0), "")</f>
        <v/>
      </c>
      <c r="E879" s="391" t="str">
        <f t="shared" si="47"/>
        <v/>
      </c>
      <c r="F879" s="3" t="str">
        <f>IF(E879="", "", VLOOKUP(B879, 'S14 ABC Output'!$A$3:$C$18, 3, 0))</f>
        <v/>
      </c>
      <c r="I879" s="392" t="str">
        <f t="shared" si="49"/>
        <v>WS-31</v>
      </c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</row>
    <row r="880" spans="1:53">
      <c r="A880" s="3">
        <v>19</v>
      </c>
      <c r="B880" s="125" t="str">
        <f>IFERROR(INDEX('S21 Routing Clustered'!$A$3:$A$18, A880), "")</f>
        <v/>
      </c>
      <c r="C880" s="3">
        <v>330</v>
      </c>
      <c r="D880" s="391" t="str">
        <f>IFERROR(HLOOKUP(C880, 'S21 Routing Clustered'!$B$2:$I$18, A880+1, 0), "")</f>
        <v/>
      </c>
      <c r="E880" s="391" t="str">
        <f t="shared" si="47"/>
        <v/>
      </c>
      <c r="F880" s="3" t="str">
        <f>IF(E880="", "", VLOOKUP(B880, 'S14 ABC Output'!$A$3:$C$18, 3, 0))</f>
        <v/>
      </c>
      <c r="I880" s="392" t="str">
        <f t="shared" si="49"/>
        <v>WS-32</v>
      </c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</row>
    <row r="881" spans="1:53">
      <c r="A881" s="3">
        <v>19</v>
      </c>
      <c r="B881" s="125" t="str">
        <f>IFERROR(INDEX('S21 Routing Clustered'!$A$3:$A$18, A881), "")</f>
        <v/>
      </c>
      <c r="C881" s="3">
        <v>340</v>
      </c>
      <c r="D881" s="391" t="str">
        <f>IFERROR(HLOOKUP(C881, 'S21 Routing Clustered'!$B$2:$I$18, A881+1, 0), "")</f>
        <v/>
      </c>
      <c r="E881" s="391" t="str">
        <f t="shared" si="47"/>
        <v/>
      </c>
      <c r="F881" s="3" t="str">
        <f>IF(E881="", "", VLOOKUP(B881, 'S14 ABC Output'!$A$3:$C$18, 3, 0))</f>
        <v/>
      </c>
      <c r="I881" s="392" t="str">
        <f t="shared" si="49"/>
        <v>WS-33</v>
      </c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</row>
    <row r="882" spans="1:53">
      <c r="A882" s="3">
        <v>19</v>
      </c>
      <c r="B882" s="125" t="str">
        <f>IFERROR(INDEX('S21 Routing Clustered'!$A$3:$A$18, A882), "")</f>
        <v/>
      </c>
      <c r="C882" s="3">
        <v>350</v>
      </c>
      <c r="D882" s="391" t="str">
        <f>IFERROR(HLOOKUP(C882, 'S21 Routing Clustered'!$B$2:$I$18, A882+1, 0), "")</f>
        <v/>
      </c>
      <c r="E882" s="391" t="str">
        <f t="shared" si="47"/>
        <v/>
      </c>
      <c r="F882" s="3" t="str">
        <f>IF(E882="", "", VLOOKUP(B882, 'S14 ABC Output'!$A$3:$C$18, 3, 0))</f>
        <v/>
      </c>
      <c r="I882" s="392" t="str">
        <f t="shared" si="49"/>
        <v>WS-34</v>
      </c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</row>
    <row r="883" spans="1:53">
      <c r="A883" s="3">
        <v>19</v>
      </c>
      <c r="B883" s="125" t="str">
        <f>IFERROR(INDEX('S21 Routing Clustered'!$A$3:$A$18, A883), "")</f>
        <v/>
      </c>
      <c r="C883" s="3">
        <v>360</v>
      </c>
      <c r="D883" s="391" t="str">
        <f>IFERROR(HLOOKUP(C883, 'S21 Routing Clustered'!$B$2:$I$18, A883+1, 0), "")</f>
        <v/>
      </c>
      <c r="E883" s="391" t="str">
        <f t="shared" si="47"/>
        <v/>
      </c>
      <c r="F883" s="3" t="str">
        <f>IF(E883="", "", VLOOKUP(B883, 'S14 ABC Output'!$A$3:$C$18, 3, 0))</f>
        <v/>
      </c>
      <c r="I883" s="392" t="str">
        <f t="shared" si="49"/>
        <v>WS-35</v>
      </c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</row>
    <row r="884" spans="1:53">
      <c r="A884" s="3">
        <v>19</v>
      </c>
      <c r="B884" s="125" t="str">
        <f>IFERROR(INDEX('S21 Routing Clustered'!$A$3:$A$18, A884), "")</f>
        <v/>
      </c>
      <c r="C884" s="3">
        <v>370</v>
      </c>
      <c r="D884" s="391" t="str">
        <f>IFERROR(HLOOKUP(C884, 'S21 Routing Clustered'!$B$2:$I$18, A884+1, 0), "")</f>
        <v/>
      </c>
      <c r="E884" s="391" t="str">
        <f t="shared" si="47"/>
        <v/>
      </c>
      <c r="F884" s="3" t="str">
        <f>IF(E884="", "", VLOOKUP(B884, 'S14 ABC Output'!$A$3:$C$18, 3, 0))</f>
        <v/>
      </c>
      <c r="I884" s="392" t="str">
        <f t="shared" si="49"/>
        <v>WS-36</v>
      </c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</row>
    <row r="885" spans="1:53">
      <c r="A885" s="3">
        <v>19</v>
      </c>
      <c r="B885" s="125" t="str">
        <f>IFERROR(INDEX('S21 Routing Clustered'!$A$3:$A$18, A885), "")</f>
        <v/>
      </c>
      <c r="C885" s="3">
        <v>380</v>
      </c>
      <c r="D885" s="391" t="str">
        <f>IFERROR(HLOOKUP(C885, 'S21 Routing Clustered'!$B$2:$I$18, A885+1, 0), "")</f>
        <v/>
      </c>
      <c r="E885" s="391" t="str">
        <f t="shared" si="47"/>
        <v/>
      </c>
      <c r="F885" s="3" t="str">
        <f>IF(E885="", "", VLOOKUP(B885, 'S14 ABC Output'!$A$3:$C$18, 3, 0))</f>
        <v/>
      </c>
      <c r="I885" s="392" t="str">
        <f t="shared" si="49"/>
        <v>WS-37</v>
      </c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</row>
    <row r="886" spans="1:53">
      <c r="A886" s="3">
        <v>19</v>
      </c>
      <c r="B886" s="125" t="str">
        <f>IFERROR(INDEX('S21 Routing Clustered'!$A$3:$A$18, A886), "")</f>
        <v/>
      </c>
      <c r="C886" s="3">
        <v>390</v>
      </c>
      <c r="D886" s="391" t="str">
        <f>IFERROR(HLOOKUP(C886, 'S21 Routing Clustered'!$B$2:$I$18, A886+1, 0), "")</f>
        <v/>
      </c>
      <c r="E886" s="391" t="str">
        <f t="shared" si="47"/>
        <v/>
      </c>
      <c r="F886" s="3" t="str">
        <f>IF(E886="", "", VLOOKUP(B886, 'S14 ABC Output'!$A$3:$C$18, 3, 0))</f>
        <v/>
      </c>
      <c r="I886" s="392" t="str">
        <f t="shared" si="49"/>
        <v>WS-38</v>
      </c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</row>
    <row r="887" spans="1:53">
      <c r="A887" s="3">
        <v>19</v>
      </c>
      <c r="B887" s="125" t="str">
        <f>IFERROR(INDEX('S21 Routing Clustered'!$A$3:$A$18, A887), "")</f>
        <v/>
      </c>
      <c r="C887" s="3">
        <v>400</v>
      </c>
      <c r="D887" s="391" t="str">
        <f>IFERROR(HLOOKUP(C887, 'S21 Routing Clustered'!$B$2:$I$18, A887+1, 0), "")</f>
        <v/>
      </c>
      <c r="E887" s="391" t="str">
        <f t="shared" si="47"/>
        <v/>
      </c>
      <c r="F887" s="3" t="str">
        <f>IF(E887="", "", VLOOKUP(B887, 'S14 ABC Output'!$A$3:$C$18, 3, 0))</f>
        <v/>
      </c>
      <c r="I887" s="392" t="str">
        <f t="shared" si="49"/>
        <v>WS-39</v>
      </c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</row>
    <row r="888" spans="1:53">
      <c r="A888" s="3">
        <v>19</v>
      </c>
      <c r="B888" s="125" t="str">
        <f>IFERROR(INDEX('S21 Routing Clustered'!$A$3:$A$18, A888), "")</f>
        <v/>
      </c>
      <c r="C888" s="3">
        <v>410</v>
      </c>
      <c r="D888" s="391" t="str">
        <f>IFERROR(HLOOKUP(C888, 'S21 Routing Clustered'!$B$2:$I$18, A888+1, 0), "")</f>
        <v/>
      </c>
      <c r="E888" s="391" t="str">
        <f t="shared" si="47"/>
        <v/>
      </c>
      <c r="F888" s="3" t="str">
        <f>IF(E888="", "", VLOOKUP(B888, 'S14 ABC Output'!$A$3:$C$18, 3, 0))</f>
        <v/>
      </c>
      <c r="I888" s="392" t="str">
        <f t="shared" si="49"/>
        <v>WS-40</v>
      </c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</row>
    <row r="889" spans="1:53">
      <c r="A889" s="3">
        <v>19</v>
      </c>
      <c r="B889" s="125" t="str">
        <f>IFERROR(INDEX('S21 Routing Clustered'!$A$3:$A$18, A889), "")</f>
        <v/>
      </c>
      <c r="C889" s="3">
        <v>420</v>
      </c>
      <c r="D889" s="391" t="str">
        <f>IFERROR(HLOOKUP(C889, 'S21 Routing Clustered'!$B$2:$I$18, A889+1, 0), "")</f>
        <v/>
      </c>
      <c r="E889" s="391" t="str">
        <f t="shared" si="47"/>
        <v/>
      </c>
      <c r="F889" s="3" t="str">
        <f>IF(E889="", "", VLOOKUP(B889, 'S14 ABC Output'!$A$3:$C$18, 3, 0))</f>
        <v/>
      </c>
      <c r="I889" s="392" t="str">
        <f t="shared" si="49"/>
        <v>WS-41</v>
      </c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</row>
    <row r="890" spans="1:53">
      <c r="A890" s="3">
        <v>19</v>
      </c>
      <c r="B890" s="125" t="str">
        <f>IFERROR(INDEX('S21 Routing Clustered'!$A$3:$A$18, A890), "")</f>
        <v/>
      </c>
      <c r="C890" s="3">
        <v>430</v>
      </c>
      <c r="D890" s="391" t="str">
        <f>IFERROR(HLOOKUP(C890, 'S21 Routing Clustered'!$B$2:$I$18, A890+1, 0), "")</f>
        <v/>
      </c>
      <c r="E890" s="391" t="str">
        <f t="shared" si="47"/>
        <v/>
      </c>
      <c r="F890" s="3" t="str">
        <f>IF(E890="", "", VLOOKUP(B890, 'S14 ABC Output'!$A$3:$C$18, 3, 0))</f>
        <v/>
      </c>
      <c r="I890" s="392" t="str">
        <f t="shared" si="49"/>
        <v>WS-42</v>
      </c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</row>
    <row r="891" spans="1:53">
      <c r="A891" s="3">
        <v>19</v>
      </c>
      <c r="B891" s="125" t="str">
        <f>IFERROR(INDEX('S21 Routing Clustered'!$A$3:$A$18, A891), "")</f>
        <v/>
      </c>
      <c r="C891" s="3">
        <v>440</v>
      </c>
      <c r="D891" s="391" t="str">
        <f>IFERROR(HLOOKUP(C891, 'S21 Routing Clustered'!$B$2:$I$18, A891+1, 0), "")</f>
        <v/>
      </c>
      <c r="E891" s="391" t="str">
        <f t="shared" si="47"/>
        <v/>
      </c>
      <c r="F891" s="3" t="str">
        <f>IF(E891="", "", VLOOKUP(B891, 'S14 ABC Output'!$A$3:$C$18, 3, 0))</f>
        <v/>
      </c>
      <c r="I891" s="392" t="str">
        <f t="shared" si="49"/>
        <v>WS-43</v>
      </c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</row>
    <row r="892" spans="1:53">
      <c r="A892" s="3">
        <v>19</v>
      </c>
      <c r="B892" s="125" t="str">
        <f>IFERROR(INDEX('S21 Routing Clustered'!$A$3:$A$18, A892), "")</f>
        <v/>
      </c>
      <c r="C892" s="3">
        <v>450</v>
      </c>
      <c r="D892" s="391" t="str">
        <f>IFERROR(HLOOKUP(C892, 'S21 Routing Clustered'!$B$2:$I$18, A892+1, 0), "")</f>
        <v/>
      </c>
      <c r="E892" s="391" t="str">
        <f t="shared" si="47"/>
        <v/>
      </c>
      <c r="F892" s="3" t="str">
        <f>IF(E892="", "", VLOOKUP(B892, 'S14 ABC Output'!$A$3:$C$18, 3, 0))</f>
        <v/>
      </c>
      <c r="I892" s="392" t="str">
        <f t="shared" si="49"/>
        <v>WS-44</v>
      </c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</row>
    <row r="893" spans="1:53">
      <c r="B893" s="125" t="str">
        <f>IFERROR(INDEX('S21 Routing Clustered'!$A$3:$A$18, A893), "")</f>
        <v/>
      </c>
      <c r="D893" s="391" t="str">
        <f>IFERROR(HLOOKUP(C893, 'S21 Routing Clustered'!$B$2:$I$18, A893+1, 0), "")</f>
        <v/>
      </c>
      <c r="E893" s="391" t="str">
        <f t="shared" si="47"/>
        <v/>
      </c>
      <c r="F893" s="3" t="str">
        <f>IF(E893="", "", VLOOKUP(B893, 'S14 ABC Output'!$A$3:$C$18, 3, 0))</f>
        <v/>
      </c>
    </row>
    <row r="894" spans="1:53">
      <c r="B894" s="125" t="str">
        <f>IFERROR(INDEX('S21 Routing Clustered'!$A$3:$A$18, A894), "")</f>
        <v/>
      </c>
      <c r="D894" s="391" t="str">
        <f>IFERROR(HLOOKUP(C894, 'S21 Routing Clustered'!$B$2:$I$18, A894+1, 0), "")</f>
        <v/>
      </c>
      <c r="E894" s="391" t="str">
        <f t="shared" si="47"/>
        <v/>
      </c>
      <c r="F894" s="3" t="str">
        <f>IF(E894="", "", VLOOKUP(B894, 'S14 ABC Output'!$A$3:$C$18, 3, 0))</f>
        <v/>
      </c>
    </row>
    <row r="895" spans="1:53">
      <c r="A895" s="3">
        <v>20</v>
      </c>
      <c r="B895" s="125" t="str">
        <f>IFERROR(INDEX('S21 Routing Clustered'!$A$3:$A$18, A895), "")</f>
        <v/>
      </c>
      <c r="C895" s="3">
        <v>10</v>
      </c>
      <c r="D895" s="391" t="str">
        <f>IFERROR(HLOOKUP(C895, 'S21 Routing Clustered'!$B$2:$I$18, A895+1, 0), "")</f>
        <v/>
      </c>
      <c r="E895" s="391" t="str">
        <f t="shared" si="47"/>
        <v/>
      </c>
      <c r="F895" s="3" t="str">
        <f>IF(E895="", "", VLOOKUP(B895, 'S14 ABC Output'!$A$3:$C$18, 3, 0))</f>
        <v/>
      </c>
      <c r="I895" s="392"/>
      <c r="J895" s="392" t="str">
        <f>J848</f>
        <v>WS-01</v>
      </c>
      <c r="K895" s="392" t="str">
        <f t="shared" ref="K895:BA895" si="50">K848</f>
        <v>WS-02</v>
      </c>
      <c r="L895" s="392" t="str">
        <f t="shared" si="50"/>
        <v>WS-03</v>
      </c>
      <c r="M895" s="392" t="str">
        <f t="shared" si="50"/>
        <v>WS-04</v>
      </c>
      <c r="N895" s="392" t="str">
        <f t="shared" si="50"/>
        <v>WS-05</v>
      </c>
      <c r="O895" s="392" t="str">
        <f t="shared" si="50"/>
        <v>WS-06</v>
      </c>
      <c r="P895" s="392" t="str">
        <f t="shared" si="50"/>
        <v>WS-07</v>
      </c>
      <c r="Q895" s="392" t="str">
        <f t="shared" si="50"/>
        <v>WS-08</v>
      </c>
      <c r="R895" s="392" t="str">
        <f t="shared" si="50"/>
        <v>WS-09</v>
      </c>
      <c r="S895" s="392" t="str">
        <f t="shared" si="50"/>
        <v>WS-10</v>
      </c>
      <c r="T895" s="392" t="str">
        <f t="shared" si="50"/>
        <v>WS-11</v>
      </c>
      <c r="U895" s="392" t="str">
        <f t="shared" si="50"/>
        <v>WS-12</v>
      </c>
      <c r="V895" s="392" t="str">
        <f t="shared" si="50"/>
        <v>WS-13</v>
      </c>
      <c r="W895" s="392" t="str">
        <f t="shared" si="50"/>
        <v>WS-14</v>
      </c>
      <c r="X895" s="392" t="str">
        <f t="shared" si="50"/>
        <v>WS-15</v>
      </c>
      <c r="Y895" s="392" t="str">
        <f t="shared" si="50"/>
        <v>WS-16</v>
      </c>
      <c r="Z895" s="392" t="str">
        <f t="shared" si="50"/>
        <v>WS-17</v>
      </c>
      <c r="AA895" s="392" t="str">
        <f t="shared" si="50"/>
        <v>WS-18</v>
      </c>
      <c r="AB895" s="392" t="str">
        <f t="shared" si="50"/>
        <v>WS-19</v>
      </c>
      <c r="AC895" s="392" t="str">
        <f t="shared" si="50"/>
        <v>WS-20</v>
      </c>
      <c r="AD895" s="392" t="str">
        <f t="shared" si="50"/>
        <v>WS-21</v>
      </c>
      <c r="AE895" s="392" t="str">
        <f t="shared" si="50"/>
        <v>WS-22</v>
      </c>
      <c r="AF895" s="392" t="str">
        <f t="shared" si="50"/>
        <v>WS-23</v>
      </c>
      <c r="AG895" s="392" t="str">
        <f t="shared" si="50"/>
        <v>WS-24</v>
      </c>
      <c r="AH895" s="392" t="str">
        <f t="shared" si="50"/>
        <v>WS-25</v>
      </c>
      <c r="AI895" s="392" t="str">
        <f t="shared" si="50"/>
        <v>WS-26</v>
      </c>
      <c r="AJ895" s="392" t="str">
        <f t="shared" si="50"/>
        <v>WS-27</v>
      </c>
      <c r="AK895" s="392" t="str">
        <f t="shared" si="50"/>
        <v>WS-28</v>
      </c>
      <c r="AL895" s="392" t="str">
        <f t="shared" si="50"/>
        <v>WS-29</v>
      </c>
      <c r="AM895" s="392" t="str">
        <f t="shared" si="50"/>
        <v>WS-30</v>
      </c>
      <c r="AN895" s="392" t="str">
        <f t="shared" si="50"/>
        <v>WS-31</v>
      </c>
      <c r="AO895" s="392" t="str">
        <f t="shared" si="50"/>
        <v>WS-32</v>
      </c>
      <c r="AP895" s="392" t="str">
        <f t="shared" si="50"/>
        <v>WS-33</v>
      </c>
      <c r="AQ895" s="392" t="str">
        <f t="shared" si="50"/>
        <v>WS-34</v>
      </c>
      <c r="AR895" s="392" t="str">
        <f t="shared" si="50"/>
        <v>WS-35</v>
      </c>
      <c r="AS895" s="392" t="str">
        <f t="shared" si="50"/>
        <v>WS-36</v>
      </c>
      <c r="AT895" s="392" t="str">
        <f t="shared" si="50"/>
        <v>WS-37</v>
      </c>
      <c r="AU895" s="392" t="str">
        <f t="shared" si="50"/>
        <v>WS-38</v>
      </c>
      <c r="AV895" s="392" t="str">
        <f t="shared" si="50"/>
        <v>WS-39</v>
      </c>
      <c r="AW895" s="392" t="str">
        <f t="shared" si="50"/>
        <v>WS-40</v>
      </c>
      <c r="AX895" s="392" t="str">
        <f t="shared" si="50"/>
        <v>WS-41</v>
      </c>
      <c r="AY895" s="392" t="str">
        <f t="shared" si="50"/>
        <v>WS-42</v>
      </c>
      <c r="AZ895" s="392" t="str">
        <f t="shared" si="50"/>
        <v>WS-43</v>
      </c>
      <c r="BA895" s="392" t="str">
        <f t="shared" si="50"/>
        <v>WS-44</v>
      </c>
    </row>
    <row r="896" spans="1:53">
      <c r="A896" s="3">
        <v>20</v>
      </c>
      <c r="B896" s="125" t="str">
        <f>IFERROR(INDEX('S21 Routing Clustered'!$A$3:$A$18, A896), "")</f>
        <v/>
      </c>
      <c r="C896" s="3">
        <v>20</v>
      </c>
      <c r="D896" s="391" t="str">
        <f>IFERROR(HLOOKUP(C896, 'S21 Routing Clustered'!$B$2:$I$18, A896+1, 0), "")</f>
        <v/>
      </c>
      <c r="E896" s="391" t="str">
        <f t="shared" si="47"/>
        <v/>
      </c>
      <c r="F896" s="3" t="str">
        <f>IF(E896="", "", VLOOKUP(B896, 'S14 ABC Output'!$A$3:$C$18, 3, 0))</f>
        <v/>
      </c>
      <c r="I896" s="392" t="str">
        <f>I849</f>
        <v>WS-01</v>
      </c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</row>
    <row r="897" spans="1:53">
      <c r="A897" s="3">
        <v>20</v>
      </c>
      <c r="B897" s="125" t="str">
        <f>IFERROR(INDEX('S21 Routing Clustered'!$A$3:$A$18, A897), "")</f>
        <v/>
      </c>
      <c r="C897" s="3">
        <v>30</v>
      </c>
      <c r="D897" s="391" t="str">
        <f>IFERROR(HLOOKUP(C897, 'S21 Routing Clustered'!$B$2:$I$18, A897+1, 0), "")</f>
        <v/>
      </c>
      <c r="E897" s="391" t="str">
        <f t="shared" si="47"/>
        <v/>
      </c>
      <c r="F897" s="3" t="str">
        <f>IF(E897="", "", VLOOKUP(B897, 'S14 ABC Output'!$A$3:$C$18, 3, 0))</f>
        <v/>
      </c>
      <c r="I897" s="392" t="str">
        <f t="shared" ref="I897:I939" si="51">I850</f>
        <v>WS-02</v>
      </c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</row>
    <row r="898" spans="1:53">
      <c r="A898" s="3">
        <v>20</v>
      </c>
      <c r="B898" s="125" t="str">
        <f>IFERROR(INDEX('S21 Routing Clustered'!$A$3:$A$18, A898), "")</f>
        <v/>
      </c>
      <c r="C898" s="3">
        <v>40</v>
      </c>
      <c r="D898" s="391" t="str">
        <f>IFERROR(HLOOKUP(C898, 'S21 Routing Clustered'!$B$2:$I$18, A898+1, 0), "")</f>
        <v/>
      </c>
      <c r="E898" s="391" t="str">
        <f t="shared" si="47"/>
        <v/>
      </c>
      <c r="F898" s="3" t="str">
        <f>IF(E898="", "", VLOOKUP(B898, 'S14 ABC Output'!$A$3:$C$18, 3, 0))</f>
        <v/>
      </c>
      <c r="I898" s="392" t="str">
        <f t="shared" si="51"/>
        <v>WS-03</v>
      </c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</row>
    <row r="899" spans="1:53">
      <c r="A899" s="3">
        <v>20</v>
      </c>
      <c r="B899" s="125" t="str">
        <f>IFERROR(INDEX('S21 Routing Clustered'!$A$3:$A$18, A899), "")</f>
        <v/>
      </c>
      <c r="C899" s="3">
        <v>50</v>
      </c>
      <c r="D899" s="391" t="str">
        <f>IFERROR(HLOOKUP(C899, 'S21 Routing Clustered'!$B$2:$I$18, A899+1, 0), "")</f>
        <v/>
      </c>
      <c r="E899" s="391" t="str">
        <f t="shared" ref="E899:E939" si="52">IF(D899="", "", D900)</f>
        <v/>
      </c>
      <c r="F899" s="3" t="str">
        <f>IF(E899="", "", VLOOKUP(B899, 'S14 ABC Output'!$A$3:$C$18, 3, 0))</f>
        <v/>
      </c>
      <c r="I899" s="392" t="str">
        <f t="shared" si="51"/>
        <v>WS-04</v>
      </c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</row>
    <row r="900" spans="1:53">
      <c r="A900" s="3">
        <v>20</v>
      </c>
      <c r="B900" s="125" t="str">
        <f>IFERROR(INDEX('S21 Routing Clustered'!$A$3:$A$18, A900), "")</f>
        <v/>
      </c>
      <c r="C900" s="3">
        <v>60</v>
      </c>
      <c r="D900" s="391" t="str">
        <f>IFERROR(HLOOKUP(C900, 'S21 Routing Clustered'!$B$2:$I$18, A900+1, 0), "")</f>
        <v/>
      </c>
      <c r="E900" s="391" t="str">
        <f t="shared" si="52"/>
        <v/>
      </c>
      <c r="F900" s="3" t="str">
        <f>IF(E900="", "", VLOOKUP(B900, 'S14 ABC Output'!$A$3:$C$18, 3, 0))</f>
        <v/>
      </c>
      <c r="I900" s="392" t="str">
        <f t="shared" si="51"/>
        <v>WS-05</v>
      </c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</row>
    <row r="901" spans="1:53">
      <c r="A901" s="3">
        <v>20</v>
      </c>
      <c r="B901" s="125" t="str">
        <f>IFERROR(INDEX('S21 Routing Clustered'!$A$3:$A$18, A901), "")</f>
        <v/>
      </c>
      <c r="C901" s="3">
        <v>70</v>
      </c>
      <c r="D901" s="391" t="str">
        <f>IFERROR(HLOOKUP(C901, 'S21 Routing Clustered'!$B$2:$I$18, A901+1, 0), "")</f>
        <v/>
      </c>
      <c r="E901" s="391" t="str">
        <f t="shared" si="52"/>
        <v/>
      </c>
      <c r="F901" s="3" t="str">
        <f>IF(E901="", "", VLOOKUP(B901, 'S14 ABC Output'!$A$3:$C$18, 3, 0))</f>
        <v/>
      </c>
      <c r="I901" s="392" t="str">
        <f t="shared" si="51"/>
        <v>WS-06</v>
      </c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</row>
    <row r="902" spans="1:53">
      <c r="A902" s="3">
        <v>20</v>
      </c>
      <c r="B902" s="125" t="str">
        <f>IFERROR(INDEX('S21 Routing Clustered'!$A$3:$A$18, A902), "")</f>
        <v/>
      </c>
      <c r="C902" s="3">
        <v>80</v>
      </c>
      <c r="D902" s="391" t="str">
        <f>IFERROR(HLOOKUP(C902, 'S21 Routing Clustered'!$B$2:$I$18, A902+1, 0), "")</f>
        <v/>
      </c>
      <c r="E902" s="391" t="str">
        <f t="shared" si="52"/>
        <v/>
      </c>
      <c r="F902" s="3" t="str">
        <f>IF(E902="", "", VLOOKUP(B902, 'S14 ABC Output'!$A$3:$C$18, 3, 0))</f>
        <v/>
      </c>
      <c r="I902" s="392" t="str">
        <f t="shared" si="51"/>
        <v>WS-07</v>
      </c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</row>
    <row r="903" spans="1:53">
      <c r="A903" s="3">
        <v>20</v>
      </c>
      <c r="B903" s="125" t="str">
        <f>IFERROR(INDEX('S21 Routing Clustered'!$A$3:$A$18, A903), "")</f>
        <v/>
      </c>
      <c r="C903" s="3">
        <v>90</v>
      </c>
      <c r="D903" s="391" t="str">
        <f>IFERROR(HLOOKUP(C903, 'S21 Routing Clustered'!$B$2:$I$18, A903+1, 0), "")</f>
        <v/>
      </c>
      <c r="E903" s="391" t="str">
        <f t="shared" si="52"/>
        <v/>
      </c>
      <c r="F903" s="3" t="str">
        <f>IF(E903="", "", VLOOKUP(B903, 'S14 ABC Output'!$A$3:$C$18, 3, 0))</f>
        <v/>
      </c>
      <c r="I903" s="392" t="str">
        <f t="shared" si="51"/>
        <v>WS-08</v>
      </c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</row>
    <row r="904" spans="1:53">
      <c r="A904" s="3">
        <v>20</v>
      </c>
      <c r="B904" s="125" t="str">
        <f>IFERROR(INDEX('S21 Routing Clustered'!$A$3:$A$18, A904), "")</f>
        <v/>
      </c>
      <c r="C904" s="3">
        <v>100</v>
      </c>
      <c r="D904" s="391" t="str">
        <f>IFERROR(HLOOKUP(C904, 'S21 Routing Clustered'!$B$2:$I$18, A904+1, 0), "")</f>
        <v/>
      </c>
      <c r="E904" s="391" t="str">
        <f t="shared" si="52"/>
        <v/>
      </c>
      <c r="F904" s="3" t="str">
        <f>IF(E904="", "", VLOOKUP(B904, 'S14 ABC Output'!$A$3:$C$18, 3, 0))</f>
        <v/>
      </c>
      <c r="I904" s="392" t="str">
        <f t="shared" si="51"/>
        <v>WS-09</v>
      </c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</row>
    <row r="905" spans="1:53">
      <c r="A905" s="3">
        <v>20</v>
      </c>
      <c r="B905" s="125" t="str">
        <f>IFERROR(INDEX('S21 Routing Clustered'!$A$3:$A$18, A905), "")</f>
        <v/>
      </c>
      <c r="C905" s="3">
        <v>110</v>
      </c>
      <c r="D905" s="391" t="str">
        <f>IFERROR(HLOOKUP(C905, 'S21 Routing Clustered'!$B$2:$I$18, A905+1, 0), "")</f>
        <v/>
      </c>
      <c r="E905" s="391" t="str">
        <f t="shared" si="52"/>
        <v/>
      </c>
      <c r="F905" s="3" t="str">
        <f>IF(E905="", "", VLOOKUP(B905, 'S14 ABC Output'!$A$3:$C$18, 3, 0))</f>
        <v/>
      </c>
      <c r="I905" s="392" t="str">
        <f t="shared" si="51"/>
        <v>WS-10</v>
      </c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</row>
    <row r="906" spans="1:53">
      <c r="A906" s="3">
        <v>20</v>
      </c>
      <c r="B906" s="125" t="str">
        <f>IFERROR(INDEX('S21 Routing Clustered'!$A$3:$A$18, A906), "")</f>
        <v/>
      </c>
      <c r="C906" s="3">
        <v>120</v>
      </c>
      <c r="D906" s="391" t="str">
        <f>IFERROR(HLOOKUP(C906, 'S21 Routing Clustered'!$B$2:$I$18, A906+1, 0), "")</f>
        <v/>
      </c>
      <c r="E906" s="391" t="str">
        <f t="shared" si="52"/>
        <v/>
      </c>
      <c r="F906" s="3" t="str">
        <f>IF(E906="", "", VLOOKUP(B906, 'S14 ABC Output'!$A$3:$C$18, 3, 0))</f>
        <v/>
      </c>
      <c r="I906" s="392" t="str">
        <f t="shared" si="51"/>
        <v>WS-11</v>
      </c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</row>
    <row r="907" spans="1:53">
      <c r="A907" s="3">
        <v>20</v>
      </c>
      <c r="B907" s="125" t="str">
        <f>IFERROR(INDEX('S21 Routing Clustered'!$A$3:$A$18, A907), "")</f>
        <v/>
      </c>
      <c r="C907" s="3">
        <v>130</v>
      </c>
      <c r="D907" s="391" t="str">
        <f>IFERROR(HLOOKUP(C907, 'S21 Routing Clustered'!$B$2:$I$18, A907+1, 0), "")</f>
        <v/>
      </c>
      <c r="E907" s="391" t="str">
        <f t="shared" si="52"/>
        <v/>
      </c>
      <c r="F907" s="3" t="str">
        <f>IF(E907="", "", VLOOKUP(B907, 'S14 ABC Output'!$A$3:$C$18, 3, 0))</f>
        <v/>
      </c>
      <c r="I907" s="392" t="str">
        <f t="shared" si="51"/>
        <v>WS-12</v>
      </c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</row>
    <row r="908" spans="1:53">
      <c r="A908" s="3">
        <v>20</v>
      </c>
      <c r="B908" s="125" t="str">
        <f>IFERROR(INDEX('S21 Routing Clustered'!$A$3:$A$18, A908), "")</f>
        <v/>
      </c>
      <c r="C908" s="3">
        <v>140</v>
      </c>
      <c r="D908" s="391" t="str">
        <f>IFERROR(HLOOKUP(C908, 'S21 Routing Clustered'!$B$2:$I$18, A908+1, 0), "")</f>
        <v/>
      </c>
      <c r="E908" s="391" t="str">
        <f t="shared" si="52"/>
        <v/>
      </c>
      <c r="F908" s="3" t="str">
        <f>IF(E908="", "", VLOOKUP(B908, 'S14 ABC Output'!$A$3:$C$18, 3, 0))</f>
        <v/>
      </c>
      <c r="I908" s="392" t="str">
        <f t="shared" si="51"/>
        <v>WS-13</v>
      </c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</row>
    <row r="909" spans="1:53">
      <c r="A909" s="3">
        <v>20</v>
      </c>
      <c r="B909" s="125" t="str">
        <f>IFERROR(INDEX('S21 Routing Clustered'!$A$3:$A$18, A909), "")</f>
        <v/>
      </c>
      <c r="C909" s="3">
        <v>150</v>
      </c>
      <c r="D909" s="391" t="str">
        <f>IFERROR(HLOOKUP(C909, 'S21 Routing Clustered'!$B$2:$I$18, A909+1, 0), "")</f>
        <v/>
      </c>
      <c r="E909" s="391" t="str">
        <f t="shared" si="52"/>
        <v/>
      </c>
      <c r="F909" s="3" t="str">
        <f>IF(E909="", "", VLOOKUP(B909, 'S14 ABC Output'!$A$3:$C$18, 3, 0))</f>
        <v/>
      </c>
      <c r="I909" s="392" t="str">
        <f t="shared" si="51"/>
        <v>WS-14</v>
      </c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</row>
    <row r="910" spans="1:53">
      <c r="A910" s="3">
        <v>20</v>
      </c>
      <c r="B910" s="125" t="str">
        <f>IFERROR(INDEX('S21 Routing Clustered'!$A$3:$A$18, A910), "")</f>
        <v/>
      </c>
      <c r="C910" s="3">
        <v>160</v>
      </c>
      <c r="D910" s="391" t="str">
        <f>IFERROR(HLOOKUP(C910, 'S21 Routing Clustered'!$B$2:$I$18, A910+1, 0), "")</f>
        <v/>
      </c>
      <c r="E910" s="391" t="str">
        <f t="shared" si="52"/>
        <v/>
      </c>
      <c r="F910" s="3" t="str">
        <f>IF(E910="", "", VLOOKUP(B910, 'S14 ABC Output'!$A$3:$C$18, 3, 0))</f>
        <v/>
      </c>
      <c r="I910" s="392" t="str">
        <f t="shared" si="51"/>
        <v>WS-15</v>
      </c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</row>
    <row r="911" spans="1:53">
      <c r="A911" s="3">
        <v>20</v>
      </c>
      <c r="B911" s="125" t="str">
        <f>IFERROR(INDEX('S21 Routing Clustered'!$A$3:$A$18, A911), "")</f>
        <v/>
      </c>
      <c r="C911" s="3">
        <v>170</v>
      </c>
      <c r="D911" s="391" t="str">
        <f>IFERROR(HLOOKUP(C911, 'S21 Routing Clustered'!$B$2:$I$18, A911+1, 0), "")</f>
        <v/>
      </c>
      <c r="E911" s="391" t="str">
        <f t="shared" si="52"/>
        <v/>
      </c>
      <c r="F911" s="3" t="str">
        <f>IF(E911="", "", VLOOKUP(B911, 'S14 ABC Output'!$A$3:$C$18, 3, 0))</f>
        <v/>
      </c>
      <c r="I911" s="392" t="str">
        <f t="shared" si="51"/>
        <v>WS-16</v>
      </c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</row>
    <row r="912" spans="1:53">
      <c r="A912" s="3">
        <v>20</v>
      </c>
      <c r="B912" s="125" t="str">
        <f>IFERROR(INDEX('S21 Routing Clustered'!$A$3:$A$18, A912), "")</f>
        <v/>
      </c>
      <c r="C912" s="3">
        <v>180</v>
      </c>
      <c r="D912" s="391" t="str">
        <f>IFERROR(HLOOKUP(C912, 'S21 Routing Clustered'!$B$2:$I$18, A912+1, 0), "")</f>
        <v/>
      </c>
      <c r="E912" s="391" t="str">
        <f t="shared" si="52"/>
        <v/>
      </c>
      <c r="F912" s="3" t="str">
        <f>IF(E912="", "", VLOOKUP(B912, 'S14 ABC Output'!$A$3:$C$18, 3, 0))</f>
        <v/>
      </c>
      <c r="I912" s="392" t="str">
        <f t="shared" si="51"/>
        <v>WS-17</v>
      </c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</row>
    <row r="913" spans="1:53">
      <c r="A913" s="3">
        <v>20</v>
      </c>
      <c r="B913" s="125" t="str">
        <f>IFERROR(INDEX('S21 Routing Clustered'!$A$3:$A$18, A913), "")</f>
        <v/>
      </c>
      <c r="C913" s="3">
        <v>190</v>
      </c>
      <c r="D913" s="391" t="str">
        <f>IFERROR(HLOOKUP(C913, 'S21 Routing Clustered'!$B$2:$I$18, A913+1, 0), "")</f>
        <v/>
      </c>
      <c r="E913" s="391" t="str">
        <f t="shared" si="52"/>
        <v/>
      </c>
      <c r="F913" s="3" t="str">
        <f>IF(E913="", "", VLOOKUP(B913, 'S14 ABC Output'!$A$3:$C$18, 3, 0))</f>
        <v/>
      </c>
      <c r="I913" s="392" t="str">
        <f t="shared" si="51"/>
        <v>WS-18</v>
      </c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</row>
    <row r="914" spans="1:53">
      <c r="A914" s="3">
        <v>20</v>
      </c>
      <c r="B914" s="125" t="str">
        <f>IFERROR(INDEX('S21 Routing Clustered'!$A$3:$A$18, A914), "")</f>
        <v/>
      </c>
      <c r="C914" s="3">
        <v>200</v>
      </c>
      <c r="D914" s="391" t="str">
        <f>IFERROR(HLOOKUP(C914, 'S21 Routing Clustered'!$B$2:$I$18, A914+1, 0), "")</f>
        <v/>
      </c>
      <c r="E914" s="391" t="str">
        <f t="shared" si="52"/>
        <v/>
      </c>
      <c r="F914" s="3" t="str">
        <f>IF(E914="", "", VLOOKUP(B914, 'S14 ABC Output'!$A$3:$C$18, 3, 0))</f>
        <v/>
      </c>
      <c r="I914" s="392" t="str">
        <f t="shared" si="51"/>
        <v>WS-19</v>
      </c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</row>
    <row r="915" spans="1:53">
      <c r="A915" s="3">
        <v>20</v>
      </c>
      <c r="B915" s="125" t="str">
        <f>IFERROR(INDEX('S21 Routing Clustered'!$A$3:$A$18, A915), "")</f>
        <v/>
      </c>
      <c r="C915" s="3">
        <v>210</v>
      </c>
      <c r="D915" s="391" t="str">
        <f>IFERROR(HLOOKUP(C915, 'S21 Routing Clustered'!$B$2:$I$18, A915+1, 0), "")</f>
        <v/>
      </c>
      <c r="E915" s="391" t="str">
        <f t="shared" si="52"/>
        <v/>
      </c>
      <c r="F915" s="3" t="str">
        <f>IF(E915="", "", VLOOKUP(B915, 'S14 ABC Output'!$A$3:$C$18, 3, 0))</f>
        <v/>
      </c>
      <c r="I915" s="392" t="str">
        <f t="shared" si="51"/>
        <v>WS-20</v>
      </c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</row>
    <row r="916" spans="1:53">
      <c r="A916" s="3">
        <v>20</v>
      </c>
      <c r="B916" s="125" t="str">
        <f>IFERROR(INDEX('S21 Routing Clustered'!$A$3:$A$18, A916), "")</f>
        <v/>
      </c>
      <c r="C916" s="3">
        <v>220</v>
      </c>
      <c r="D916" s="391" t="str">
        <f>IFERROR(HLOOKUP(C916, 'S21 Routing Clustered'!$B$2:$I$18, A916+1, 0), "")</f>
        <v/>
      </c>
      <c r="E916" s="391" t="str">
        <f t="shared" si="52"/>
        <v/>
      </c>
      <c r="F916" s="3" t="str">
        <f>IF(E916="", "", VLOOKUP(B916, 'S14 ABC Output'!$A$3:$C$18, 3, 0))</f>
        <v/>
      </c>
      <c r="I916" s="392" t="str">
        <f t="shared" si="51"/>
        <v>WS-21</v>
      </c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</row>
    <row r="917" spans="1:53">
      <c r="A917" s="3">
        <v>20</v>
      </c>
      <c r="B917" s="125" t="str">
        <f>IFERROR(INDEX('S21 Routing Clustered'!$A$3:$A$18, A917), "")</f>
        <v/>
      </c>
      <c r="C917" s="3">
        <v>230</v>
      </c>
      <c r="D917" s="391" t="str">
        <f>IFERROR(HLOOKUP(C917, 'S21 Routing Clustered'!$B$2:$I$18, A917+1, 0), "")</f>
        <v/>
      </c>
      <c r="E917" s="391" t="str">
        <f t="shared" si="52"/>
        <v/>
      </c>
      <c r="F917" s="3" t="str">
        <f>IF(E917="", "", VLOOKUP(B917, 'S14 ABC Output'!$A$3:$C$18, 3, 0))</f>
        <v/>
      </c>
      <c r="I917" s="392" t="str">
        <f t="shared" si="51"/>
        <v>WS-22</v>
      </c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</row>
    <row r="918" spans="1:53">
      <c r="A918" s="3">
        <v>20</v>
      </c>
      <c r="B918" s="125" t="str">
        <f>IFERROR(INDEX('S21 Routing Clustered'!$A$3:$A$18, A918), "")</f>
        <v/>
      </c>
      <c r="C918" s="3">
        <v>240</v>
      </c>
      <c r="D918" s="391" t="str">
        <f>IFERROR(HLOOKUP(C918, 'S21 Routing Clustered'!$B$2:$I$18, A918+1, 0), "")</f>
        <v/>
      </c>
      <c r="E918" s="391" t="str">
        <f t="shared" si="52"/>
        <v/>
      </c>
      <c r="F918" s="3" t="str">
        <f>IF(E918="", "", VLOOKUP(B918, 'S14 ABC Output'!$A$3:$C$18, 3, 0))</f>
        <v/>
      </c>
      <c r="I918" s="392" t="str">
        <f t="shared" si="51"/>
        <v>WS-23</v>
      </c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</row>
    <row r="919" spans="1:53">
      <c r="A919" s="3">
        <v>20</v>
      </c>
      <c r="B919" s="125" t="str">
        <f>IFERROR(INDEX('S21 Routing Clustered'!$A$3:$A$18, A919), "")</f>
        <v/>
      </c>
      <c r="C919" s="3">
        <v>250</v>
      </c>
      <c r="D919" s="391" t="str">
        <f>IFERROR(HLOOKUP(C919, 'S21 Routing Clustered'!$B$2:$I$18, A919+1, 0), "")</f>
        <v/>
      </c>
      <c r="E919" s="391" t="str">
        <f t="shared" si="52"/>
        <v/>
      </c>
      <c r="F919" s="3" t="str">
        <f>IF(E919="", "", VLOOKUP(B919, 'S14 ABC Output'!$A$3:$C$18, 3, 0))</f>
        <v/>
      </c>
      <c r="I919" s="392" t="str">
        <f t="shared" si="51"/>
        <v>WS-24</v>
      </c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</row>
    <row r="920" spans="1:53">
      <c r="A920" s="3">
        <v>20</v>
      </c>
      <c r="B920" s="125" t="str">
        <f>IFERROR(INDEX('S21 Routing Clustered'!$A$3:$A$18, A920), "")</f>
        <v/>
      </c>
      <c r="C920" s="3">
        <v>260</v>
      </c>
      <c r="D920" s="391" t="str">
        <f>IFERROR(HLOOKUP(C920, 'S21 Routing Clustered'!$B$2:$I$18, A920+1, 0), "")</f>
        <v/>
      </c>
      <c r="E920" s="391" t="str">
        <f t="shared" si="52"/>
        <v/>
      </c>
      <c r="F920" s="3" t="str">
        <f>IF(E920="", "", VLOOKUP(B920, 'S14 ABC Output'!$A$3:$C$18, 3, 0))</f>
        <v/>
      </c>
      <c r="I920" s="392" t="str">
        <f t="shared" si="51"/>
        <v>WS-25</v>
      </c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</row>
    <row r="921" spans="1:53">
      <c r="A921" s="3">
        <v>20</v>
      </c>
      <c r="B921" s="125" t="str">
        <f>IFERROR(INDEX('S21 Routing Clustered'!$A$3:$A$18, A921), "")</f>
        <v/>
      </c>
      <c r="C921" s="3">
        <v>270</v>
      </c>
      <c r="D921" s="391" t="str">
        <f>IFERROR(HLOOKUP(C921, 'S21 Routing Clustered'!$B$2:$I$18, A921+1, 0), "")</f>
        <v/>
      </c>
      <c r="E921" s="391" t="str">
        <f t="shared" si="52"/>
        <v/>
      </c>
      <c r="F921" s="3" t="str">
        <f>IF(E921="", "", VLOOKUP(B921, 'S14 ABC Output'!$A$3:$C$18, 3, 0))</f>
        <v/>
      </c>
      <c r="I921" s="392" t="str">
        <f t="shared" si="51"/>
        <v>WS-26</v>
      </c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</row>
    <row r="922" spans="1:53">
      <c r="A922" s="3">
        <v>20</v>
      </c>
      <c r="B922" s="125" t="str">
        <f>IFERROR(INDEX('S21 Routing Clustered'!$A$3:$A$18, A922), "")</f>
        <v/>
      </c>
      <c r="C922" s="3">
        <v>280</v>
      </c>
      <c r="D922" s="391" t="str">
        <f>IFERROR(HLOOKUP(C922, 'S21 Routing Clustered'!$B$2:$I$18, A922+1, 0), "")</f>
        <v/>
      </c>
      <c r="E922" s="391" t="str">
        <f t="shared" si="52"/>
        <v/>
      </c>
      <c r="F922" s="3" t="str">
        <f>IF(E922="", "", VLOOKUP(B922, 'S14 ABC Output'!$A$3:$C$18, 3, 0))</f>
        <v/>
      </c>
      <c r="I922" s="392" t="str">
        <f t="shared" si="51"/>
        <v>WS-27</v>
      </c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</row>
    <row r="923" spans="1:53">
      <c r="A923" s="3">
        <v>20</v>
      </c>
      <c r="B923" s="125" t="str">
        <f>IFERROR(INDEX('S21 Routing Clustered'!$A$3:$A$18, A923), "")</f>
        <v/>
      </c>
      <c r="C923" s="3">
        <v>290</v>
      </c>
      <c r="D923" s="391" t="str">
        <f>IFERROR(HLOOKUP(C923, 'S21 Routing Clustered'!$B$2:$I$18, A923+1, 0), "")</f>
        <v/>
      </c>
      <c r="E923" s="391" t="str">
        <f t="shared" si="52"/>
        <v/>
      </c>
      <c r="F923" s="3" t="str">
        <f>IF(E923="", "", VLOOKUP(B923, 'S14 ABC Output'!$A$3:$C$18, 3, 0))</f>
        <v/>
      </c>
      <c r="I923" s="392" t="str">
        <f t="shared" si="51"/>
        <v>WS-28</v>
      </c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</row>
    <row r="924" spans="1:53">
      <c r="A924" s="3">
        <v>20</v>
      </c>
      <c r="B924" s="125" t="str">
        <f>IFERROR(INDEX('S21 Routing Clustered'!$A$3:$A$18, A924), "")</f>
        <v/>
      </c>
      <c r="C924" s="3">
        <v>300</v>
      </c>
      <c r="D924" s="391" t="str">
        <f>IFERROR(HLOOKUP(C924, 'S21 Routing Clustered'!$B$2:$I$18, A924+1, 0), "")</f>
        <v/>
      </c>
      <c r="E924" s="391" t="str">
        <f t="shared" si="52"/>
        <v/>
      </c>
      <c r="F924" s="3" t="str">
        <f>IF(E924="", "", VLOOKUP(B924, 'S14 ABC Output'!$A$3:$C$18, 3, 0))</f>
        <v/>
      </c>
      <c r="I924" s="392" t="str">
        <f t="shared" si="51"/>
        <v>WS-29</v>
      </c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</row>
    <row r="925" spans="1:53">
      <c r="A925" s="3">
        <v>20</v>
      </c>
      <c r="B925" s="125" t="str">
        <f>IFERROR(INDEX('S21 Routing Clustered'!$A$3:$A$18, A925), "")</f>
        <v/>
      </c>
      <c r="C925" s="3">
        <v>310</v>
      </c>
      <c r="D925" s="391" t="str">
        <f>IFERROR(HLOOKUP(C925, 'S21 Routing Clustered'!$B$2:$I$18, A925+1, 0), "")</f>
        <v/>
      </c>
      <c r="E925" s="391" t="str">
        <f t="shared" si="52"/>
        <v/>
      </c>
      <c r="F925" s="3" t="str">
        <f>IF(E925="", "", VLOOKUP(B925, 'S14 ABC Output'!$A$3:$C$18, 3, 0))</f>
        <v/>
      </c>
      <c r="I925" s="392" t="str">
        <f t="shared" si="51"/>
        <v>WS-30</v>
      </c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</row>
    <row r="926" spans="1:53">
      <c r="A926" s="3">
        <v>20</v>
      </c>
      <c r="B926" s="125" t="str">
        <f>IFERROR(INDEX('S21 Routing Clustered'!$A$3:$A$18, A926), "")</f>
        <v/>
      </c>
      <c r="C926" s="3">
        <v>320</v>
      </c>
      <c r="D926" s="391" t="str">
        <f>IFERROR(HLOOKUP(C926, 'S21 Routing Clustered'!$B$2:$I$18, A926+1, 0), "")</f>
        <v/>
      </c>
      <c r="E926" s="391" t="str">
        <f t="shared" si="52"/>
        <v/>
      </c>
      <c r="F926" s="3" t="str">
        <f>IF(E926="", "", VLOOKUP(B926, 'S14 ABC Output'!$A$3:$C$18, 3, 0))</f>
        <v/>
      </c>
      <c r="I926" s="392" t="str">
        <f t="shared" si="51"/>
        <v>WS-31</v>
      </c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</row>
    <row r="927" spans="1:53">
      <c r="A927" s="3">
        <v>20</v>
      </c>
      <c r="B927" s="125" t="str">
        <f>IFERROR(INDEX('S21 Routing Clustered'!$A$3:$A$18, A927), "")</f>
        <v/>
      </c>
      <c r="C927" s="3">
        <v>330</v>
      </c>
      <c r="D927" s="391" t="str">
        <f>IFERROR(HLOOKUP(C927, 'S21 Routing Clustered'!$B$2:$I$18, A927+1, 0), "")</f>
        <v/>
      </c>
      <c r="E927" s="391" t="str">
        <f t="shared" si="52"/>
        <v/>
      </c>
      <c r="F927" s="3" t="str">
        <f>IF(E927="", "", VLOOKUP(B927, 'S14 ABC Output'!$A$3:$C$18, 3, 0))</f>
        <v/>
      </c>
      <c r="I927" s="392" t="str">
        <f t="shared" si="51"/>
        <v>WS-32</v>
      </c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</row>
    <row r="928" spans="1:53">
      <c r="A928" s="3">
        <v>20</v>
      </c>
      <c r="B928" s="125" t="str">
        <f>IFERROR(INDEX('S21 Routing Clustered'!$A$3:$A$18, A928), "")</f>
        <v/>
      </c>
      <c r="C928" s="3">
        <v>340</v>
      </c>
      <c r="D928" s="391" t="str">
        <f>IFERROR(HLOOKUP(C928, 'S21 Routing Clustered'!$B$2:$I$18, A928+1, 0), "")</f>
        <v/>
      </c>
      <c r="E928" s="391" t="str">
        <f t="shared" si="52"/>
        <v/>
      </c>
      <c r="F928" s="3" t="str">
        <f>IF(E928="", "", VLOOKUP(B928, 'S14 ABC Output'!$A$3:$C$18, 3, 0))</f>
        <v/>
      </c>
      <c r="I928" s="392" t="str">
        <f t="shared" si="51"/>
        <v>WS-33</v>
      </c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</row>
    <row r="929" spans="1:53">
      <c r="A929" s="3">
        <v>20</v>
      </c>
      <c r="B929" s="125" t="str">
        <f>IFERROR(INDEX('S21 Routing Clustered'!$A$3:$A$18, A929), "")</f>
        <v/>
      </c>
      <c r="C929" s="3">
        <v>350</v>
      </c>
      <c r="D929" s="391" t="str">
        <f>IFERROR(HLOOKUP(C929, 'S21 Routing Clustered'!$B$2:$I$18, A929+1, 0), "")</f>
        <v/>
      </c>
      <c r="E929" s="391" t="str">
        <f t="shared" si="52"/>
        <v/>
      </c>
      <c r="F929" s="3" t="str">
        <f>IF(E929="", "", VLOOKUP(B929, 'S14 ABC Output'!$A$3:$C$18, 3, 0))</f>
        <v/>
      </c>
      <c r="I929" s="392" t="str">
        <f t="shared" si="51"/>
        <v>WS-34</v>
      </c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</row>
    <row r="930" spans="1:53">
      <c r="A930" s="3">
        <v>20</v>
      </c>
      <c r="B930" s="125" t="str">
        <f>IFERROR(INDEX('S21 Routing Clustered'!$A$3:$A$18, A930), "")</f>
        <v/>
      </c>
      <c r="C930" s="3">
        <v>360</v>
      </c>
      <c r="D930" s="391" t="str">
        <f>IFERROR(HLOOKUP(C930, 'S21 Routing Clustered'!$B$2:$I$18, A930+1, 0), "")</f>
        <v/>
      </c>
      <c r="E930" s="391" t="str">
        <f t="shared" si="52"/>
        <v/>
      </c>
      <c r="F930" s="3" t="str">
        <f>IF(E930="", "", VLOOKUP(B930, 'S14 ABC Output'!$A$3:$C$18, 3, 0))</f>
        <v/>
      </c>
      <c r="I930" s="392" t="str">
        <f t="shared" si="51"/>
        <v>WS-35</v>
      </c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</row>
    <row r="931" spans="1:53">
      <c r="A931" s="3">
        <v>20</v>
      </c>
      <c r="B931" s="125" t="str">
        <f>IFERROR(INDEX('S21 Routing Clustered'!$A$3:$A$18, A931), "")</f>
        <v/>
      </c>
      <c r="C931" s="3">
        <v>370</v>
      </c>
      <c r="D931" s="391" t="str">
        <f>IFERROR(HLOOKUP(C931, 'S21 Routing Clustered'!$B$2:$I$18, A931+1, 0), "")</f>
        <v/>
      </c>
      <c r="E931" s="391" t="str">
        <f t="shared" si="52"/>
        <v/>
      </c>
      <c r="F931" s="3" t="str">
        <f>IF(E931="", "", VLOOKUP(B931, 'S14 ABC Output'!$A$3:$C$18, 3, 0))</f>
        <v/>
      </c>
      <c r="I931" s="392" t="str">
        <f t="shared" si="51"/>
        <v>WS-36</v>
      </c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</row>
    <row r="932" spans="1:53">
      <c r="A932" s="3">
        <v>20</v>
      </c>
      <c r="B932" s="125" t="str">
        <f>IFERROR(INDEX('S21 Routing Clustered'!$A$3:$A$18, A932), "")</f>
        <v/>
      </c>
      <c r="C932" s="3">
        <v>380</v>
      </c>
      <c r="D932" s="391" t="str">
        <f>IFERROR(HLOOKUP(C932, 'S21 Routing Clustered'!$B$2:$I$18, A932+1, 0), "")</f>
        <v/>
      </c>
      <c r="E932" s="391" t="str">
        <f t="shared" si="52"/>
        <v/>
      </c>
      <c r="F932" s="3" t="str">
        <f>IF(E932="", "", VLOOKUP(B932, 'S14 ABC Output'!$A$3:$C$18, 3, 0))</f>
        <v/>
      </c>
      <c r="I932" s="392" t="str">
        <f t="shared" si="51"/>
        <v>WS-37</v>
      </c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</row>
    <row r="933" spans="1:53">
      <c r="A933" s="3">
        <v>20</v>
      </c>
      <c r="B933" s="125" t="str">
        <f>IFERROR(INDEX('S21 Routing Clustered'!$A$3:$A$18, A933), "")</f>
        <v/>
      </c>
      <c r="C933" s="3">
        <v>390</v>
      </c>
      <c r="D933" s="391" t="str">
        <f>IFERROR(HLOOKUP(C933, 'S21 Routing Clustered'!$B$2:$I$18, A933+1, 0), "")</f>
        <v/>
      </c>
      <c r="E933" s="391" t="str">
        <f t="shared" si="52"/>
        <v/>
      </c>
      <c r="F933" s="3" t="str">
        <f>IF(E933="", "", VLOOKUP(B933, 'S14 ABC Output'!$A$3:$C$18, 3, 0))</f>
        <v/>
      </c>
      <c r="I933" s="392" t="str">
        <f t="shared" si="51"/>
        <v>WS-38</v>
      </c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</row>
    <row r="934" spans="1:53">
      <c r="A934" s="3">
        <v>20</v>
      </c>
      <c r="B934" s="125" t="str">
        <f>IFERROR(INDEX('S21 Routing Clustered'!$A$3:$A$18, A934), "")</f>
        <v/>
      </c>
      <c r="C934" s="3">
        <v>400</v>
      </c>
      <c r="D934" s="391" t="str">
        <f>IFERROR(HLOOKUP(C934, 'S21 Routing Clustered'!$B$2:$I$18, A934+1, 0), "")</f>
        <v/>
      </c>
      <c r="E934" s="391" t="str">
        <f t="shared" si="52"/>
        <v/>
      </c>
      <c r="F934" s="3" t="str">
        <f>IF(E934="", "", VLOOKUP(B934, 'S14 ABC Output'!$A$3:$C$18, 3, 0))</f>
        <v/>
      </c>
      <c r="I934" s="392" t="str">
        <f t="shared" si="51"/>
        <v>WS-39</v>
      </c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</row>
    <row r="935" spans="1:53">
      <c r="A935" s="3">
        <v>20</v>
      </c>
      <c r="B935" s="125" t="str">
        <f>IFERROR(INDEX('S21 Routing Clustered'!$A$3:$A$18, A935), "")</f>
        <v/>
      </c>
      <c r="C935" s="3">
        <v>410</v>
      </c>
      <c r="D935" s="391" t="str">
        <f>IFERROR(HLOOKUP(C935, 'S21 Routing Clustered'!$B$2:$I$18, A935+1, 0), "")</f>
        <v/>
      </c>
      <c r="E935" s="391" t="str">
        <f t="shared" si="52"/>
        <v/>
      </c>
      <c r="F935" s="3" t="str">
        <f>IF(E935="", "", VLOOKUP(B935, 'S14 ABC Output'!$A$3:$C$18, 3, 0))</f>
        <v/>
      </c>
      <c r="I935" s="392" t="str">
        <f t="shared" si="51"/>
        <v>WS-40</v>
      </c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</row>
    <row r="936" spans="1:53">
      <c r="A936" s="3">
        <v>20</v>
      </c>
      <c r="B936" s="125" t="str">
        <f>IFERROR(INDEX('S21 Routing Clustered'!$A$3:$A$18, A936), "")</f>
        <v/>
      </c>
      <c r="C936" s="3">
        <v>420</v>
      </c>
      <c r="D936" s="391" t="str">
        <f>IFERROR(HLOOKUP(C936, 'S21 Routing Clustered'!$B$2:$I$18, A936+1, 0), "")</f>
        <v/>
      </c>
      <c r="E936" s="391" t="str">
        <f t="shared" si="52"/>
        <v/>
      </c>
      <c r="F936" s="3" t="str">
        <f>IF(E936="", "", VLOOKUP(B936, 'S14 ABC Output'!$A$3:$C$18, 3, 0))</f>
        <v/>
      </c>
      <c r="I936" s="392" t="str">
        <f t="shared" si="51"/>
        <v>WS-41</v>
      </c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</row>
    <row r="937" spans="1:53">
      <c r="A937" s="3">
        <v>20</v>
      </c>
      <c r="B937" s="125" t="str">
        <f>IFERROR(INDEX('S21 Routing Clustered'!$A$3:$A$18, A937), "")</f>
        <v/>
      </c>
      <c r="C937" s="3">
        <v>430</v>
      </c>
      <c r="D937" s="391" t="str">
        <f>IFERROR(HLOOKUP(C937, 'S21 Routing Clustered'!$B$2:$I$18, A937+1, 0), "")</f>
        <v/>
      </c>
      <c r="E937" s="391" t="str">
        <f t="shared" si="52"/>
        <v/>
      </c>
      <c r="F937" s="3" t="str">
        <f>IF(E937="", "", VLOOKUP(B937, 'S14 ABC Output'!$A$3:$C$18, 3, 0))</f>
        <v/>
      </c>
      <c r="I937" s="392" t="str">
        <f t="shared" si="51"/>
        <v>WS-42</v>
      </c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</row>
    <row r="938" spans="1:53">
      <c r="A938" s="3">
        <v>20</v>
      </c>
      <c r="B938" s="125" t="str">
        <f>IFERROR(INDEX('S21 Routing Clustered'!$A$3:$A$18, A938), "")</f>
        <v/>
      </c>
      <c r="C938" s="3">
        <v>440</v>
      </c>
      <c r="D938" s="391" t="str">
        <f>IFERROR(HLOOKUP(C938, 'S21 Routing Clustered'!$B$2:$I$18, A938+1, 0), "")</f>
        <v/>
      </c>
      <c r="E938" s="391" t="str">
        <f t="shared" si="52"/>
        <v/>
      </c>
      <c r="F938" s="3" t="str">
        <f>IF(E938="", "", VLOOKUP(B938, 'S14 ABC Output'!$A$3:$C$18, 3, 0))</f>
        <v/>
      </c>
      <c r="I938" s="392" t="str">
        <f t="shared" si="51"/>
        <v>WS-43</v>
      </c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</row>
    <row r="939" spans="1:53">
      <c r="A939" s="3">
        <v>20</v>
      </c>
      <c r="B939" s="125" t="str">
        <f>IFERROR(INDEX('S21 Routing Clustered'!$A$3:$A$18, A939), "")</f>
        <v/>
      </c>
      <c r="C939" s="3">
        <v>450</v>
      </c>
      <c r="D939" s="391" t="str">
        <f>IFERROR(HLOOKUP(C939, 'S21 Routing Clustered'!$B$2:$I$18, A939+1, 0), "")</f>
        <v/>
      </c>
      <c r="E939" s="391" t="str">
        <f t="shared" si="52"/>
        <v/>
      </c>
      <c r="F939" s="3" t="str">
        <f>IF(E939="", "", VLOOKUP(B939, 'S14 ABC Output'!$A$3:$C$18, 3, 0))</f>
        <v/>
      </c>
      <c r="I939" s="392" t="str">
        <f t="shared" si="51"/>
        <v>WS-44</v>
      </c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</row>
    <row r="953" spans="9:53">
      <c r="I953" t="s">
        <v>1218</v>
      </c>
    </row>
    <row r="954" spans="9:53">
      <c r="I954" s="392"/>
      <c r="J954" s="392" t="str">
        <f>J707</f>
        <v>WS-01</v>
      </c>
      <c r="K954" s="392" t="str">
        <f t="shared" ref="K954:BA954" si="53">K707</f>
        <v>WS-02</v>
      </c>
      <c r="L954" s="392" t="str">
        <f t="shared" si="53"/>
        <v>WS-03</v>
      </c>
      <c r="M954" s="392" t="str">
        <f t="shared" si="53"/>
        <v>WS-04</v>
      </c>
      <c r="N954" s="392" t="str">
        <f t="shared" si="53"/>
        <v>WS-05</v>
      </c>
      <c r="O954" s="392" t="str">
        <f t="shared" si="53"/>
        <v>WS-06</v>
      </c>
      <c r="P954" s="392" t="str">
        <f t="shared" si="53"/>
        <v>WS-07</v>
      </c>
      <c r="Q954" s="392" t="str">
        <f t="shared" si="53"/>
        <v>WS-08</v>
      </c>
      <c r="R954" s="392" t="str">
        <f t="shared" si="53"/>
        <v>WS-09</v>
      </c>
      <c r="S954" s="392" t="str">
        <f t="shared" si="53"/>
        <v>WS-10</v>
      </c>
      <c r="T954" s="392" t="str">
        <f t="shared" si="53"/>
        <v>WS-11</v>
      </c>
      <c r="U954" s="392" t="str">
        <f t="shared" si="53"/>
        <v>WS-12</v>
      </c>
      <c r="V954" s="392" t="str">
        <f t="shared" si="53"/>
        <v>WS-13</v>
      </c>
      <c r="W954" s="392" t="str">
        <f t="shared" si="53"/>
        <v>WS-14</v>
      </c>
      <c r="X954" s="392" t="str">
        <f t="shared" si="53"/>
        <v>WS-15</v>
      </c>
      <c r="Y954" s="392" t="str">
        <f t="shared" si="53"/>
        <v>WS-16</v>
      </c>
      <c r="Z954" s="392" t="str">
        <f t="shared" si="53"/>
        <v>WS-17</v>
      </c>
      <c r="AA954" s="392" t="str">
        <f t="shared" si="53"/>
        <v>WS-18</v>
      </c>
      <c r="AB954" s="392" t="str">
        <f t="shared" si="53"/>
        <v>WS-19</v>
      </c>
      <c r="AC954" s="392" t="str">
        <f t="shared" si="53"/>
        <v>WS-20</v>
      </c>
      <c r="AD954" s="392" t="str">
        <f t="shared" si="53"/>
        <v>WS-21</v>
      </c>
      <c r="AE954" s="392" t="str">
        <f t="shared" si="53"/>
        <v>WS-22</v>
      </c>
      <c r="AF954" s="392" t="str">
        <f t="shared" si="53"/>
        <v>WS-23</v>
      </c>
      <c r="AG954" s="392" t="str">
        <f t="shared" si="53"/>
        <v>WS-24</v>
      </c>
      <c r="AH954" s="392" t="str">
        <f t="shared" si="53"/>
        <v>WS-25</v>
      </c>
      <c r="AI954" s="392" t="str">
        <f t="shared" si="53"/>
        <v>WS-26</v>
      </c>
      <c r="AJ954" s="392" t="str">
        <f t="shared" si="53"/>
        <v>WS-27</v>
      </c>
      <c r="AK954" s="392" t="str">
        <f t="shared" si="53"/>
        <v>WS-28</v>
      </c>
      <c r="AL954" s="392" t="str">
        <f t="shared" si="53"/>
        <v>WS-29</v>
      </c>
      <c r="AM954" s="392" t="str">
        <f t="shared" si="53"/>
        <v>WS-30</v>
      </c>
      <c r="AN954" s="392" t="str">
        <f t="shared" si="53"/>
        <v>WS-31</v>
      </c>
      <c r="AO954" s="392" t="str">
        <f t="shared" si="53"/>
        <v>WS-32</v>
      </c>
      <c r="AP954" s="392" t="str">
        <f t="shared" si="53"/>
        <v>WS-33</v>
      </c>
      <c r="AQ954" s="392" t="str">
        <f t="shared" si="53"/>
        <v>WS-34</v>
      </c>
      <c r="AR954" s="392" t="str">
        <f t="shared" si="53"/>
        <v>WS-35</v>
      </c>
      <c r="AS954" s="392" t="str">
        <f t="shared" si="53"/>
        <v>WS-36</v>
      </c>
      <c r="AT954" s="392" t="str">
        <f t="shared" si="53"/>
        <v>WS-37</v>
      </c>
      <c r="AU954" s="392" t="str">
        <f t="shared" si="53"/>
        <v>WS-38</v>
      </c>
      <c r="AV954" s="392" t="str">
        <f t="shared" si="53"/>
        <v>WS-39</v>
      </c>
      <c r="AW954" s="392" t="str">
        <f t="shared" si="53"/>
        <v>WS-40</v>
      </c>
      <c r="AX954" s="392" t="str">
        <f t="shared" si="53"/>
        <v>WS-41</v>
      </c>
      <c r="AY954" s="392" t="str">
        <f t="shared" si="53"/>
        <v>WS-42</v>
      </c>
      <c r="AZ954" s="392" t="str">
        <f t="shared" si="53"/>
        <v>WS-43</v>
      </c>
      <c r="BA954" s="392" t="str">
        <f t="shared" si="53"/>
        <v>WS-44</v>
      </c>
    </row>
    <row r="955" spans="9:53">
      <c r="I955" s="392" t="str">
        <f>I708</f>
        <v>WS-01</v>
      </c>
      <c r="J955" s="3">
        <f t="shared" ref="J955:BA955" si="54">J3+J50+J97+J144+J191+J238+J285+J332+J379+J426+J473+J520+J567+J614+J661+J708</f>
        <v>0</v>
      </c>
      <c r="K955" s="3">
        <f t="shared" si="54"/>
        <v>0</v>
      </c>
      <c r="L955" s="3">
        <f t="shared" si="54"/>
        <v>0</v>
      </c>
      <c r="M955" s="3">
        <f t="shared" si="54"/>
        <v>0</v>
      </c>
      <c r="N955" s="3">
        <f t="shared" si="54"/>
        <v>0</v>
      </c>
      <c r="O955" s="3">
        <f t="shared" si="54"/>
        <v>0</v>
      </c>
      <c r="P955" s="3">
        <f t="shared" si="54"/>
        <v>0</v>
      </c>
      <c r="Q955" s="3">
        <f t="shared" si="54"/>
        <v>0</v>
      </c>
      <c r="R955" s="3">
        <f t="shared" si="54"/>
        <v>0</v>
      </c>
      <c r="S955" s="3">
        <f t="shared" si="54"/>
        <v>0</v>
      </c>
      <c r="T955" s="3">
        <f t="shared" si="54"/>
        <v>0</v>
      </c>
      <c r="U955" s="3">
        <f t="shared" si="54"/>
        <v>0</v>
      </c>
      <c r="V955" s="3">
        <f t="shared" si="54"/>
        <v>0</v>
      </c>
      <c r="W955" s="3">
        <f t="shared" si="54"/>
        <v>0</v>
      </c>
      <c r="X955" s="3">
        <f t="shared" si="54"/>
        <v>0</v>
      </c>
      <c r="Y955" s="3">
        <f t="shared" si="54"/>
        <v>0</v>
      </c>
      <c r="Z955" s="3">
        <f t="shared" si="54"/>
        <v>0</v>
      </c>
      <c r="AA955" s="3">
        <f t="shared" si="54"/>
        <v>0</v>
      </c>
      <c r="AB955" s="3">
        <f t="shared" si="54"/>
        <v>0</v>
      </c>
      <c r="AC955" s="3">
        <f t="shared" si="54"/>
        <v>0</v>
      </c>
      <c r="AD955" s="3">
        <f t="shared" si="54"/>
        <v>0</v>
      </c>
      <c r="AE955" s="3">
        <f t="shared" si="54"/>
        <v>0</v>
      </c>
      <c r="AF955" s="3">
        <f t="shared" si="54"/>
        <v>0</v>
      </c>
      <c r="AG955" s="3">
        <f t="shared" si="54"/>
        <v>0</v>
      </c>
      <c r="AH955" s="3">
        <f t="shared" si="54"/>
        <v>0</v>
      </c>
      <c r="AI955" s="3">
        <f t="shared" si="54"/>
        <v>0</v>
      </c>
      <c r="AJ955" s="3">
        <f t="shared" si="54"/>
        <v>0</v>
      </c>
      <c r="AK955" s="3">
        <f t="shared" si="54"/>
        <v>0</v>
      </c>
      <c r="AL955" s="3">
        <f t="shared" si="54"/>
        <v>0</v>
      </c>
      <c r="AM955" s="3">
        <f t="shared" si="54"/>
        <v>0</v>
      </c>
      <c r="AN955" s="3">
        <f t="shared" si="54"/>
        <v>0</v>
      </c>
      <c r="AO955" s="3">
        <f t="shared" si="54"/>
        <v>0</v>
      </c>
      <c r="AP955" s="3">
        <f t="shared" si="54"/>
        <v>0</v>
      </c>
      <c r="AQ955" s="3">
        <f t="shared" si="54"/>
        <v>0</v>
      </c>
      <c r="AR955" s="3">
        <f t="shared" si="54"/>
        <v>0</v>
      </c>
      <c r="AS955" s="3">
        <f t="shared" si="54"/>
        <v>0</v>
      </c>
      <c r="AT955" s="3">
        <f t="shared" si="54"/>
        <v>0</v>
      </c>
      <c r="AU955" s="3">
        <f t="shared" si="54"/>
        <v>0</v>
      </c>
      <c r="AV955" s="3">
        <f t="shared" si="54"/>
        <v>0</v>
      </c>
      <c r="AW955" s="3">
        <f t="shared" si="54"/>
        <v>0</v>
      </c>
      <c r="AX955" s="3">
        <f t="shared" si="54"/>
        <v>0</v>
      </c>
      <c r="AY955" s="3">
        <f t="shared" si="54"/>
        <v>0</v>
      </c>
      <c r="AZ955" s="3">
        <f t="shared" si="54"/>
        <v>0</v>
      </c>
      <c r="BA955" s="3">
        <f t="shared" si="54"/>
        <v>0</v>
      </c>
    </row>
    <row r="956" spans="9:53">
      <c r="I956" s="392" t="str">
        <f t="shared" ref="I956:I998" si="55">I709</f>
        <v>WS-02</v>
      </c>
      <c r="J956" s="3">
        <f t="shared" ref="J956:AZ956" si="56">J4+J51+J98+J145+J192+J239+J286+J333+J380+J427+J474+J521+J568+J615+J662+J709</f>
        <v>0</v>
      </c>
      <c r="K956" s="3">
        <f t="shared" si="56"/>
        <v>0</v>
      </c>
      <c r="L956" s="3">
        <f t="shared" si="56"/>
        <v>0</v>
      </c>
      <c r="M956" s="3">
        <f t="shared" si="56"/>
        <v>0</v>
      </c>
      <c r="N956" s="3">
        <f t="shared" si="56"/>
        <v>0</v>
      </c>
      <c r="O956" s="3">
        <f t="shared" si="56"/>
        <v>0</v>
      </c>
      <c r="P956" s="3">
        <f t="shared" si="56"/>
        <v>0</v>
      </c>
      <c r="Q956" s="3">
        <f t="shared" si="56"/>
        <v>0</v>
      </c>
      <c r="R956" s="3">
        <f t="shared" si="56"/>
        <v>0</v>
      </c>
      <c r="S956" s="3">
        <f t="shared" si="56"/>
        <v>0</v>
      </c>
      <c r="T956" s="3">
        <f t="shared" si="56"/>
        <v>0</v>
      </c>
      <c r="U956" s="3">
        <f t="shared" si="56"/>
        <v>0</v>
      </c>
      <c r="V956" s="3">
        <f t="shared" si="56"/>
        <v>0</v>
      </c>
      <c r="W956" s="3">
        <f t="shared" si="56"/>
        <v>0</v>
      </c>
      <c r="X956" s="3">
        <f t="shared" si="56"/>
        <v>0</v>
      </c>
      <c r="Y956" s="3">
        <f t="shared" si="56"/>
        <v>0</v>
      </c>
      <c r="Z956" s="3">
        <f t="shared" si="56"/>
        <v>0</v>
      </c>
      <c r="AA956" s="3">
        <f t="shared" si="56"/>
        <v>301684</v>
      </c>
      <c r="AB956" s="3">
        <f t="shared" si="56"/>
        <v>0</v>
      </c>
      <c r="AC956" s="3">
        <f t="shared" si="56"/>
        <v>0</v>
      </c>
      <c r="AD956" s="3">
        <f t="shared" si="56"/>
        <v>0</v>
      </c>
      <c r="AE956" s="3">
        <f t="shared" si="56"/>
        <v>0</v>
      </c>
      <c r="AF956" s="3">
        <f t="shared" si="56"/>
        <v>0</v>
      </c>
      <c r="AG956" s="3">
        <f t="shared" si="56"/>
        <v>0</v>
      </c>
      <c r="AH956" s="3">
        <f t="shared" si="56"/>
        <v>0</v>
      </c>
      <c r="AI956" s="3">
        <f t="shared" si="56"/>
        <v>0</v>
      </c>
      <c r="AJ956" s="3">
        <f t="shared" si="56"/>
        <v>0</v>
      </c>
      <c r="AK956" s="3">
        <f t="shared" si="56"/>
        <v>0</v>
      </c>
      <c r="AL956" s="3">
        <f t="shared" si="56"/>
        <v>0</v>
      </c>
      <c r="AM956" s="3">
        <f t="shared" si="56"/>
        <v>0</v>
      </c>
      <c r="AN956" s="3">
        <f t="shared" si="56"/>
        <v>0</v>
      </c>
      <c r="AO956" s="3">
        <f t="shared" si="56"/>
        <v>0</v>
      </c>
      <c r="AP956" s="3">
        <f t="shared" si="56"/>
        <v>0</v>
      </c>
      <c r="AQ956" s="3">
        <f t="shared" si="56"/>
        <v>0</v>
      </c>
      <c r="AR956" s="3">
        <f t="shared" si="56"/>
        <v>0</v>
      </c>
      <c r="AS956" s="3">
        <f t="shared" si="56"/>
        <v>0</v>
      </c>
      <c r="AT956" s="3">
        <f t="shared" si="56"/>
        <v>0</v>
      </c>
      <c r="AU956" s="3">
        <f t="shared" si="56"/>
        <v>0</v>
      </c>
      <c r="AV956" s="3">
        <f t="shared" si="56"/>
        <v>0</v>
      </c>
      <c r="AW956" s="3">
        <f t="shared" si="56"/>
        <v>0</v>
      </c>
      <c r="AX956" s="3">
        <f t="shared" si="56"/>
        <v>0</v>
      </c>
      <c r="AY956" s="3">
        <f t="shared" si="56"/>
        <v>0</v>
      </c>
      <c r="AZ956" s="3">
        <f t="shared" si="56"/>
        <v>0</v>
      </c>
      <c r="BA956" s="3">
        <f t="shared" ref="BA956:BA998" si="57">BA4+BA51+BA98+BA145+BA192+BA239+BA286+BA333+BA380+BA427+BA474+BA521+BA568+BA615+BA662+BA709</f>
        <v>0</v>
      </c>
    </row>
    <row r="957" spans="9:53">
      <c r="I957" s="392" t="str">
        <f t="shared" si="55"/>
        <v>WS-03</v>
      </c>
      <c r="J957" s="3">
        <f t="shared" ref="J957:AZ957" si="58">J5+J52+J99+J146+J193+J240+J287+J334+J381+J428+J475+J522+J569+J616+J663+J710</f>
        <v>0</v>
      </c>
      <c r="K957" s="3">
        <f t="shared" si="58"/>
        <v>0</v>
      </c>
      <c r="L957" s="3">
        <f t="shared" si="58"/>
        <v>0</v>
      </c>
      <c r="M957" s="3">
        <f t="shared" si="58"/>
        <v>0</v>
      </c>
      <c r="N957" s="3">
        <f t="shared" si="58"/>
        <v>0</v>
      </c>
      <c r="O957" s="3">
        <f t="shared" si="58"/>
        <v>0</v>
      </c>
      <c r="P957" s="3">
        <f t="shared" si="58"/>
        <v>0</v>
      </c>
      <c r="Q957" s="3">
        <f t="shared" si="58"/>
        <v>0</v>
      </c>
      <c r="R957" s="3">
        <f t="shared" si="58"/>
        <v>0</v>
      </c>
      <c r="S957" s="3">
        <f t="shared" si="58"/>
        <v>0</v>
      </c>
      <c r="T957" s="3">
        <f t="shared" si="58"/>
        <v>0</v>
      </c>
      <c r="U957" s="3">
        <f t="shared" si="58"/>
        <v>0</v>
      </c>
      <c r="V957" s="3">
        <f t="shared" si="58"/>
        <v>0</v>
      </c>
      <c r="W957" s="3">
        <f t="shared" si="58"/>
        <v>0</v>
      </c>
      <c r="X957" s="3">
        <f t="shared" si="58"/>
        <v>0</v>
      </c>
      <c r="Y957" s="3">
        <f t="shared" si="58"/>
        <v>0</v>
      </c>
      <c r="Z957" s="3">
        <f t="shared" si="58"/>
        <v>0</v>
      </c>
      <c r="AA957" s="3">
        <f t="shared" si="58"/>
        <v>0</v>
      </c>
      <c r="AB957" s="3">
        <f t="shared" si="58"/>
        <v>0</v>
      </c>
      <c r="AC957" s="3">
        <f t="shared" si="58"/>
        <v>0</v>
      </c>
      <c r="AD957" s="3">
        <f t="shared" si="58"/>
        <v>0</v>
      </c>
      <c r="AE957" s="3">
        <f t="shared" si="58"/>
        <v>0</v>
      </c>
      <c r="AF957" s="3">
        <f t="shared" si="58"/>
        <v>141224</v>
      </c>
      <c r="AG957" s="3">
        <f t="shared" si="58"/>
        <v>0</v>
      </c>
      <c r="AH957" s="3">
        <f t="shared" si="58"/>
        <v>0</v>
      </c>
      <c r="AI957" s="3">
        <f t="shared" si="58"/>
        <v>0</v>
      </c>
      <c r="AJ957" s="3">
        <f t="shared" si="58"/>
        <v>0</v>
      </c>
      <c r="AK957" s="3">
        <f t="shared" si="58"/>
        <v>0</v>
      </c>
      <c r="AL957" s="3">
        <f t="shared" si="58"/>
        <v>0</v>
      </c>
      <c r="AM957" s="3">
        <f t="shared" si="58"/>
        <v>0</v>
      </c>
      <c r="AN957" s="3">
        <f t="shared" si="58"/>
        <v>0</v>
      </c>
      <c r="AO957" s="3">
        <f t="shared" si="58"/>
        <v>0</v>
      </c>
      <c r="AP957" s="3">
        <f t="shared" si="58"/>
        <v>0</v>
      </c>
      <c r="AQ957" s="3">
        <f t="shared" si="58"/>
        <v>0</v>
      </c>
      <c r="AR957" s="3">
        <f t="shared" si="58"/>
        <v>0</v>
      </c>
      <c r="AS957" s="3">
        <f t="shared" si="58"/>
        <v>0</v>
      </c>
      <c r="AT957" s="3">
        <f t="shared" si="58"/>
        <v>0</v>
      </c>
      <c r="AU957" s="3">
        <f t="shared" si="58"/>
        <v>0</v>
      </c>
      <c r="AV957" s="3">
        <f t="shared" si="58"/>
        <v>0</v>
      </c>
      <c r="AW957" s="3">
        <f t="shared" si="58"/>
        <v>0</v>
      </c>
      <c r="AX957" s="3">
        <f t="shared" si="58"/>
        <v>0</v>
      </c>
      <c r="AY957" s="3">
        <f t="shared" si="58"/>
        <v>0</v>
      </c>
      <c r="AZ957" s="3">
        <f t="shared" si="58"/>
        <v>0</v>
      </c>
      <c r="BA957" s="3">
        <f t="shared" si="57"/>
        <v>0</v>
      </c>
    </row>
    <row r="958" spans="9:53">
      <c r="I958" s="392" t="str">
        <f t="shared" si="55"/>
        <v>WS-04</v>
      </c>
      <c r="J958" s="3">
        <f t="shared" ref="J958:AZ958" si="59">J6+J53+J100+J147+J194+J241+J288+J335+J382+J429+J476+J523+J570+J617+J664+J711</f>
        <v>0</v>
      </c>
      <c r="K958" s="3">
        <f t="shared" si="59"/>
        <v>0</v>
      </c>
      <c r="L958" s="3">
        <f t="shared" si="59"/>
        <v>141224</v>
      </c>
      <c r="M958" s="3">
        <f t="shared" si="59"/>
        <v>0</v>
      </c>
      <c r="N958" s="3">
        <f t="shared" si="59"/>
        <v>0</v>
      </c>
      <c r="O958" s="3">
        <f t="shared" si="59"/>
        <v>0</v>
      </c>
      <c r="P958" s="3">
        <f t="shared" si="59"/>
        <v>0</v>
      </c>
      <c r="Q958" s="3">
        <f t="shared" si="59"/>
        <v>0</v>
      </c>
      <c r="R958" s="3">
        <f t="shared" si="59"/>
        <v>0</v>
      </c>
      <c r="S958" s="3">
        <f t="shared" si="59"/>
        <v>0</v>
      </c>
      <c r="T958" s="3">
        <f t="shared" si="59"/>
        <v>0</v>
      </c>
      <c r="U958" s="3">
        <f t="shared" si="59"/>
        <v>0</v>
      </c>
      <c r="V958" s="3">
        <f t="shared" si="59"/>
        <v>0</v>
      </c>
      <c r="W958" s="3">
        <f t="shared" si="59"/>
        <v>0</v>
      </c>
      <c r="X958" s="3">
        <f t="shared" si="59"/>
        <v>0</v>
      </c>
      <c r="Y958" s="3">
        <f t="shared" si="59"/>
        <v>0</v>
      </c>
      <c r="Z958" s="3">
        <f t="shared" si="59"/>
        <v>0</v>
      </c>
      <c r="AA958" s="3">
        <f t="shared" si="59"/>
        <v>0</v>
      </c>
      <c r="AB958" s="3">
        <f t="shared" si="59"/>
        <v>0</v>
      </c>
      <c r="AC958" s="3">
        <f t="shared" si="59"/>
        <v>0</v>
      </c>
      <c r="AD958" s="3">
        <f t="shared" si="59"/>
        <v>0</v>
      </c>
      <c r="AE958" s="3">
        <f t="shared" si="59"/>
        <v>0</v>
      </c>
      <c r="AF958" s="3">
        <f t="shared" si="59"/>
        <v>0</v>
      </c>
      <c r="AG958" s="3">
        <f t="shared" si="59"/>
        <v>0</v>
      </c>
      <c r="AH958" s="3">
        <f t="shared" si="59"/>
        <v>0</v>
      </c>
      <c r="AI958" s="3">
        <f t="shared" si="59"/>
        <v>0</v>
      </c>
      <c r="AJ958" s="3">
        <f t="shared" si="59"/>
        <v>0</v>
      </c>
      <c r="AK958" s="3">
        <f t="shared" si="59"/>
        <v>0</v>
      </c>
      <c r="AL958" s="3">
        <f t="shared" si="59"/>
        <v>0</v>
      </c>
      <c r="AM958" s="3">
        <f t="shared" si="59"/>
        <v>0</v>
      </c>
      <c r="AN958" s="3">
        <f t="shared" si="59"/>
        <v>0</v>
      </c>
      <c r="AO958" s="3">
        <f t="shared" si="59"/>
        <v>0</v>
      </c>
      <c r="AP958" s="3">
        <f t="shared" si="59"/>
        <v>0</v>
      </c>
      <c r="AQ958" s="3">
        <f t="shared" si="59"/>
        <v>0</v>
      </c>
      <c r="AR958" s="3">
        <f t="shared" si="59"/>
        <v>0</v>
      </c>
      <c r="AS958" s="3">
        <f t="shared" si="59"/>
        <v>0</v>
      </c>
      <c r="AT958" s="3">
        <f t="shared" si="59"/>
        <v>0</v>
      </c>
      <c r="AU958" s="3">
        <f t="shared" si="59"/>
        <v>0</v>
      </c>
      <c r="AV958" s="3">
        <f t="shared" si="59"/>
        <v>0</v>
      </c>
      <c r="AW958" s="3">
        <f t="shared" si="59"/>
        <v>0</v>
      </c>
      <c r="AX958" s="3">
        <f t="shared" si="59"/>
        <v>0</v>
      </c>
      <c r="AY958" s="3">
        <f t="shared" si="59"/>
        <v>0</v>
      </c>
      <c r="AZ958" s="3">
        <f t="shared" si="59"/>
        <v>0</v>
      </c>
      <c r="BA958" s="3">
        <f t="shared" si="57"/>
        <v>0</v>
      </c>
    </row>
    <row r="959" spans="9:53">
      <c r="I959" s="392" t="str">
        <f t="shared" si="55"/>
        <v>WS-05</v>
      </c>
      <c r="J959" s="3">
        <f t="shared" ref="J959:AZ959" si="60">J7+J54+J101+J148+J195+J242+J289+J336+J383+J430+J477+J524+J571+J618+J665+J712</f>
        <v>0</v>
      </c>
      <c r="K959" s="3">
        <f t="shared" si="60"/>
        <v>0</v>
      </c>
      <c r="L959" s="3">
        <f t="shared" si="60"/>
        <v>0</v>
      </c>
      <c r="M959" s="3">
        <f t="shared" si="60"/>
        <v>0</v>
      </c>
      <c r="N959" s="3">
        <f t="shared" si="60"/>
        <v>0</v>
      </c>
      <c r="O959" s="3">
        <f t="shared" si="60"/>
        <v>0</v>
      </c>
      <c r="P959" s="3">
        <f t="shared" si="60"/>
        <v>0</v>
      </c>
      <c r="Q959" s="3">
        <f t="shared" si="60"/>
        <v>0</v>
      </c>
      <c r="R959" s="3">
        <f t="shared" si="60"/>
        <v>0</v>
      </c>
      <c r="S959" s="3">
        <f t="shared" si="60"/>
        <v>0</v>
      </c>
      <c r="T959" s="3">
        <f t="shared" si="60"/>
        <v>0</v>
      </c>
      <c r="U959" s="3">
        <f t="shared" si="60"/>
        <v>0</v>
      </c>
      <c r="V959" s="3">
        <f t="shared" si="60"/>
        <v>0</v>
      </c>
      <c r="W959" s="3">
        <f t="shared" si="60"/>
        <v>0</v>
      </c>
      <c r="X959" s="3">
        <f t="shared" si="60"/>
        <v>0</v>
      </c>
      <c r="Y959" s="3">
        <f t="shared" si="60"/>
        <v>0</v>
      </c>
      <c r="Z959" s="3">
        <f t="shared" si="60"/>
        <v>0</v>
      </c>
      <c r="AA959" s="3">
        <f t="shared" si="60"/>
        <v>0</v>
      </c>
      <c r="AB959" s="3">
        <f t="shared" si="60"/>
        <v>0</v>
      </c>
      <c r="AC959" s="3">
        <f t="shared" si="60"/>
        <v>0</v>
      </c>
      <c r="AD959" s="3">
        <f t="shared" si="60"/>
        <v>0</v>
      </c>
      <c r="AE959" s="3">
        <f t="shared" si="60"/>
        <v>0</v>
      </c>
      <c r="AF959" s="3">
        <f t="shared" si="60"/>
        <v>0</v>
      </c>
      <c r="AG959" s="3">
        <f t="shared" si="60"/>
        <v>0</v>
      </c>
      <c r="AH959" s="3">
        <f t="shared" si="60"/>
        <v>425244</v>
      </c>
      <c r="AI959" s="3">
        <f t="shared" si="60"/>
        <v>0</v>
      </c>
      <c r="AJ959" s="3">
        <f t="shared" si="60"/>
        <v>0</v>
      </c>
      <c r="AK959" s="3">
        <f t="shared" si="60"/>
        <v>0</v>
      </c>
      <c r="AL959" s="3">
        <f t="shared" si="60"/>
        <v>0</v>
      </c>
      <c r="AM959" s="3">
        <f t="shared" si="60"/>
        <v>0</v>
      </c>
      <c r="AN959" s="3">
        <f t="shared" si="60"/>
        <v>0</v>
      </c>
      <c r="AO959" s="3">
        <f t="shared" si="60"/>
        <v>0</v>
      </c>
      <c r="AP959" s="3">
        <f t="shared" si="60"/>
        <v>0</v>
      </c>
      <c r="AQ959" s="3">
        <f t="shared" si="60"/>
        <v>0</v>
      </c>
      <c r="AR959" s="3">
        <f t="shared" si="60"/>
        <v>0</v>
      </c>
      <c r="AS959" s="3">
        <f t="shared" si="60"/>
        <v>0</v>
      </c>
      <c r="AT959" s="3">
        <f t="shared" si="60"/>
        <v>0</v>
      </c>
      <c r="AU959" s="3">
        <f t="shared" si="60"/>
        <v>0</v>
      </c>
      <c r="AV959" s="3">
        <f t="shared" si="60"/>
        <v>0</v>
      </c>
      <c r="AW959" s="3">
        <f t="shared" si="60"/>
        <v>0</v>
      </c>
      <c r="AX959" s="3">
        <f t="shared" si="60"/>
        <v>0</v>
      </c>
      <c r="AY959" s="3">
        <f t="shared" si="60"/>
        <v>0</v>
      </c>
      <c r="AZ959" s="3">
        <f t="shared" si="60"/>
        <v>0</v>
      </c>
      <c r="BA959" s="3">
        <f t="shared" si="57"/>
        <v>0</v>
      </c>
    </row>
    <row r="960" spans="9:53">
      <c r="I960" s="392" t="str">
        <f t="shared" si="55"/>
        <v>WS-06</v>
      </c>
      <c r="J960" s="3">
        <f t="shared" ref="J960:AZ960" si="61">J8+J55+J102+J149+J196+J243+J290+J337+J384+J431+J478+J525+J572+J619+J666+J713</f>
        <v>0</v>
      </c>
      <c r="K960" s="3">
        <f t="shared" si="61"/>
        <v>0</v>
      </c>
      <c r="L960" s="3">
        <f t="shared" si="61"/>
        <v>0</v>
      </c>
      <c r="M960" s="3">
        <f t="shared" si="61"/>
        <v>0</v>
      </c>
      <c r="N960" s="3">
        <f t="shared" si="61"/>
        <v>0</v>
      </c>
      <c r="O960" s="3">
        <f t="shared" si="61"/>
        <v>0</v>
      </c>
      <c r="P960" s="3">
        <f t="shared" si="61"/>
        <v>0</v>
      </c>
      <c r="Q960" s="3">
        <f t="shared" si="61"/>
        <v>0</v>
      </c>
      <c r="R960" s="3">
        <f t="shared" si="61"/>
        <v>0</v>
      </c>
      <c r="S960" s="3">
        <f t="shared" si="61"/>
        <v>0</v>
      </c>
      <c r="T960" s="3">
        <f t="shared" si="61"/>
        <v>0</v>
      </c>
      <c r="U960" s="3">
        <f t="shared" si="61"/>
        <v>0</v>
      </c>
      <c r="V960" s="3">
        <f t="shared" si="61"/>
        <v>0</v>
      </c>
      <c r="W960" s="3">
        <f t="shared" si="61"/>
        <v>0</v>
      </c>
      <c r="X960" s="3">
        <f t="shared" si="61"/>
        <v>0</v>
      </c>
      <c r="Y960" s="3">
        <f t="shared" si="61"/>
        <v>0</v>
      </c>
      <c r="Z960" s="3">
        <f t="shared" si="61"/>
        <v>0</v>
      </c>
      <c r="AA960" s="3">
        <f t="shared" si="61"/>
        <v>0</v>
      </c>
      <c r="AB960" s="3">
        <f t="shared" si="61"/>
        <v>0</v>
      </c>
      <c r="AC960" s="3">
        <f t="shared" si="61"/>
        <v>0</v>
      </c>
      <c r="AD960" s="3">
        <f t="shared" si="61"/>
        <v>0</v>
      </c>
      <c r="AE960" s="3">
        <f t="shared" si="61"/>
        <v>0</v>
      </c>
      <c r="AF960" s="3">
        <f t="shared" si="61"/>
        <v>0</v>
      </c>
      <c r="AG960" s="3">
        <f t="shared" si="61"/>
        <v>0</v>
      </c>
      <c r="AH960" s="3">
        <f t="shared" si="61"/>
        <v>0</v>
      </c>
      <c r="AI960" s="3">
        <f t="shared" si="61"/>
        <v>0</v>
      </c>
      <c r="AJ960" s="3">
        <f t="shared" si="61"/>
        <v>0</v>
      </c>
      <c r="AK960" s="3">
        <f t="shared" si="61"/>
        <v>0</v>
      </c>
      <c r="AL960" s="3">
        <f t="shared" si="61"/>
        <v>0</v>
      </c>
      <c r="AM960" s="3">
        <f t="shared" si="61"/>
        <v>0</v>
      </c>
      <c r="AN960" s="3">
        <f t="shared" si="61"/>
        <v>0</v>
      </c>
      <c r="AO960" s="3">
        <f t="shared" si="61"/>
        <v>0</v>
      </c>
      <c r="AP960" s="3">
        <f t="shared" si="61"/>
        <v>0</v>
      </c>
      <c r="AQ960" s="3">
        <f t="shared" si="61"/>
        <v>0</v>
      </c>
      <c r="AR960" s="3">
        <f t="shared" si="61"/>
        <v>0</v>
      </c>
      <c r="AS960" s="3">
        <f t="shared" si="61"/>
        <v>0</v>
      </c>
      <c r="AT960" s="3">
        <f t="shared" si="61"/>
        <v>0</v>
      </c>
      <c r="AU960" s="3">
        <f t="shared" si="61"/>
        <v>0</v>
      </c>
      <c r="AV960" s="3">
        <f t="shared" si="61"/>
        <v>0</v>
      </c>
      <c r="AW960" s="3">
        <f t="shared" si="61"/>
        <v>0</v>
      </c>
      <c r="AX960" s="3">
        <f t="shared" si="61"/>
        <v>0</v>
      </c>
      <c r="AY960" s="3">
        <f t="shared" si="61"/>
        <v>0</v>
      </c>
      <c r="AZ960" s="3">
        <f t="shared" si="61"/>
        <v>0</v>
      </c>
      <c r="BA960" s="3">
        <f t="shared" si="57"/>
        <v>0</v>
      </c>
    </row>
    <row r="961" spans="9:53">
      <c r="I961" s="392" t="str">
        <f t="shared" si="55"/>
        <v>WS-07</v>
      </c>
      <c r="J961" s="3">
        <f t="shared" ref="J961:AZ961" si="62">J9+J56+J103+J150+J197+J244+J291+J338+J385+J432+J479+J526+J573+J620+J667+J714</f>
        <v>0</v>
      </c>
      <c r="K961" s="3">
        <f t="shared" si="62"/>
        <v>0</v>
      </c>
      <c r="L961" s="3">
        <f t="shared" si="62"/>
        <v>0</v>
      </c>
      <c r="M961" s="3">
        <f t="shared" si="62"/>
        <v>0</v>
      </c>
      <c r="N961" s="3">
        <f t="shared" si="62"/>
        <v>0</v>
      </c>
      <c r="O961" s="3">
        <f t="shared" si="62"/>
        <v>0</v>
      </c>
      <c r="P961" s="3">
        <f t="shared" si="62"/>
        <v>0</v>
      </c>
      <c r="Q961" s="3">
        <f t="shared" si="62"/>
        <v>136301</v>
      </c>
      <c r="R961" s="3">
        <f t="shared" si="62"/>
        <v>0</v>
      </c>
      <c r="S961" s="3">
        <f t="shared" si="62"/>
        <v>0</v>
      </c>
      <c r="T961" s="3">
        <f t="shared" si="62"/>
        <v>0</v>
      </c>
      <c r="U961" s="3">
        <f t="shared" si="62"/>
        <v>0</v>
      </c>
      <c r="V961" s="3">
        <f t="shared" si="62"/>
        <v>0</v>
      </c>
      <c r="W961" s="3">
        <f t="shared" si="62"/>
        <v>0</v>
      </c>
      <c r="X961" s="3">
        <f t="shared" si="62"/>
        <v>0</v>
      </c>
      <c r="Y961" s="3">
        <f t="shared" si="62"/>
        <v>0</v>
      </c>
      <c r="Z961" s="3">
        <f t="shared" si="62"/>
        <v>0</v>
      </c>
      <c r="AA961" s="3">
        <f t="shared" si="62"/>
        <v>0</v>
      </c>
      <c r="AB961" s="3">
        <f t="shared" si="62"/>
        <v>0</v>
      </c>
      <c r="AC961" s="3">
        <f t="shared" si="62"/>
        <v>0</v>
      </c>
      <c r="AD961" s="3">
        <f t="shared" si="62"/>
        <v>176193</v>
      </c>
      <c r="AE961" s="3">
        <f t="shared" si="62"/>
        <v>0</v>
      </c>
      <c r="AF961" s="3">
        <f t="shared" si="62"/>
        <v>0</v>
      </c>
      <c r="AG961" s="3">
        <f t="shared" si="62"/>
        <v>0</v>
      </c>
      <c r="AH961" s="3">
        <f t="shared" si="62"/>
        <v>0</v>
      </c>
      <c r="AI961" s="3">
        <f t="shared" si="62"/>
        <v>0</v>
      </c>
      <c r="AJ961" s="3">
        <f t="shared" si="62"/>
        <v>0</v>
      </c>
      <c r="AK961" s="3">
        <f t="shared" si="62"/>
        <v>0</v>
      </c>
      <c r="AL961" s="3">
        <f t="shared" si="62"/>
        <v>0</v>
      </c>
      <c r="AM961" s="3">
        <f t="shared" si="62"/>
        <v>0</v>
      </c>
      <c r="AN961" s="3">
        <f t="shared" si="62"/>
        <v>0</v>
      </c>
      <c r="AO961" s="3">
        <f t="shared" si="62"/>
        <v>0</v>
      </c>
      <c r="AP961" s="3">
        <f t="shared" si="62"/>
        <v>0</v>
      </c>
      <c r="AQ961" s="3">
        <f t="shared" si="62"/>
        <v>0</v>
      </c>
      <c r="AR961" s="3">
        <f t="shared" si="62"/>
        <v>0</v>
      </c>
      <c r="AS961" s="3">
        <f t="shared" si="62"/>
        <v>0</v>
      </c>
      <c r="AT961" s="3">
        <f t="shared" si="62"/>
        <v>0</v>
      </c>
      <c r="AU961" s="3">
        <f t="shared" si="62"/>
        <v>0</v>
      </c>
      <c r="AV961" s="3">
        <f t="shared" si="62"/>
        <v>0</v>
      </c>
      <c r="AW961" s="3">
        <f t="shared" si="62"/>
        <v>0</v>
      </c>
      <c r="AX961" s="3">
        <f t="shared" si="62"/>
        <v>0</v>
      </c>
      <c r="AY961" s="3">
        <f t="shared" si="62"/>
        <v>0</v>
      </c>
      <c r="AZ961" s="3">
        <f t="shared" si="62"/>
        <v>0</v>
      </c>
      <c r="BA961" s="3">
        <f t="shared" si="57"/>
        <v>0</v>
      </c>
    </row>
    <row r="962" spans="9:53">
      <c r="I962" s="392" t="str">
        <f t="shared" si="55"/>
        <v>WS-08</v>
      </c>
      <c r="J962" s="3">
        <f t="shared" ref="J962:AZ962" si="63">J10+J57+J104+J151+J198+J245+J292+J339+J386+J433+J480+J527+J574+J621+J668+J715</f>
        <v>0</v>
      </c>
      <c r="K962" s="3">
        <f t="shared" si="63"/>
        <v>0</v>
      </c>
      <c r="L962" s="3">
        <f t="shared" si="63"/>
        <v>0</v>
      </c>
      <c r="M962" s="3">
        <f t="shared" si="63"/>
        <v>0</v>
      </c>
      <c r="N962" s="3">
        <f t="shared" si="63"/>
        <v>0</v>
      </c>
      <c r="O962" s="3">
        <f t="shared" si="63"/>
        <v>0</v>
      </c>
      <c r="P962" s="3">
        <f t="shared" si="63"/>
        <v>0</v>
      </c>
      <c r="Q962" s="3">
        <f t="shared" si="63"/>
        <v>0</v>
      </c>
      <c r="R962" s="3">
        <f t="shared" si="63"/>
        <v>0</v>
      </c>
      <c r="S962" s="3">
        <f t="shared" si="63"/>
        <v>0</v>
      </c>
      <c r="T962" s="3">
        <f t="shared" si="63"/>
        <v>0</v>
      </c>
      <c r="U962" s="3">
        <f t="shared" si="63"/>
        <v>0</v>
      </c>
      <c r="V962" s="3">
        <f t="shared" si="63"/>
        <v>0</v>
      </c>
      <c r="W962" s="3">
        <f t="shared" si="63"/>
        <v>0</v>
      </c>
      <c r="X962" s="3">
        <f t="shared" si="63"/>
        <v>0</v>
      </c>
      <c r="Y962" s="3">
        <f t="shared" si="63"/>
        <v>0</v>
      </c>
      <c r="Z962" s="3">
        <f t="shared" si="63"/>
        <v>0</v>
      </c>
      <c r="AA962" s="3">
        <f t="shared" si="63"/>
        <v>0</v>
      </c>
      <c r="AB962" s="3">
        <f t="shared" si="63"/>
        <v>0</v>
      </c>
      <c r="AC962" s="3">
        <f t="shared" si="63"/>
        <v>136301</v>
      </c>
      <c r="AD962" s="3">
        <f t="shared" si="63"/>
        <v>0</v>
      </c>
      <c r="AE962" s="3">
        <f t="shared" si="63"/>
        <v>0</v>
      </c>
      <c r="AF962" s="3">
        <f t="shared" si="63"/>
        <v>0</v>
      </c>
      <c r="AG962" s="3">
        <f t="shared" si="63"/>
        <v>0</v>
      </c>
      <c r="AH962" s="3">
        <f t="shared" si="63"/>
        <v>0</v>
      </c>
      <c r="AI962" s="3">
        <f t="shared" si="63"/>
        <v>0</v>
      </c>
      <c r="AJ962" s="3">
        <f t="shared" si="63"/>
        <v>0</v>
      </c>
      <c r="AK962" s="3">
        <f t="shared" si="63"/>
        <v>0</v>
      </c>
      <c r="AL962" s="3">
        <f t="shared" si="63"/>
        <v>0</v>
      </c>
      <c r="AM962" s="3">
        <f t="shared" si="63"/>
        <v>0</v>
      </c>
      <c r="AN962" s="3">
        <f t="shared" si="63"/>
        <v>0</v>
      </c>
      <c r="AO962" s="3">
        <f t="shared" si="63"/>
        <v>0</v>
      </c>
      <c r="AP962" s="3">
        <f t="shared" si="63"/>
        <v>0</v>
      </c>
      <c r="AQ962" s="3">
        <f t="shared" si="63"/>
        <v>0</v>
      </c>
      <c r="AR962" s="3">
        <f t="shared" si="63"/>
        <v>0</v>
      </c>
      <c r="AS962" s="3">
        <f t="shared" si="63"/>
        <v>0</v>
      </c>
      <c r="AT962" s="3">
        <f t="shared" si="63"/>
        <v>0</v>
      </c>
      <c r="AU962" s="3">
        <f t="shared" si="63"/>
        <v>0</v>
      </c>
      <c r="AV962" s="3">
        <f t="shared" si="63"/>
        <v>0</v>
      </c>
      <c r="AW962" s="3">
        <f t="shared" si="63"/>
        <v>0</v>
      </c>
      <c r="AX962" s="3">
        <f t="shared" si="63"/>
        <v>0</v>
      </c>
      <c r="AY962" s="3">
        <f t="shared" si="63"/>
        <v>0</v>
      </c>
      <c r="AZ962" s="3">
        <f t="shared" si="63"/>
        <v>0</v>
      </c>
      <c r="BA962" s="3">
        <f t="shared" si="57"/>
        <v>0</v>
      </c>
    </row>
    <row r="963" spans="9:53">
      <c r="I963" s="392" t="str">
        <f t="shared" si="55"/>
        <v>WS-09</v>
      </c>
      <c r="J963" s="3">
        <f t="shared" ref="J963:AZ963" si="64">J11+J58+J105+J152+J199+J246+J293+J340+J387+J434+J481+J528+J575+J622+J669+J716</f>
        <v>0</v>
      </c>
      <c r="K963" s="3">
        <f t="shared" si="64"/>
        <v>0</v>
      </c>
      <c r="L963" s="3">
        <f t="shared" si="64"/>
        <v>0</v>
      </c>
      <c r="M963" s="3">
        <f t="shared" si="64"/>
        <v>0</v>
      </c>
      <c r="N963" s="3">
        <f t="shared" si="64"/>
        <v>0</v>
      </c>
      <c r="O963" s="3">
        <f t="shared" si="64"/>
        <v>0</v>
      </c>
      <c r="P963" s="3">
        <f t="shared" si="64"/>
        <v>0</v>
      </c>
      <c r="Q963" s="3">
        <f t="shared" si="64"/>
        <v>0</v>
      </c>
      <c r="R963" s="3">
        <f t="shared" si="64"/>
        <v>0</v>
      </c>
      <c r="S963" s="3">
        <f t="shared" si="64"/>
        <v>0</v>
      </c>
      <c r="T963" s="3">
        <f t="shared" si="64"/>
        <v>0</v>
      </c>
      <c r="U963" s="3">
        <f t="shared" si="64"/>
        <v>0</v>
      </c>
      <c r="V963" s="3">
        <f t="shared" si="64"/>
        <v>0</v>
      </c>
      <c r="W963" s="3">
        <f t="shared" si="64"/>
        <v>0</v>
      </c>
      <c r="X963" s="3">
        <f t="shared" si="64"/>
        <v>0</v>
      </c>
      <c r="Y963" s="3">
        <f t="shared" si="64"/>
        <v>0</v>
      </c>
      <c r="Z963" s="3">
        <f t="shared" si="64"/>
        <v>0</v>
      </c>
      <c r="AA963" s="3">
        <f t="shared" si="64"/>
        <v>0</v>
      </c>
      <c r="AB963" s="3">
        <f t="shared" si="64"/>
        <v>0</v>
      </c>
      <c r="AC963" s="3">
        <f t="shared" si="64"/>
        <v>0</v>
      </c>
      <c r="AD963" s="3">
        <f t="shared" si="64"/>
        <v>0</v>
      </c>
      <c r="AE963" s="3">
        <f t="shared" si="64"/>
        <v>0</v>
      </c>
      <c r="AF963" s="3">
        <f t="shared" si="64"/>
        <v>0</v>
      </c>
      <c r="AG963" s="3">
        <f t="shared" si="64"/>
        <v>0</v>
      </c>
      <c r="AH963" s="3">
        <f t="shared" si="64"/>
        <v>0</v>
      </c>
      <c r="AI963" s="3">
        <f t="shared" si="64"/>
        <v>0</v>
      </c>
      <c r="AJ963" s="3">
        <f t="shared" si="64"/>
        <v>0</v>
      </c>
      <c r="AK963" s="3">
        <f t="shared" si="64"/>
        <v>0</v>
      </c>
      <c r="AL963" s="3">
        <f t="shared" si="64"/>
        <v>0</v>
      </c>
      <c r="AM963" s="3">
        <f t="shared" si="64"/>
        <v>0</v>
      </c>
      <c r="AN963" s="3">
        <f t="shared" si="64"/>
        <v>0</v>
      </c>
      <c r="AO963" s="3">
        <f t="shared" si="64"/>
        <v>0</v>
      </c>
      <c r="AP963" s="3">
        <f t="shared" si="64"/>
        <v>0</v>
      </c>
      <c r="AQ963" s="3">
        <f t="shared" si="64"/>
        <v>0</v>
      </c>
      <c r="AR963" s="3">
        <f t="shared" si="64"/>
        <v>0</v>
      </c>
      <c r="AS963" s="3">
        <f t="shared" si="64"/>
        <v>0</v>
      </c>
      <c r="AT963" s="3">
        <f t="shared" si="64"/>
        <v>0</v>
      </c>
      <c r="AU963" s="3">
        <f t="shared" si="64"/>
        <v>0</v>
      </c>
      <c r="AV963" s="3">
        <f t="shared" si="64"/>
        <v>0</v>
      </c>
      <c r="AW963" s="3">
        <f t="shared" si="64"/>
        <v>0</v>
      </c>
      <c r="AX963" s="3">
        <f t="shared" si="64"/>
        <v>0</v>
      </c>
      <c r="AY963" s="3">
        <f t="shared" si="64"/>
        <v>0</v>
      </c>
      <c r="AZ963" s="3">
        <f t="shared" si="64"/>
        <v>0</v>
      </c>
      <c r="BA963" s="3">
        <f t="shared" si="57"/>
        <v>0</v>
      </c>
    </row>
    <row r="964" spans="9:53">
      <c r="I964" s="392" t="str">
        <f t="shared" si="55"/>
        <v>WS-10</v>
      </c>
      <c r="J964" s="3">
        <f t="shared" ref="J964:AZ964" si="65">J12+J59+J106+J153+J200+J247+J294+J341+J388+J435+J482+J529+J576+J623+J670+J717</f>
        <v>0</v>
      </c>
      <c r="K964" s="3">
        <f t="shared" si="65"/>
        <v>0</v>
      </c>
      <c r="L964" s="3">
        <f t="shared" si="65"/>
        <v>0</v>
      </c>
      <c r="M964" s="3">
        <f t="shared" si="65"/>
        <v>0</v>
      </c>
      <c r="N964" s="3">
        <f t="shared" si="65"/>
        <v>0</v>
      </c>
      <c r="O964" s="3">
        <f t="shared" si="65"/>
        <v>0</v>
      </c>
      <c r="P964" s="3">
        <f t="shared" si="65"/>
        <v>0</v>
      </c>
      <c r="Q964" s="3">
        <f t="shared" si="65"/>
        <v>0</v>
      </c>
      <c r="R964" s="3">
        <f t="shared" si="65"/>
        <v>0</v>
      </c>
      <c r="S964" s="3">
        <f t="shared" si="65"/>
        <v>0</v>
      </c>
      <c r="T964" s="3">
        <f t="shared" si="65"/>
        <v>0</v>
      </c>
      <c r="U964" s="3">
        <f t="shared" si="65"/>
        <v>0</v>
      </c>
      <c r="V964" s="3">
        <f t="shared" si="65"/>
        <v>0</v>
      </c>
      <c r="W964" s="3">
        <f t="shared" si="65"/>
        <v>0</v>
      </c>
      <c r="X964" s="3">
        <f t="shared" si="65"/>
        <v>0</v>
      </c>
      <c r="Y964" s="3">
        <f t="shared" si="65"/>
        <v>0</v>
      </c>
      <c r="Z964" s="3">
        <f t="shared" si="65"/>
        <v>0</v>
      </c>
      <c r="AA964" s="3">
        <f t="shared" si="65"/>
        <v>0</v>
      </c>
      <c r="AB964" s="3">
        <f t="shared" si="65"/>
        <v>0</v>
      </c>
      <c r="AC964" s="3">
        <f t="shared" si="65"/>
        <v>0</v>
      </c>
      <c r="AD964" s="3">
        <f t="shared" si="65"/>
        <v>0</v>
      </c>
      <c r="AE964" s="3">
        <f t="shared" si="65"/>
        <v>0</v>
      </c>
      <c r="AF964" s="3">
        <f t="shared" si="65"/>
        <v>0</v>
      </c>
      <c r="AG964" s="3">
        <f t="shared" si="65"/>
        <v>0</v>
      </c>
      <c r="AH964" s="3">
        <f t="shared" si="65"/>
        <v>0</v>
      </c>
      <c r="AI964" s="3">
        <f t="shared" si="65"/>
        <v>0</v>
      </c>
      <c r="AJ964" s="3">
        <f t="shared" si="65"/>
        <v>0</v>
      </c>
      <c r="AK964" s="3">
        <f t="shared" si="65"/>
        <v>0</v>
      </c>
      <c r="AL964" s="3">
        <f t="shared" si="65"/>
        <v>0</v>
      </c>
      <c r="AM964" s="3">
        <f t="shared" si="65"/>
        <v>0</v>
      </c>
      <c r="AN964" s="3">
        <f t="shared" si="65"/>
        <v>0</v>
      </c>
      <c r="AO964" s="3">
        <f t="shared" si="65"/>
        <v>0</v>
      </c>
      <c r="AP964" s="3">
        <f t="shared" si="65"/>
        <v>0</v>
      </c>
      <c r="AQ964" s="3">
        <f t="shared" si="65"/>
        <v>0</v>
      </c>
      <c r="AR964" s="3">
        <f t="shared" si="65"/>
        <v>0</v>
      </c>
      <c r="AS964" s="3">
        <f t="shared" si="65"/>
        <v>0</v>
      </c>
      <c r="AT964" s="3">
        <f t="shared" si="65"/>
        <v>0</v>
      </c>
      <c r="AU964" s="3">
        <f t="shared" si="65"/>
        <v>0</v>
      </c>
      <c r="AV964" s="3">
        <f t="shared" si="65"/>
        <v>0</v>
      </c>
      <c r="AW964" s="3">
        <f t="shared" si="65"/>
        <v>0</v>
      </c>
      <c r="AX964" s="3">
        <f t="shared" si="65"/>
        <v>0</v>
      </c>
      <c r="AY964" s="3">
        <f t="shared" si="65"/>
        <v>0</v>
      </c>
      <c r="AZ964" s="3">
        <f t="shared" si="65"/>
        <v>0</v>
      </c>
      <c r="BA964" s="3">
        <f t="shared" si="57"/>
        <v>0</v>
      </c>
    </row>
    <row r="965" spans="9:53">
      <c r="I965" s="392" t="str">
        <f t="shared" si="55"/>
        <v>WS-11</v>
      </c>
      <c r="J965" s="3">
        <f t="shared" ref="J965:AZ965" si="66">J13+J60+J107+J154+J201+J248+J295+J342+J389+J436+J483+J530+J577+J624+J671+J718</f>
        <v>0</v>
      </c>
      <c r="K965" s="3">
        <f t="shared" si="66"/>
        <v>0</v>
      </c>
      <c r="L965" s="3">
        <f t="shared" si="66"/>
        <v>0</v>
      </c>
      <c r="M965" s="3">
        <f t="shared" si="66"/>
        <v>0</v>
      </c>
      <c r="N965" s="3">
        <f t="shared" si="66"/>
        <v>0</v>
      </c>
      <c r="O965" s="3">
        <f t="shared" si="66"/>
        <v>0</v>
      </c>
      <c r="P965" s="3">
        <f t="shared" si="66"/>
        <v>0</v>
      </c>
      <c r="Q965" s="3">
        <f t="shared" si="66"/>
        <v>0</v>
      </c>
      <c r="R965" s="3">
        <f t="shared" si="66"/>
        <v>0</v>
      </c>
      <c r="S965" s="3">
        <f t="shared" si="66"/>
        <v>0</v>
      </c>
      <c r="T965" s="3">
        <f t="shared" si="66"/>
        <v>0</v>
      </c>
      <c r="U965" s="3">
        <f t="shared" si="66"/>
        <v>0</v>
      </c>
      <c r="V965" s="3">
        <f t="shared" si="66"/>
        <v>0</v>
      </c>
      <c r="W965" s="3">
        <f t="shared" si="66"/>
        <v>0</v>
      </c>
      <c r="X965" s="3">
        <f t="shared" si="66"/>
        <v>0</v>
      </c>
      <c r="Y965" s="3">
        <f t="shared" si="66"/>
        <v>0</v>
      </c>
      <c r="Z965" s="3">
        <f t="shared" si="66"/>
        <v>0</v>
      </c>
      <c r="AA965" s="3">
        <f t="shared" si="66"/>
        <v>0</v>
      </c>
      <c r="AB965" s="3">
        <f t="shared" si="66"/>
        <v>0</v>
      </c>
      <c r="AC965" s="3">
        <f t="shared" si="66"/>
        <v>0</v>
      </c>
      <c r="AD965" s="3">
        <f t="shared" si="66"/>
        <v>0</v>
      </c>
      <c r="AE965" s="3">
        <f t="shared" si="66"/>
        <v>0</v>
      </c>
      <c r="AF965" s="3">
        <f t="shared" si="66"/>
        <v>0</v>
      </c>
      <c r="AG965" s="3">
        <f t="shared" si="66"/>
        <v>0</v>
      </c>
      <c r="AH965" s="3">
        <f t="shared" si="66"/>
        <v>0</v>
      </c>
      <c r="AI965" s="3">
        <f t="shared" si="66"/>
        <v>0</v>
      </c>
      <c r="AJ965" s="3">
        <f t="shared" si="66"/>
        <v>0</v>
      </c>
      <c r="AK965" s="3">
        <f t="shared" si="66"/>
        <v>0</v>
      </c>
      <c r="AL965" s="3">
        <f t="shared" si="66"/>
        <v>0</v>
      </c>
      <c r="AM965" s="3">
        <f t="shared" si="66"/>
        <v>0</v>
      </c>
      <c r="AN965" s="3">
        <f t="shared" si="66"/>
        <v>0</v>
      </c>
      <c r="AO965" s="3">
        <f t="shared" si="66"/>
        <v>0</v>
      </c>
      <c r="AP965" s="3">
        <f t="shared" si="66"/>
        <v>0</v>
      </c>
      <c r="AQ965" s="3">
        <f t="shared" si="66"/>
        <v>0</v>
      </c>
      <c r="AR965" s="3">
        <f t="shared" si="66"/>
        <v>0</v>
      </c>
      <c r="AS965" s="3">
        <f t="shared" si="66"/>
        <v>0</v>
      </c>
      <c r="AT965" s="3">
        <f t="shared" si="66"/>
        <v>0</v>
      </c>
      <c r="AU965" s="3">
        <f t="shared" si="66"/>
        <v>0</v>
      </c>
      <c r="AV965" s="3">
        <f t="shared" si="66"/>
        <v>0</v>
      </c>
      <c r="AW965" s="3">
        <f t="shared" si="66"/>
        <v>0</v>
      </c>
      <c r="AX965" s="3">
        <f t="shared" si="66"/>
        <v>0</v>
      </c>
      <c r="AY965" s="3">
        <f t="shared" si="66"/>
        <v>0</v>
      </c>
      <c r="AZ965" s="3">
        <f t="shared" si="66"/>
        <v>0</v>
      </c>
      <c r="BA965" s="3">
        <f t="shared" si="57"/>
        <v>0</v>
      </c>
    </row>
    <row r="966" spans="9:53">
      <c r="I966" s="392" t="str">
        <f t="shared" si="55"/>
        <v>WS-12</v>
      </c>
      <c r="J966" s="3">
        <f t="shared" ref="J966:AZ966" si="67">J14+J61+J108+J155+J202+J249+J296+J343+J390+J437+J484+J531+J578+J625+J672+J719</f>
        <v>0</v>
      </c>
      <c r="K966" s="3">
        <f t="shared" si="67"/>
        <v>0</v>
      </c>
      <c r="L966" s="3">
        <f t="shared" si="67"/>
        <v>0</v>
      </c>
      <c r="M966" s="3">
        <f t="shared" si="67"/>
        <v>0</v>
      </c>
      <c r="N966" s="3">
        <f t="shared" si="67"/>
        <v>0</v>
      </c>
      <c r="O966" s="3">
        <f t="shared" si="67"/>
        <v>0</v>
      </c>
      <c r="P966" s="3">
        <f t="shared" si="67"/>
        <v>0</v>
      </c>
      <c r="Q966" s="3">
        <f t="shared" si="67"/>
        <v>0</v>
      </c>
      <c r="R966" s="3">
        <f t="shared" si="67"/>
        <v>0</v>
      </c>
      <c r="S966" s="3">
        <f t="shared" si="67"/>
        <v>0</v>
      </c>
      <c r="T966" s="3">
        <f t="shared" si="67"/>
        <v>0</v>
      </c>
      <c r="U966" s="3">
        <f t="shared" si="67"/>
        <v>0</v>
      </c>
      <c r="V966" s="3">
        <f t="shared" si="67"/>
        <v>0</v>
      </c>
      <c r="W966" s="3">
        <f t="shared" si="67"/>
        <v>0</v>
      </c>
      <c r="X966" s="3">
        <f t="shared" si="67"/>
        <v>0</v>
      </c>
      <c r="Y966" s="3">
        <f t="shared" si="67"/>
        <v>0</v>
      </c>
      <c r="Z966" s="3">
        <f t="shared" si="67"/>
        <v>0</v>
      </c>
      <c r="AA966" s="3">
        <f t="shared" si="67"/>
        <v>0</v>
      </c>
      <c r="AB966" s="3">
        <f t="shared" si="67"/>
        <v>0</v>
      </c>
      <c r="AC966" s="3">
        <f t="shared" si="67"/>
        <v>0</v>
      </c>
      <c r="AD966" s="3">
        <f t="shared" si="67"/>
        <v>0</v>
      </c>
      <c r="AE966" s="3">
        <f t="shared" si="67"/>
        <v>0</v>
      </c>
      <c r="AF966" s="3">
        <f t="shared" si="67"/>
        <v>0</v>
      </c>
      <c r="AG966" s="3">
        <f t="shared" si="67"/>
        <v>0</v>
      </c>
      <c r="AH966" s="3">
        <f t="shared" si="67"/>
        <v>0</v>
      </c>
      <c r="AI966" s="3">
        <f t="shared" si="67"/>
        <v>0</v>
      </c>
      <c r="AJ966" s="3">
        <f t="shared" si="67"/>
        <v>0</v>
      </c>
      <c r="AK966" s="3">
        <f t="shared" si="67"/>
        <v>0</v>
      </c>
      <c r="AL966" s="3">
        <f t="shared" si="67"/>
        <v>0</v>
      </c>
      <c r="AM966" s="3">
        <f t="shared" si="67"/>
        <v>0</v>
      </c>
      <c r="AN966" s="3">
        <f t="shared" si="67"/>
        <v>0</v>
      </c>
      <c r="AO966" s="3">
        <f t="shared" si="67"/>
        <v>0</v>
      </c>
      <c r="AP966" s="3">
        <f t="shared" si="67"/>
        <v>0</v>
      </c>
      <c r="AQ966" s="3">
        <f t="shared" si="67"/>
        <v>0</v>
      </c>
      <c r="AR966" s="3">
        <f t="shared" si="67"/>
        <v>0</v>
      </c>
      <c r="AS966" s="3">
        <f t="shared" si="67"/>
        <v>0</v>
      </c>
      <c r="AT966" s="3">
        <f t="shared" si="67"/>
        <v>0</v>
      </c>
      <c r="AU966" s="3">
        <f t="shared" si="67"/>
        <v>0</v>
      </c>
      <c r="AV966" s="3">
        <f t="shared" si="67"/>
        <v>0</v>
      </c>
      <c r="AW966" s="3">
        <f t="shared" si="67"/>
        <v>0</v>
      </c>
      <c r="AX966" s="3">
        <f t="shared" si="67"/>
        <v>0</v>
      </c>
      <c r="AY966" s="3">
        <f t="shared" si="67"/>
        <v>0</v>
      </c>
      <c r="AZ966" s="3">
        <f t="shared" si="67"/>
        <v>0</v>
      </c>
      <c r="BA966" s="3">
        <f t="shared" si="57"/>
        <v>0</v>
      </c>
    </row>
    <row r="967" spans="9:53">
      <c r="I967" s="392" t="str">
        <f t="shared" si="55"/>
        <v>WS-13</v>
      </c>
      <c r="J967" s="3">
        <f t="shared" ref="J967:AZ967" si="68">J15+J62+J109+J156+J203+J250+J297+J344+J391+J438+J485+J532+J579+J626+J673+J720</f>
        <v>0</v>
      </c>
      <c r="K967" s="3">
        <f t="shared" si="68"/>
        <v>0</v>
      </c>
      <c r="L967" s="3">
        <f t="shared" si="68"/>
        <v>0</v>
      </c>
      <c r="M967" s="3">
        <f t="shared" si="68"/>
        <v>0</v>
      </c>
      <c r="N967" s="3">
        <f t="shared" si="68"/>
        <v>0</v>
      </c>
      <c r="O967" s="3">
        <f t="shared" si="68"/>
        <v>0</v>
      </c>
      <c r="P967" s="3">
        <f t="shared" si="68"/>
        <v>0</v>
      </c>
      <c r="Q967" s="3">
        <f t="shared" si="68"/>
        <v>0</v>
      </c>
      <c r="R967" s="3">
        <f t="shared" si="68"/>
        <v>0</v>
      </c>
      <c r="S967" s="3">
        <f t="shared" si="68"/>
        <v>0</v>
      </c>
      <c r="T967" s="3">
        <f t="shared" si="68"/>
        <v>0</v>
      </c>
      <c r="U967" s="3">
        <f t="shared" si="68"/>
        <v>0</v>
      </c>
      <c r="V967" s="3">
        <f t="shared" si="68"/>
        <v>0</v>
      </c>
      <c r="W967" s="3">
        <f t="shared" si="68"/>
        <v>0</v>
      </c>
      <c r="X967" s="3">
        <f t="shared" si="68"/>
        <v>0</v>
      </c>
      <c r="Y967" s="3">
        <f t="shared" si="68"/>
        <v>0</v>
      </c>
      <c r="Z967" s="3">
        <f t="shared" si="68"/>
        <v>0</v>
      </c>
      <c r="AA967" s="3">
        <f t="shared" si="68"/>
        <v>0</v>
      </c>
      <c r="AB967" s="3">
        <f t="shared" si="68"/>
        <v>0</v>
      </c>
      <c r="AC967" s="3">
        <f t="shared" si="68"/>
        <v>0</v>
      </c>
      <c r="AD967" s="3">
        <f t="shared" si="68"/>
        <v>0</v>
      </c>
      <c r="AE967" s="3">
        <f t="shared" si="68"/>
        <v>0</v>
      </c>
      <c r="AF967" s="3">
        <f t="shared" si="68"/>
        <v>0</v>
      </c>
      <c r="AG967" s="3">
        <f t="shared" si="68"/>
        <v>0</v>
      </c>
      <c r="AH967" s="3">
        <f t="shared" si="68"/>
        <v>0</v>
      </c>
      <c r="AI967" s="3">
        <f t="shared" si="68"/>
        <v>0</v>
      </c>
      <c r="AJ967" s="3">
        <f t="shared" si="68"/>
        <v>0</v>
      </c>
      <c r="AK967" s="3">
        <f t="shared" si="68"/>
        <v>0</v>
      </c>
      <c r="AL967" s="3">
        <f t="shared" si="68"/>
        <v>0</v>
      </c>
      <c r="AM967" s="3">
        <f t="shared" si="68"/>
        <v>0</v>
      </c>
      <c r="AN967" s="3">
        <f t="shared" si="68"/>
        <v>0</v>
      </c>
      <c r="AO967" s="3">
        <f t="shared" si="68"/>
        <v>0</v>
      </c>
      <c r="AP967" s="3">
        <f t="shared" si="68"/>
        <v>0</v>
      </c>
      <c r="AQ967" s="3">
        <f t="shared" si="68"/>
        <v>0</v>
      </c>
      <c r="AR967" s="3">
        <f t="shared" si="68"/>
        <v>0</v>
      </c>
      <c r="AS967" s="3">
        <f t="shared" si="68"/>
        <v>0</v>
      </c>
      <c r="AT967" s="3">
        <f t="shared" si="68"/>
        <v>0</v>
      </c>
      <c r="AU967" s="3">
        <f t="shared" si="68"/>
        <v>0</v>
      </c>
      <c r="AV967" s="3">
        <f t="shared" si="68"/>
        <v>0</v>
      </c>
      <c r="AW967" s="3">
        <f t="shared" si="68"/>
        <v>0</v>
      </c>
      <c r="AX967" s="3">
        <f t="shared" si="68"/>
        <v>0</v>
      </c>
      <c r="AY967" s="3">
        <f t="shared" si="68"/>
        <v>0</v>
      </c>
      <c r="AZ967" s="3">
        <f t="shared" si="68"/>
        <v>0</v>
      </c>
      <c r="BA967" s="3">
        <f t="shared" si="57"/>
        <v>0</v>
      </c>
    </row>
    <row r="968" spans="9:53">
      <c r="I968" s="392" t="str">
        <f t="shared" si="55"/>
        <v>WS-14</v>
      </c>
      <c r="J968" s="3">
        <f t="shared" ref="J968:AZ968" si="69">J16+J63+J110+J157+J204+J251+J298+J345+J392+J439+J486+J533+J580+J627+J674+J721</f>
        <v>0</v>
      </c>
      <c r="K968" s="3">
        <f t="shared" si="69"/>
        <v>0</v>
      </c>
      <c r="L968" s="3">
        <f t="shared" si="69"/>
        <v>0</v>
      </c>
      <c r="M968" s="3">
        <f t="shared" si="69"/>
        <v>0</v>
      </c>
      <c r="N968" s="3">
        <f t="shared" si="69"/>
        <v>0</v>
      </c>
      <c r="O968" s="3">
        <f t="shared" si="69"/>
        <v>0</v>
      </c>
      <c r="P968" s="3">
        <f t="shared" si="69"/>
        <v>0</v>
      </c>
      <c r="Q968" s="3">
        <f t="shared" si="69"/>
        <v>0</v>
      </c>
      <c r="R968" s="3">
        <f t="shared" si="69"/>
        <v>0</v>
      </c>
      <c r="S968" s="3">
        <f t="shared" si="69"/>
        <v>0</v>
      </c>
      <c r="T968" s="3">
        <f t="shared" si="69"/>
        <v>0</v>
      </c>
      <c r="U968" s="3">
        <f t="shared" si="69"/>
        <v>0</v>
      </c>
      <c r="V968" s="3">
        <f t="shared" si="69"/>
        <v>0</v>
      </c>
      <c r="W968" s="3">
        <f t="shared" si="69"/>
        <v>0</v>
      </c>
      <c r="X968" s="3">
        <f t="shared" si="69"/>
        <v>0</v>
      </c>
      <c r="Y968" s="3">
        <f t="shared" si="69"/>
        <v>0</v>
      </c>
      <c r="Z968" s="3">
        <f t="shared" si="69"/>
        <v>0</v>
      </c>
      <c r="AA968" s="3">
        <f t="shared" si="69"/>
        <v>0</v>
      </c>
      <c r="AB968" s="3">
        <f t="shared" si="69"/>
        <v>0</v>
      </c>
      <c r="AC968" s="3">
        <f t="shared" si="69"/>
        <v>0</v>
      </c>
      <c r="AD968" s="3">
        <f t="shared" si="69"/>
        <v>0</v>
      </c>
      <c r="AE968" s="3">
        <f t="shared" si="69"/>
        <v>0</v>
      </c>
      <c r="AF968" s="3">
        <f t="shared" si="69"/>
        <v>0</v>
      </c>
      <c r="AG968" s="3">
        <f t="shared" si="69"/>
        <v>0</v>
      </c>
      <c r="AH968" s="3">
        <f t="shared" si="69"/>
        <v>0</v>
      </c>
      <c r="AI968" s="3">
        <f t="shared" si="69"/>
        <v>0</v>
      </c>
      <c r="AJ968" s="3">
        <f t="shared" si="69"/>
        <v>0</v>
      </c>
      <c r="AK968" s="3">
        <f t="shared" si="69"/>
        <v>0</v>
      </c>
      <c r="AL968" s="3">
        <f t="shared" si="69"/>
        <v>0</v>
      </c>
      <c r="AM968" s="3">
        <f t="shared" si="69"/>
        <v>0</v>
      </c>
      <c r="AN968" s="3">
        <f t="shared" si="69"/>
        <v>0</v>
      </c>
      <c r="AO968" s="3">
        <f t="shared" si="69"/>
        <v>0</v>
      </c>
      <c r="AP968" s="3">
        <f t="shared" si="69"/>
        <v>0</v>
      </c>
      <c r="AQ968" s="3">
        <f t="shared" si="69"/>
        <v>0</v>
      </c>
      <c r="AR968" s="3">
        <f t="shared" si="69"/>
        <v>0</v>
      </c>
      <c r="AS968" s="3">
        <f t="shared" si="69"/>
        <v>0</v>
      </c>
      <c r="AT968" s="3">
        <f t="shared" si="69"/>
        <v>0</v>
      </c>
      <c r="AU968" s="3">
        <f t="shared" si="69"/>
        <v>0</v>
      </c>
      <c r="AV968" s="3">
        <f t="shared" si="69"/>
        <v>0</v>
      </c>
      <c r="AW968" s="3">
        <f t="shared" si="69"/>
        <v>0</v>
      </c>
      <c r="AX968" s="3">
        <f t="shared" si="69"/>
        <v>0</v>
      </c>
      <c r="AY968" s="3">
        <f t="shared" si="69"/>
        <v>0</v>
      </c>
      <c r="AZ968" s="3">
        <f t="shared" si="69"/>
        <v>0</v>
      </c>
      <c r="BA968" s="3">
        <f t="shared" si="57"/>
        <v>0</v>
      </c>
    </row>
    <row r="969" spans="9:53">
      <c r="I969" s="392" t="str">
        <f t="shared" si="55"/>
        <v>WS-15</v>
      </c>
      <c r="J969" s="3">
        <f t="shared" ref="J969:AZ969" si="70">J17+J64+J111+J158+J205+J252+J299+J346+J393+J440+J487+J534+J581+J628+J675+J722</f>
        <v>0</v>
      </c>
      <c r="K969" s="3">
        <f t="shared" si="70"/>
        <v>0</v>
      </c>
      <c r="L969" s="3">
        <f t="shared" si="70"/>
        <v>0</v>
      </c>
      <c r="M969" s="3">
        <f t="shared" si="70"/>
        <v>0</v>
      </c>
      <c r="N969" s="3">
        <f t="shared" si="70"/>
        <v>0</v>
      </c>
      <c r="O969" s="3">
        <f t="shared" si="70"/>
        <v>0</v>
      </c>
      <c r="P969" s="3">
        <f t="shared" si="70"/>
        <v>0</v>
      </c>
      <c r="Q969" s="3">
        <f t="shared" si="70"/>
        <v>0</v>
      </c>
      <c r="R969" s="3">
        <f t="shared" si="70"/>
        <v>0</v>
      </c>
      <c r="S969" s="3">
        <f t="shared" si="70"/>
        <v>0</v>
      </c>
      <c r="T969" s="3">
        <f t="shared" si="70"/>
        <v>0</v>
      </c>
      <c r="U969" s="3">
        <f t="shared" si="70"/>
        <v>0</v>
      </c>
      <c r="V969" s="3">
        <f t="shared" si="70"/>
        <v>0</v>
      </c>
      <c r="W969" s="3">
        <f t="shared" si="70"/>
        <v>0</v>
      </c>
      <c r="X969" s="3">
        <f t="shared" si="70"/>
        <v>0</v>
      </c>
      <c r="Y969" s="3">
        <f t="shared" si="70"/>
        <v>0</v>
      </c>
      <c r="Z969" s="3">
        <f t="shared" si="70"/>
        <v>0</v>
      </c>
      <c r="AA969" s="3">
        <f t="shared" si="70"/>
        <v>0</v>
      </c>
      <c r="AB969" s="3">
        <f t="shared" si="70"/>
        <v>0</v>
      </c>
      <c r="AC969" s="3">
        <f t="shared" si="70"/>
        <v>0</v>
      </c>
      <c r="AD969" s="3">
        <f t="shared" si="70"/>
        <v>0</v>
      </c>
      <c r="AE969" s="3">
        <f t="shared" si="70"/>
        <v>0</v>
      </c>
      <c r="AF969" s="3">
        <f t="shared" si="70"/>
        <v>0</v>
      </c>
      <c r="AG969" s="3">
        <f t="shared" si="70"/>
        <v>0</v>
      </c>
      <c r="AH969" s="3">
        <f t="shared" si="70"/>
        <v>0</v>
      </c>
      <c r="AI969" s="3">
        <f t="shared" si="70"/>
        <v>0</v>
      </c>
      <c r="AJ969" s="3">
        <f t="shared" si="70"/>
        <v>0</v>
      </c>
      <c r="AK969" s="3">
        <f t="shared" si="70"/>
        <v>0</v>
      </c>
      <c r="AL969" s="3">
        <f t="shared" si="70"/>
        <v>0</v>
      </c>
      <c r="AM969" s="3">
        <f t="shared" si="70"/>
        <v>0</v>
      </c>
      <c r="AN969" s="3">
        <f t="shared" si="70"/>
        <v>0</v>
      </c>
      <c r="AO969" s="3">
        <f t="shared" si="70"/>
        <v>0</v>
      </c>
      <c r="AP969" s="3">
        <f t="shared" si="70"/>
        <v>0</v>
      </c>
      <c r="AQ969" s="3">
        <f t="shared" si="70"/>
        <v>0</v>
      </c>
      <c r="AR969" s="3">
        <f t="shared" si="70"/>
        <v>0</v>
      </c>
      <c r="AS969" s="3">
        <f t="shared" si="70"/>
        <v>0</v>
      </c>
      <c r="AT969" s="3">
        <f t="shared" si="70"/>
        <v>0</v>
      </c>
      <c r="AU969" s="3">
        <f t="shared" si="70"/>
        <v>0</v>
      </c>
      <c r="AV969" s="3">
        <f t="shared" si="70"/>
        <v>0</v>
      </c>
      <c r="AW969" s="3">
        <f t="shared" si="70"/>
        <v>0</v>
      </c>
      <c r="AX969" s="3">
        <f t="shared" si="70"/>
        <v>0</v>
      </c>
      <c r="AY969" s="3">
        <f t="shared" si="70"/>
        <v>0</v>
      </c>
      <c r="AZ969" s="3">
        <f t="shared" si="70"/>
        <v>0</v>
      </c>
      <c r="BA969" s="3">
        <f t="shared" si="57"/>
        <v>0</v>
      </c>
    </row>
    <row r="970" spans="9:53">
      <c r="I970" s="392" t="str">
        <f t="shared" si="55"/>
        <v>WS-16</v>
      </c>
      <c r="J970" s="3">
        <f t="shared" ref="J970:AZ970" si="71">J18+J65+J112+J159+J206+J253+J300+J347+J394+J441+J488+J535+J582+J629+J676+J723</f>
        <v>0</v>
      </c>
      <c r="K970" s="3">
        <f t="shared" si="71"/>
        <v>0</v>
      </c>
      <c r="L970" s="3">
        <f t="shared" si="71"/>
        <v>0</v>
      </c>
      <c r="M970" s="3">
        <f t="shared" si="71"/>
        <v>0</v>
      </c>
      <c r="N970" s="3">
        <f t="shared" si="71"/>
        <v>0</v>
      </c>
      <c r="O970" s="3">
        <f t="shared" si="71"/>
        <v>0</v>
      </c>
      <c r="P970" s="3">
        <f t="shared" si="71"/>
        <v>0</v>
      </c>
      <c r="Q970" s="3">
        <f t="shared" si="71"/>
        <v>0</v>
      </c>
      <c r="R970" s="3">
        <f t="shared" si="71"/>
        <v>0</v>
      </c>
      <c r="S970" s="3">
        <f t="shared" si="71"/>
        <v>0</v>
      </c>
      <c r="T970" s="3">
        <f t="shared" si="71"/>
        <v>0</v>
      </c>
      <c r="U970" s="3">
        <f t="shared" si="71"/>
        <v>0</v>
      </c>
      <c r="V970" s="3">
        <f t="shared" si="71"/>
        <v>0</v>
      </c>
      <c r="W970" s="3">
        <f t="shared" si="71"/>
        <v>0</v>
      </c>
      <c r="X970" s="3">
        <f t="shared" si="71"/>
        <v>0</v>
      </c>
      <c r="Y970" s="3">
        <f t="shared" si="71"/>
        <v>0</v>
      </c>
      <c r="Z970" s="3">
        <f t="shared" si="71"/>
        <v>0</v>
      </c>
      <c r="AA970" s="3">
        <f t="shared" si="71"/>
        <v>0</v>
      </c>
      <c r="AB970" s="3">
        <f t="shared" si="71"/>
        <v>0</v>
      </c>
      <c r="AC970" s="3">
        <f t="shared" si="71"/>
        <v>0</v>
      </c>
      <c r="AD970" s="3">
        <f t="shared" si="71"/>
        <v>0</v>
      </c>
      <c r="AE970" s="3">
        <f t="shared" si="71"/>
        <v>0</v>
      </c>
      <c r="AF970" s="3">
        <f t="shared" si="71"/>
        <v>0</v>
      </c>
      <c r="AG970" s="3">
        <f t="shared" si="71"/>
        <v>0</v>
      </c>
      <c r="AH970" s="3">
        <f t="shared" si="71"/>
        <v>0</v>
      </c>
      <c r="AI970" s="3">
        <f t="shared" si="71"/>
        <v>0</v>
      </c>
      <c r="AJ970" s="3">
        <f t="shared" si="71"/>
        <v>0</v>
      </c>
      <c r="AK970" s="3">
        <f t="shared" si="71"/>
        <v>0</v>
      </c>
      <c r="AL970" s="3">
        <f t="shared" si="71"/>
        <v>0</v>
      </c>
      <c r="AM970" s="3">
        <f t="shared" si="71"/>
        <v>0</v>
      </c>
      <c r="AN970" s="3">
        <f t="shared" si="71"/>
        <v>0</v>
      </c>
      <c r="AO970" s="3">
        <f t="shared" si="71"/>
        <v>0</v>
      </c>
      <c r="AP970" s="3">
        <f t="shared" si="71"/>
        <v>0</v>
      </c>
      <c r="AQ970" s="3">
        <f t="shared" si="71"/>
        <v>0</v>
      </c>
      <c r="AR970" s="3">
        <f t="shared" si="71"/>
        <v>0</v>
      </c>
      <c r="AS970" s="3">
        <f t="shared" si="71"/>
        <v>0</v>
      </c>
      <c r="AT970" s="3">
        <f t="shared" si="71"/>
        <v>0</v>
      </c>
      <c r="AU970" s="3">
        <f t="shared" si="71"/>
        <v>0</v>
      </c>
      <c r="AV970" s="3">
        <f t="shared" si="71"/>
        <v>0</v>
      </c>
      <c r="AW970" s="3">
        <f t="shared" si="71"/>
        <v>0</v>
      </c>
      <c r="AX970" s="3">
        <f t="shared" si="71"/>
        <v>0</v>
      </c>
      <c r="AY970" s="3">
        <f t="shared" si="71"/>
        <v>0</v>
      </c>
      <c r="AZ970" s="3">
        <f t="shared" si="71"/>
        <v>0</v>
      </c>
      <c r="BA970" s="3">
        <f t="shared" si="57"/>
        <v>0</v>
      </c>
    </row>
    <row r="971" spans="9:53">
      <c r="I971" s="392" t="str">
        <f t="shared" si="55"/>
        <v>WS-17</v>
      </c>
      <c r="J971" s="3">
        <f t="shared" ref="J971:AZ971" si="72">J19+J66+J113+J160+J207+J254+J301+J348+J395+J442+J489+J536+J583+J630+J677+J724</f>
        <v>0</v>
      </c>
      <c r="K971" s="3">
        <f t="shared" si="72"/>
        <v>0</v>
      </c>
      <c r="L971" s="3">
        <f t="shared" si="72"/>
        <v>0</v>
      </c>
      <c r="M971" s="3">
        <f t="shared" si="72"/>
        <v>0</v>
      </c>
      <c r="N971" s="3">
        <f t="shared" si="72"/>
        <v>0</v>
      </c>
      <c r="O971" s="3">
        <f t="shared" si="72"/>
        <v>0</v>
      </c>
      <c r="P971" s="3">
        <f t="shared" si="72"/>
        <v>0</v>
      </c>
      <c r="Q971" s="3">
        <f t="shared" si="72"/>
        <v>0</v>
      </c>
      <c r="R971" s="3">
        <f t="shared" si="72"/>
        <v>0</v>
      </c>
      <c r="S971" s="3">
        <f t="shared" si="72"/>
        <v>0</v>
      </c>
      <c r="T971" s="3">
        <f t="shared" si="72"/>
        <v>0</v>
      </c>
      <c r="U971" s="3">
        <f t="shared" si="72"/>
        <v>0</v>
      </c>
      <c r="V971" s="3">
        <f t="shared" si="72"/>
        <v>0</v>
      </c>
      <c r="W971" s="3">
        <f t="shared" si="72"/>
        <v>0</v>
      </c>
      <c r="X971" s="3">
        <f t="shared" si="72"/>
        <v>0</v>
      </c>
      <c r="Y971" s="3">
        <f t="shared" si="72"/>
        <v>0</v>
      </c>
      <c r="Z971" s="3">
        <f t="shared" si="72"/>
        <v>0</v>
      </c>
      <c r="AA971" s="3">
        <f t="shared" si="72"/>
        <v>0</v>
      </c>
      <c r="AB971" s="3">
        <f t="shared" si="72"/>
        <v>0</v>
      </c>
      <c r="AC971" s="3">
        <f t="shared" si="72"/>
        <v>0</v>
      </c>
      <c r="AD971" s="3">
        <f t="shared" si="72"/>
        <v>0</v>
      </c>
      <c r="AE971" s="3">
        <f t="shared" si="72"/>
        <v>0</v>
      </c>
      <c r="AF971" s="3">
        <f t="shared" si="72"/>
        <v>0</v>
      </c>
      <c r="AG971" s="3">
        <f t="shared" si="72"/>
        <v>0</v>
      </c>
      <c r="AH971" s="3">
        <f t="shared" si="72"/>
        <v>0</v>
      </c>
      <c r="AI971" s="3">
        <f t="shared" si="72"/>
        <v>0</v>
      </c>
      <c r="AJ971" s="3">
        <f t="shared" si="72"/>
        <v>0</v>
      </c>
      <c r="AK971" s="3">
        <f t="shared" si="72"/>
        <v>0</v>
      </c>
      <c r="AL971" s="3">
        <f t="shared" si="72"/>
        <v>0</v>
      </c>
      <c r="AM971" s="3">
        <f t="shared" si="72"/>
        <v>0</v>
      </c>
      <c r="AN971" s="3">
        <f t="shared" si="72"/>
        <v>0</v>
      </c>
      <c r="AO971" s="3">
        <f t="shared" si="72"/>
        <v>0</v>
      </c>
      <c r="AP971" s="3">
        <f t="shared" si="72"/>
        <v>0</v>
      </c>
      <c r="AQ971" s="3">
        <f t="shared" si="72"/>
        <v>0</v>
      </c>
      <c r="AR971" s="3">
        <f t="shared" si="72"/>
        <v>0</v>
      </c>
      <c r="AS971" s="3">
        <f t="shared" si="72"/>
        <v>0</v>
      </c>
      <c r="AT971" s="3">
        <f t="shared" si="72"/>
        <v>0</v>
      </c>
      <c r="AU971" s="3">
        <f t="shared" si="72"/>
        <v>0</v>
      </c>
      <c r="AV971" s="3">
        <f t="shared" si="72"/>
        <v>0</v>
      </c>
      <c r="AW971" s="3">
        <f t="shared" si="72"/>
        <v>0</v>
      </c>
      <c r="AX971" s="3">
        <f t="shared" si="72"/>
        <v>0</v>
      </c>
      <c r="AY971" s="3">
        <f t="shared" si="72"/>
        <v>0</v>
      </c>
      <c r="AZ971" s="3">
        <f t="shared" si="72"/>
        <v>0</v>
      </c>
      <c r="BA971" s="3">
        <f t="shared" si="57"/>
        <v>0</v>
      </c>
    </row>
    <row r="972" spans="9:53">
      <c r="I972" s="392" t="str">
        <f t="shared" si="55"/>
        <v>WS-18</v>
      </c>
      <c r="J972" s="3">
        <f t="shared" ref="J972:AZ972" si="73">J20+J67+J114+J161+J208+J255+J302+J349+J396+J443+J490+J537+J584+J631+J678+J725</f>
        <v>0</v>
      </c>
      <c r="K972" s="3">
        <f t="shared" si="73"/>
        <v>0</v>
      </c>
      <c r="L972" s="3">
        <f t="shared" si="73"/>
        <v>0</v>
      </c>
      <c r="M972" s="3">
        <f t="shared" si="73"/>
        <v>0</v>
      </c>
      <c r="N972" s="3">
        <f t="shared" si="73"/>
        <v>0</v>
      </c>
      <c r="O972" s="3">
        <f t="shared" si="73"/>
        <v>0</v>
      </c>
      <c r="P972" s="3">
        <f t="shared" si="73"/>
        <v>0</v>
      </c>
      <c r="Q972" s="3">
        <f t="shared" si="73"/>
        <v>0</v>
      </c>
      <c r="R972" s="3">
        <f t="shared" si="73"/>
        <v>0</v>
      </c>
      <c r="S972" s="3">
        <f t="shared" si="73"/>
        <v>0</v>
      </c>
      <c r="T972" s="3">
        <f t="shared" si="73"/>
        <v>0</v>
      </c>
      <c r="U972" s="3">
        <f t="shared" si="73"/>
        <v>0</v>
      </c>
      <c r="V972" s="3">
        <f t="shared" si="73"/>
        <v>0</v>
      </c>
      <c r="W972" s="3">
        <f t="shared" si="73"/>
        <v>0</v>
      </c>
      <c r="X972" s="3">
        <f t="shared" si="73"/>
        <v>0</v>
      </c>
      <c r="Y972" s="3">
        <f t="shared" si="73"/>
        <v>0</v>
      </c>
      <c r="Z972" s="3">
        <f t="shared" si="73"/>
        <v>0</v>
      </c>
      <c r="AA972" s="3">
        <f t="shared" si="73"/>
        <v>0</v>
      </c>
      <c r="AB972" s="3">
        <f t="shared" si="73"/>
        <v>0</v>
      </c>
      <c r="AC972" s="3">
        <f t="shared" si="73"/>
        <v>0</v>
      </c>
      <c r="AD972" s="3">
        <f t="shared" si="73"/>
        <v>0</v>
      </c>
      <c r="AE972" s="3">
        <f t="shared" si="73"/>
        <v>0</v>
      </c>
      <c r="AF972" s="3">
        <f t="shared" si="73"/>
        <v>0</v>
      </c>
      <c r="AG972" s="3">
        <f t="shared" si="73"/>
        <v>301684</v>
      </c>
      <c r="AH972" s="3">
        <f t="shared" si="73"/>
        <v>0</v>
      </c>
      <c r="AI972" s="3">
        <f t="shared" si="73"/>
        <v>0</v>
      </c>
      <c r="AJ972" s="3">
        <f t="shared" si="73"/>
        <v>0</v>
      </c>
      <c r="AK972" s="3">
        <f t="shared" si="73"/>
        <v>0</v>
      </c>
      <c r="AL972" s="3">
        <f t="shared" si="73"/>
        <v>0</v>
      </c>
      <c r="AM972" s="3">
        <f t="shared" si="73"/>
        <v>0</v>
      </c>
      <c r="AN972" s="3">
        <f t="shared" si="73"/>
        <v>0</v>
      </c>
      <c r="AO972" s="3">
        <f t="shared" si="73"/>
        <v>0</v>
      </c>
      <c r="AP972" s="3">
        <f t="shared" si="73"/>
        <v>0</v>
      </c>
      <c r="AQ972" s="3">
        <f t="shared" si="73"/>
        <v>0</v>
      </c>
      <c r="AR972" s="3">
        <f t="shared" si="73"/>
        <v>0</v>
      </c>
      <c r="AS972" s="3">
        <f t="shared" si="73"/>
        <v>0</v>
      </c>
      <c r="AT972" s="3">
        <f t="shared" si="73"/>
        <v>0</v>
      </c>
      <c r="AU972" s="3">
        <f t="shared" si="73"/>
        <v>0</v>
      </c>
      <c r="AV972" s="3">
        <f t="shared" si="73"/>
        <v>0</v>
      </c>
      <c r="AW972" s="3">
        <f t="shared" si="73"/>
        <v>0</v>
      </c>
      <c r="AX972" s="3">
        <f t="shared" si="73"/>
        <v>0</v>
      </c>
      <c r="AY972" s="3">
        <f t="shared" si="73"/>
        <v>0</v>
      </c>
      <c r="AZ972" s="3">
        <f t="shared" si="73"/>
        <v>0</v>
      </c>
      <c r="BA972" s="3">
        <f t="shared" si="57"/>
        <v>0</v>
      </c>
    </row>
    <row r="973" spans="9:53">
      <c r="I973" s="392" t="str">
        <f t="shared" si="55"/>
        <v>WS-19</v>
      </c>
      <c r="J973" s="3">
        <f t="shared" ref="J973:AZ973" si="74">J21+J68+J115+J162+J209+J256+J303+J350+J397+J444+J491+J538+J585+J632+J679+J726</f>
        <v>0</v>
      </c>
      <c r="K973" s="3">
        <f t="shared" si="74"/>
        <v>0</v>
      </c>
      <c r="L973" s="3">
        <f t="shared" si="74"/>
        <v>0</v>
      </c>
      <c r="M973" s="3">
        <f t="shared" si="74"/>
        <v>0</v>
      </c>
      <c r="N973" s="3">
        <f t="shared" si="74"/>
        <v>0</v>
      </c>
      <c r="O973" s="3">
        <f t="shared" si="74"/>
        <v>0</v>
      </c>
      <c r="P973" s="3">
        <f t="shared" si="74"/>
        <v>0</v>
      </c>
      <c r="Q973" s="3">
        <f t="shared" si="74"/>
        <v>0</v>
      </c>
      <c r="R973" s="3">
        <f t="shared" si="74"/>
        <v>0</v>
      </c>
      <c r="S973" s="3">
        <f t="shared" si="74"/>
        <v>0</v>
      </c>
      <c r="T973" s="3">
        <f t="shared" si="74"/>
        <v>0</v>
      </c>
      <c r="U973" s="3">
        <f t="shared" si="74"/>
        <v>0</v>
      </c>
      <c r="V973" s="3">
        <f t="shared" si="74"/>
        <v>0</v>
      </c>
      <c r="W973" s="3">
        <f t="shared" si="74"/>
        <v>0</v>
      </c>
      <c r="X973" s="3">
        <f t="shared" si="74"/>
        <v>0</v>
      </c>
      <c r="Y973" s="3">
        <f t="shared" si="74"/>
        <v>0</v>
      </c>
      <c r="Z973" s="3">
        <f t="shared" si="74"/>
        <v>0</v>
      </c>
      <c r="AA973" s="3">
        <f t="shared" si="74"/>
        <v>0</v>
      </c>
      <c r="AB973" s="3">
        <f t="shared" si="74"/>
        <v>0</v>
      </c>
      <c r="AC973" s="3">
        <f t="shared" si="74"/>
        <v>0</v>
      </c>
      <c r="AD973" s="3">
        <f t="shared" si="74"/>
        <v>0</v>
      </c>
      <c r="AE973" s="3">
        <f t="shared" si="74"/>
        <v>0</v>
      </c>
      <c r="AF973" s="3">
        <f t="shared" si="74"/>
        <v>0</v>
      </c>
      <c r="AG973" s="3">
        <f t="shared" si="74"/>
        <v>0</v>
      </c>
      <c r="AH973" s="3">
        <f t="shared" si="74"/>
        <v>0</v>
      </c>
      <c r="AI973" s="3">
        <f t="shared" si="74"/>
        <v>0</v>
      </c>
      <c r="AJ973" s="3">
        <f t="shared" si="74"/>
        <v>0</v>
      </c>
      <c r="AK973" s="3">
        <f t="shared" si="74"/>
        <v>0</v>
      </c>
      <c r="AL973" s="3">
        <f t="shared" si="74"/>
        <v>0</v>
      </c>
      <c r="AM973" s="3">
        <f t="shared" si="74"/>
        <v>0</v>
      </c>
      <c r="AN973" s="3">
        <f t="shared" si="74"/>
        <v>0</v>
      </c>
      <c r="AO973" s="3">
        <f t="shared" si="74"/>
        <v>0</v>
      </c>
      <c r="AP973" s="3">
        <f t="shared" si="74"/>
        <v>0</v>
      </c>
      <c r="AQ973" s="3">
        <f t="shared" si="74"/>
        <v>0</v>
      </c>
      <c r="AR973" s="3">
        <f t="shared" si="74"/>
        <v>0</v>
      </c>
      <c r="AS973" s="3">
        <f t="shared" si="74"/>
        <v>0</v>
      </c>
      <c r="AT973" s="3">
        <f t="shared" si="74"/>
        <v>0</v>
      </c>
      <c r="AU973" s="3">
        <f t="shared" si="74"/>
        <v>0</v>
      </c>
      <c r="AV973" s="3">
        <f t="shared" si="74"/>
        <v>0</v>
      </c>
      <c r="AW973" s="3">
        <f t="shared" si="74"/>
        <v>0</v>
      </c>
      <c r="AX973" s="3">
        <f t="shared" si="74"/>
        <v>0</v>
      </c>
      <c r="AY973" s="3">
        <f t="shared" si="74"/>
        <v>0</v>
      </c>
      <c r="AZ973" s="3">
        <f t="shared" si="74"/>
        <v>0</v>
      </c>
      <c r="BA973" s="3">
        <f t="shared" si="57"/>
        <v>0</v>
      </c>
    </row>
    <row r="974" spans="9:53">
      <c r="I974" s="392" t="str">
        <f t="shared" si="55"/>
        <v>WS-20</v>
      </c>
      <c r="J974" s="3">
        <f t="shared" ref="J974:AZ974" si="75">J22+J69+J116+J163+J210+J257+J304+J351+J398+J445+J492+J539+J586+J633+J680+J727</f>
        <v>0</v>
      </c>
      <c r="K974" s="3">
        <f t="shared" si="75"/>
        <v>0</v>
      </c>
      <c r="L974" s="3">
        <f t="shared" si="75"/>
        <v>0</v>
      </c>
      <c r="M974" s="3">
        <f t="shared" si="75"/>
        <v>0</v>
      </c>
      <c r="N974" s="3">
        <f t="shared" si="75"/>
        <v>0</v>
      </c>
      <c r="O974" s="3">
        <f t="shared" si="75"/>
        <v>0</v>
      </c>
      <c r="P974" s="3">
        <f t="shared" si="75"/>
        <v>0</v>
      </c>
      <c r="Q974" s="3">
        <f t="shared" si="75"/>
        <v>0</v>
      </c>
      <c r="R974" s="3">
        <f t="shared" si="75"/>
        <v>0</v>
      </c>
      <c r="S974" s="3">
        <f t="shared" si="75"/>
        <v>0</v>
      </c>
      <c r="T974" s="3">
        <f t="shared" si="75"/>
        <v>0</v>
      </c>
      <c r="U974" s="3">
        <f t="shared" si="75"/>
        <v>0</v>
      </c>
      <c r="V974" s="3">
        <f t="shared" si="75"/>
        <v>0</v>
      </c>
      <c r="W974" s="3">
        <f t="shared" si="75"/>
        <v>0</v>
      </c>
      <c r="X974" s="3">
        <f t="shared" si="75"/>
        <v>0</v>
      </c>
      <c r="Y974" s="3">
        <f t="shared" si="75"/>
        <v>0</v>
      </c>
      <c r="Z974" s="3">
        <f t="shared" si="75"/>
        <v>0</v>
      </c>
      <c r="AA974" s="3">
        <f t="shared" si="75"/>
        <v>0</v>
      </c>
      <c r="AB974" s="3">
        <f t="shared" si="75"/>
        <v>0</v>
      </c>
      <c r="AC974" s="3">
        <f t="shared" si="75"/>
        <v>0</v>
      </c>
      <c r="AD974" s="3">
        <f t="shared" si="75"/>
        <v>0</v>
      </c>
      <c r="AE974" s="3">
        <f t="shared" si="75"/>
        <v>0</v>
      </c>
      <c r="AF974" s="3">
        <f t="shared" si="75"/>
        <v>0</v>
      </c>
      <c r="AG974" s="3">
        <f t="shared" si="75"/>
        <v>0</v>
      </c>
      <c r="AH974" s="3">
        <f t="shared" si="75"/>
        <v>0</v>
      </c>
      <c r="AI974" s="3">
        <f t="shared" si="75"/>
        <v>136301</v>
      </c>
      <c r="AJ974" s="3">
        <f t="shared" si="75"/>
        <v>0</v>
      </c>
      <c r="AK974" s="3">
        <f t="shared" si="75"/>
        <v>0</v>
      </c>
      <c r="AL974" s="3">
        <f t="shared" si="75"/>
        <v>0</v>
      </c>
      <c r="AM974" s="3">
        <f t="shared" si="75"/>
        <v>0</v>
      </c>
      <c r="AN974" s="3">
        <f t="shared" si="75"/>
        <v>0</v>
      </c>
      <c r="AO974" s="3">
        <f t="shared" si="75"/>
        <v>0</v>
      </c>
      <c r="AP974" s="3">
        <f t="shared" si="75"/>
        <v>0</v>
      </c>
      <c r="AQ974" s="3">
        <f t="shared" si="75"/>
        <v>0</v>
      </c>
      <c r="AR974" s="3">
        <f t="shared" si="75"/>
        <v>0</v>
      </c>
      <c r="AS974" s="3">
        <f t="shared" si="75"/>
        <v>0</v>
      </c>
      <c r="AT974" s="3">
        <f t="shared" si="75"/>
        <v>0</v>
      </c>
      <c r="AU974" s="3">
        <f t="shared" si="75"/>
        <v>0</v>
      </c>
      <c r="AV974" s="3">
        <f t="shared" si="75"/>
        <v>0</v>
      </c>
      <c r="AW974" s="3">
        <f t="shared" si="75"/>
        <v>0</v>
      </c>
      <c r="AX974" s="3">
        <f t="shared" si="75"/>
        <v>0</v>
      </c>
      <c r="AY974" s="3">
        <f t="shared" si="75"/>
        <v>0</v>
      </c>
      <c r="AZ974" s="3">
        <f t="shared" si="75"/>
        <v>0</v>
      </c>
      <c r="BA974" s="3">
        <f t="shared" si="57"/>
        <v>0</v>
      </c>
    </row>
    <row r="975" spans="9:53">
      <c r="I975" s="392" t="str">
        <f t="shared" si="55"/>
        <v>WS-21</v>
      </c>
      <c r="J975" s="3">
        <f t="shared" ref="J975:AZ975" si="76">J23+J70+J117+J164+J211+J258+J305+J352+J399+J446+J493+J540+J587+J634+J681+J728</f>
        <v>0</v>
      </c>
      <c r="K975" s="3">
        <f t="shared" si="76"/>
        <v>0</v>
      </c>
      <c r="L975" s="3">
        <f t="shared" si="76"/>
        <v>0</v>
      </c>
      <c r="M975" s="3">
        <f t="shared" si="76"/>
        <v>0</v>
      </c>
      <c r="N975" s="3">
        <f t="shared" si="76"/>
        <v>0</v>
      </c>
      <c r="O975" s="3">
        <f t="shared" si="76"/>
        <v>0</v>
      </c>
      <c r="P975" s="3">
        <f t="shared" si="76"/>
        <v>0</v>
      </c>
      <c r="Q975" s="3">
        <f t="shared" si="76"/>
        <v>0</v>
      </c>
      <c r="R975" s="3">
        <f t="shared" si="76"/>
        <v>0</v>
      </c>
      <c r="S975" s="3">
        <f t="shared" si="76"/>
        <v>0</v>
      </c>
      <c r="T975" s="3">
        <f t="shared" si="76"/>
        <v>0</v>
      </c>
      <c r="U975" s="3">
        <f t="shared" si="76"/>
        <v>0</v>
      </c>
      <c r="V975" s="3">
        <f t="shared" si="76"/>
        <v>0</v>
      </c>
      <c r="W975" s="3">
        <f t="shared" si="76"/>
        <v>0</v>
      </c>
      <c r="X975" s="3">
        <f t="shared" si="76"/>
        <v>0</v>
      </c>
      <c r="Y975" s="3">
        <f t="shared" si="76"/>
        <v>0</v>
      </c>
      <c r="Z975" s="3">
        <f t="shared" si="76"/>
        <v>0</v>
      </c>
      <c r="AA975" s="3">
        <f t="shared" si="76"/>
        <v>0</v>
      </c>
      <c r="AB975" s="3">
        <f t="shared" si="76"/>
        <v>0</v>
      </c>
      <c r="AC975" s="3">
        <f t="shared" si="76"/>
        <v>0</v>
      </c>
      <c r="AD975" s="3">
        <f t="shared" si="76"/>
        <v>0</v>
      </c>
      <c r="AE975" s="3">
        <f t="shared" si="76"/>
        <v>0</v>
      </c>
      <c r="AF975" s="3">
        <f t="shared" si="76"/>
        <v>0</v>
      </c>
      <c r="AG975" s="3">
        <f t="shared" si="76"/>
        <v>0</v>
      </c>
      <c r="AH975" s="3">
        <f t="shared" si="76"/>
        <v>0</v>
      </c>
      <c r="AI975" s="3">
        <f t="shared" si="76"/>
        <v>0</v>
      </c>
      <c r="AJ975" s="3">
        <f t="shared" si="76"/>
        <v>0</v>
      </c>
      <c r="AK975" s="3">
        <f t="shared" si="76"/>
        <v>176193</v>
      </c>
      <c r="AL975" s="3">
        <f t="shared" si="76"/>
        <v>0</v>
      </c>
      <c r="AM975" s="3">
        <f t="shared" si="76"/>
        <v>0</v>
      </c>
      <c r="AN975" s="3">
        <f t="shared" si="76"/>
        <v>0</v>
      </c>
      <c r="AO975" s="3">
        <f t="shared" si="76"/>
        <v>0</v>
      </c>
      <c r="AP975" s="3">
        <f t="shared" si="76"/>
        <v>0</v>
      </c>
      <c r="AQ975" s="3">
        <f t="shared" si="76"/>
        <v>0</v>
      </c>
      <c r="AR975" s="3">
        <f t="shared" si="76"/>
        <v>0</v>
      </c>
      <c r="AS975" s="3">
        <f t="shared" si="76"/>
        <v>0</v>
      </c>
      <c r="AT975" s="3">
        <f t="shared" si="76"/>
        <v>0</v>
      </c>
      <c r="AU975" s="3">
        <f t="shared" si="76"/>
        <v>0</v>
      </c>
      <c r="AV975" s="3">
        <f t="shared" si="76"/>
        <v>0</v>
      </c>
      <c r="AW975" s="3">
        <f t="shared" si="76"/>
        <v>0</v>
      </c>
      <c r="AX975" s="3">
        <f t="shared" si="76"/>
        <v>0</v>
      </c>
      <c r="AY975" s="3">
        <f t="shared" si="76"/>
        <v>0</v>
      </c>
      <c r="AZ975" s="3">
        <f t="shared" si="76"/>
        <v>0</v>
      </c>
      <c r="BA975" s="3">
        <f t="shared" si="57"/>
        <v>0</v>
      </c>
    </row>
    <row r="976" spans="9:53">
      <c r="I976" s="392" t="str">
        <f t="shared" si="55"/>
        <v>WS-22</v>
      </c>
      <c r="J976" s="3">
        <f t="shared" ref="J976:AZ976" si="77">J24+J71+J118+J165+J212+J259+J306+J353+J400+J447+J494+J541+J588+J635+J682+J729</f>
        <v>0</v>
      </c>
      <c r="K976" s="3">
        <f t="shared" si="77"/>
        <v>0</v>
      </c>
      <c r="L976" s="3">
        <f t="shared" si="77"/>
        <v>0</v>
      </c>
      <c r="M976" s="3">
        <f t="shared" si="77"/>
        <v>0</v>
      </c>
      <c r="N976" s="3">
        <f t="shared" si="77"/>
        <v>0</v>
      </c>
      <c r="O976" s="3">
        <f t="shared" si="77"/>
        <v>0</v>
      </c>
      <c r="P976" s="3">
        <f t="shared" si="77"/>
        <v>0</v>
      </c>
      <c r="Q976" s="3">
        <f t="shared" si="77"/>
        <v>0</v>
      </c>
      <c r="R976" s="3">
        <f t="shared" si="77"/>
        <v>0</v>
      </c>
      <c r="S976" s="3">
        <f t="shared" si="77"/>
        <v>0</v>
      </c>
      <c r="T976" s="3">
        <f t="shared" si="77"/>
        <v>0</v>
      </c>
      <c r="U976" s="3">
        <f t="shared" si="77"/>
        <v>0</v>
      </c>
      <c r="V976" s="3">
        <f t="shared" si="77"/>
        <v>0</v>
      </c>
      <c r="W976" s="3">
        <f t="shared" si="77"/>
        <v>0</v>
      </c>
      <c r="X976" s="3">
        <f t="shared" si="77"/>
        <v>0</v>
      </c>
      <c r="Y976" s="3">
        <f t="shared" si="77"/>
        <v>0</v>
      </c>
      <c r="Z976" s="3">
        <f t="shared" si="77"/>
        <v>0</v>
      </c>
      <c r="AA976" s="3">
        <f t="shared" si="77"/>
        <v>0</v>
      </c>
      <c r="AB976" s="3">
        <f t="shared" si="77"/>
        <v>0</v>
      </c>
      <c r="AC976" s="3">
        <f t="shared" si="77"/>
        <v>0</v>
      </c>
      <c r="AD976" s="3">
        <f t="shared" si="77"/>
        <v>0</v>
      </c>
      <c r="AE976" s="3">
        <f t="shared" si="77"/>
        <v>0</v>
      </c>
      <c r="AF976" s="3">
        <f t="shared" si="77"/>
        <v>0</v>
      </c>
      <c r="AG976" s="3">
        <f t="shared" si="77"/>
        <v>0</v>
      </c>
      <c r="AH976" s="3">
        <f t="shared" si="77"/>
        <v>0</v>
      </c>
      <c r="AI976" s="3">
        <f t="shared" si="77"/>
        <v>0</v>
      </c>
      <c r="AJ976" s="3">
        <f t="shared" si="77"/>
        <v>0</v>
      </c>
      <c r="AK976" s="3">
        <f t="shared" si="77"/>
        <v>0</v>
      </c>
      <c r="AL976" s="3">
        <f t="shared" si="77"/>
        <v>0</v>
      </c>
      <c r="AM976" s="3">
        <f t="shared" si="77"/>
        <v>0</v>
      </c>
      <c r="AN976" s="3">
        <f t="shared" si="77"/>
        <v>0</v>
      </c>
      <c r="AO976" s="3">
        <f t="shared" si="77"/>
        <v>0</v>
      </c>
      <c r="AP976" s="3">
        <f t="shared" si="77"/>
        <v>0</v>
      </c>
      <c r="AQ976" s="3">
        <f t="shared" si="77"/>
        <v>0</v>
      </c>
      <c r="AR976" s="3">
        <f t="shared" si="77"/>
        <v>0</v>
      </c>
      <c r="AS976" s="3">
        <f t="shared" si="77"/>
        <v>0</v>
      </c>
      <c r="AT976" s="3">
        <f t="shared" si="77"/>
        <v>0</v>
      </c>
      <c r="AU976" s="3">
        <f t="shared" si="77"/>
        <v>0</v>
      </c>
      <c r="AV976" s="3">
        <f t="shared" si="77"/>
        <v>0</v>
      </c>
      <c r="AW976" s="3">
        <f t="shared" si="77"/>
        <v>0</v>
      </c>
      <c r="AX976" s="3">
        <f t="shared" si="77"/>
        <v>0</v>
      </c>
      <c r="AY976" s="3">
        <f t="shared" si="77"/>
        <v>0</v>
      </c>
      <c r="AZ976" s="3">
        <f t="shared" si="77"/>
        <v>0</v>
      </c>
      <c r="BA976" s="3">
        <f t="shared" si="57"/>
        <v>0</v>
      </c>
    </row>
    <row r="977" spans="9:53">
      <c r="I977" s="392" t="str">
        <f t="shared" si="55"/>
        <v>WS-23</v>
      </c>
      <c r="J977" s="3">
        <f t="shared" ref="J977:AZ977" si="78">J25+J72+J119+J166+J213+J260+J307+J354+J401+J448+J495+J542+J589+J636+J683+J730</f>
        <v>0</v>
      </c>
      <c r="K977" s="3">
        <f t="shared" si="78"/>
        <v>0</v>
      </c>
      <c r="L977" s="3">
        <f t="shared" si="78"/>
        <v>0</v>
      </c>
      <c r="M977" s="3">
        <f t="shared" si="78"/>
        <v>0</v>
      </c>
      <c r="N977" s="3">
        <f t="shared" si="78"/>
        <v>0</v>
      </c>
      <c r="O977" s="3">
        <f t="shared" si="78"/>
        <v>0</v>
      </c>
      <c r="P977" s="3">
        <f t="shared" si="78"/>
        <v>0</v>
      </c>
      <c r="Q977" s="3">
        <f t="shared" si="78"/>
        <v>0</v>
      </c>
      <c r="R977" s="3">
        <f t="shared" si="78"/>
        <v>0</v>
      </c>
      <c r="S977" s="3">
        <f t="shared" si="78"/>
        <v>0</v>
      </c>
      <c r="T977" s="3">
        <f t="shared" si="78"/>
        <v>0</v>
      </c>
      <c r="U977" s="3">
        <f t="shared" si="78"/>
        <v>0</v>
      </c>
      <c r="V977" s="3">
        <f t="shared" si="78"/>
        <v>0</v>
      </c>
      <c r="W977" s="3">
        <f t="shared" si="78"/>
        <v>0</v>
      </c>
      <c r="X977" s="3">
        <f t="shared" si="78"/>
        <v>0</v>
      </c>
      <c r="Y977" s="3">
        <f t="shared" si="78"/>
        <v>0</v>
      </c>
      <c r="Z977" s="3">
        <f t="shared" si="78"/>
        <v>0</v>
      </c>
      <c r="AA977" s="3">
        <f t="shared" si="78"/>
        <v>0</v>
      </c>
      <c r="AB977" s="3">
        <f t="shared" si="78"/>
        <v>0</v>
      </c>
      <c r="AC977" s="3">
        <f t="shared" si="78"/>
        <v>0</v>
      </c>
      <c r="AD977" s="3">
        <f t="shared" si="78"/>
        <v>0</v>
      </c>
      <c r="AE977" s="3">
        <f t="shared" si="78"/>
        <v>0</v>
      </c>
      <c r="AF977" s="3">
        <f t="shared" si="78"/>
        <v>0</v>
      </c>
      <c r="AG977" s="3">
        <f t="shared" si="78"/>
        <v>0</v>
      </c>
      <c r="AH977" s="3">
        <f t="shared" si="78"/>
        <v>0</v>
      </c>
      <c r="AI977" s="3">
        <f t="shared" si="78"/>
        <v>0</v>
      </c>
      <c r="AJ977" s="3">
        <f t="shared" si="78"/>
        <v>0</v>
      </c>
      <c r="AK977" s="3">
        <f t="shared" si="78"/>
        <v>0</v>
      </c>
      <c r="AL977" s="3">
        <f t="shared" si="78"/>
        <v>0</v>
      </c>
      <c r="AM977" s="3">
        <f t="shared" si="78"/>
        <v>0</v>
      </c>
      <c r="AN977" s="3">
        <f t="shared" si="78"/>
        <v>141224</v>
      </c>
      <c r="AO977" s="3">
        <f t="shared" si="78"/>
        <v>0</v>
      </c>
      <c r="AP977" s="3">
        <f t="shared" si="78"/>
        <v>0</v>
      </c>
      <c r="AQ977" s="3">
        <f t="shared" si="78"/>
        <v>0</v>
      </c>
      <c r="AR977" s="3">
        <f t="shared" si="78"/>
        <v>0</v>
      </c>
      <c r="AS977" s="3">
        <f t="shared" si="78"/>
        <v>0</v>
      </c>
      <c r="AT977" s="3">
        <f t="shared" si="78"/>
        <v>0</v>
      </c>
      <c r="AU977" s="3">
        <f t="shared" si="78"/>
        <v>0</v>
      </c>
      <c r="AV977" s="3">
        <f t="shared" si="78"/>
        <v>0</v>
      </c>
      <c r="AW977" s="3">
        <f t="shared" si="78"/>
        <v>0</v>
      </c>
      <c r="AX977" s="3">
        <f t="shared" si="78"/>
        <v>0</v>
      </c>
      <c r="AY977" s="3">
        <f t="shared" si="78"/>
        <v>0</v>
      </c>
      <c r="AZ977" s="3">
        <f t="shared" si="78"/>
        <v>0</v>
      </c>
      <c r="BA977" s="3">
        <f t="shared" si="57"/>
        <v>0</v>
      </c>
    </row>
    <row r="978" spans="9:53">
      <c r="I978" s="392" t="str">
        <f t="shared" si="55"/>
        <v>WS-24</v>
      </c>
      <c r="J978" s="3">
        <f t="shared" ref="J978:AZ978" si="79">J26+J73+J120+J167+J214+J261+J308+J355+J402+J449+J496+J543+J590+J637+J684+J731</f>
        <v>0</v>
      </c>
      <c r="K978" s="3">
        <f t="shared" si="79"/>
        <v>0</v>
      </c>
      <c r="L978" s="3">
        <f t="shared" si="79"/>
        <v>0</v>
      </c>
      <c r="M978" s="3">
        <f t="shared" si="79"/>
        <v>0</v>
      </c>
      <c r="N978" s="3">
        <f t="shared" si="79"/>
        <v>0</v>
      </c>
      <c r="O978" s="3">
        <f t="shared" si="79"/>
        <v>0</v>
      </c>
      <c r="P978" s="3">
        <f t="shared" si="79"/>
        <v>0</v>
      </c>
      <c r="Q978" s="3">
        <f t="shared" si="79"/>
        <v>0</v>
      </c>
      <c r="R978" s="3">
        <f t="shared" si="79"/>
        <v>0</v>
      </c>
      <c r="S978" s="3">
        <f t="shared" si="79"/>
        <v>0</v>
      </c>
      <c r="T978" s="3">
        <f t="shared" si="79"/>
        <v>0</v>
      </c>
      <c r="U978" s="3">
        <f t="shared" si="79"/>
        <v>0</v>
      </c>
      <c r="V978" s="3">
        <f t="shared" si="79"/>
        <v>0</v>
      </c>
      <c r="W978" s="3">
        <f t="shared" si="79"/>
        <v>0</v>
      </c>
      <c r="X978" s="3">
        <f t="shared" si="79"/>
        <v>0</v>
      </c>
      <c r="Y978" s="3">
        <f t="shared" si="79"/>
        <v>0</v>
      </c>
      <c r="Z978" s="3">
        <f t="shared" si="79"/>
        <v>0</v>
      </c>
      <c r="AA978" s="3">
        <f t="shared" si="79"/>
        <v>0</v>
      </c>
      <c r="AB978" s="3">
        <f t="shared" si="79"/>
        <v>0</v>
      </c>
      <c r="AC978" s="3">
        <f t="shared" si="79"/>
        <v>0</v>
      </c>
      <c r="AD978" s="3">
        <f t="shared" si="79"/>
        <v>0</v>
      </c>
      <c r="AE978" s="3">
        <f t="shared" si="79"/>
        <v>0</v>
      </c>
      <c r="AF978" s="3">
        <f t="shared" si="79"/>
        <v>0</v>
      </c>
      <c r="AG978" s="3">
        <f t="shared" si="79"/>
        <v>0</v>
      </c>
      <c r="AH978" s="3">
        <f t="shared" si="79"/>
        <v>0</v>
      </c>
      <c r="AI978" s="3">
        <f t="shared" si="79"/>
        <v>0</v>
      </c>
      <c r="AJ978" s="3">
        <f t="shared" si="79"/>
        <v>0</v>
      </c>
      <c r="AK978" s="3">
        <f t="shared" si="79"/>
        <v>0</v>
      </c>
      <c r="AL978" s="3">
        <f t="shared" si="79"/>
        <v>301684</v>
      </c>
      <c r="AM978" s="3">
        <f t="shared" si="79"/>
        <v>0</v>
      </c>
      <c r="AN978" s="3">
        <f t="shared" si="79"/>
        <v>0</v>
      </c>
      <c r="AO978" s="3">
        <f t="shared" si="79"/>
        <v>0</v>
      </c>
      <c r="AP978" s="3">
        <f t="shared" si="79"/>
        <v>0</v>
      </c>
      <c r="AQ978" s="3">
        <f t="shared" si="79"/>
        <v>0</v>
      </c>
      <c r="AR978" s="3">
        <f t="shared" si="79"/>
        <v>0</v>
      </c>
      <c r="AS978" s="3">
        <f t="shared" si="79"/>
        <v>0</v>
      </c>
      <c r="AT978" s="3">
        <f t="shared" si="79"/>
        <v>0</v>
      </c>
      <c r="AU978" s="3">
        <f t="shared" si="79"/>
        <v>0</v>
      </c>
      <c r="AV978" s="3">
        <f t="shared" si="79"/>
        <v>0</v>
      </c>
      <c r="AW978" s="3">
        <f t="shared" si="79"/>
        <v>0</v>
      </c>
      <c r="AX978" s="3">
        <f t="shared" si="79"/>
        <v>0</v>
      </c>
      <c r="AY978" s="3">
        <f t="shared" si="79"/>
        <v>0</v>
      </c>
      <c r="AZ978" s="3">
        <f t="shared" si="79"/>
        <v>0</v>
      </c>
      <c r="BA978" s="3">
        <f t="shared" si="57"/>
        <v>0</v>
      </c>
    </row>
    <row r="979" spans="9:53">
      <c r="I979" s="392" t="str">
        <f t="shared" si="55"/>
        <v>WS-25</v>
      </c>
      <c r="J979" s="3">
        <f t="shared" ref="J979:AZ979" si="80">J27+J74+J121+J168+J215+J262+J309+J356+J403+J450+J497+J544+J591+J638+J685+J732</f>
        <v>0</v>
      </c>
      <c r="K979" s="3">
        <f t="shared" si="80"/>
        <v>0</v>
      </c>
      <c r="L979" s="3">
        <f t="shared" si="80"/>
        <v>0</v>
      </c>
      <c r="M979" s="3">
        <f t="shared" si="80"/>
        <v>0</v>
      </c>
      <c r="N979" s="3">
        <f t="shared" si="80"/>
        <v>0</v>
      </c>
      <c r="O979" s="3">
        <f t="shared" si="80"/>
        <v>0</v>
      </c>
      <c r="P979" s="3">
        <f t="shared" si="80"/>
        <v>0</v>
      </c>
      <c r="Q979" s="3">
        <f t="shared" si="80"/>
        <v>0</v>
      </c>
      <c r="R979" s="3">
        <f t="shared" si="80"/>
        <v>0</v>
      </c>
      <c r="S979" s="3">
        <f t="shared" si="80"/>
        <v>0</v>
      </c>
      <c r="T979" s="3">
        <f t="shared" si="80"/>
        <v>0</v>
      </c>
      <c r="U979" s="3">
        <f t="shared" si="80"/>
        <v>0</v>
      </c>
      <c r="V979" s="3">
        <f t="shared" si="80"/>
        <v>0</v>
      </c>
      <c r="W979" s="3">
        <f t="shared" si="80"/>
        <v>0</v>
      </c>
      <c r="X979" s="3">
        <f t="shared" si="80"/>
        <v>0</v>
      </c>
      <c r="Y979" s="3">
        <f t="shared" si="80"/>
        <v>0</v>
      </c>
      <c r="Z979" s="3">
        <f t="shared" si="80"/>
        <v>0</v>
      </c>
      <c r="AA979" s="3">
        <f t="shared" si="80"/>
        <v>0</v>
      </c>
      <c r="AB979" s="3">
        <f t="shared" si="80"/>
        <v>0</v>
      </c>
      <c r="AC979" s="3">
        <f t="shared" si="80"/>
        <v>0</v>
      </c>
      <c r="AD979" s="3">
        <f t="shared" si="80"/>
        <v>0</v>
      </c>
      <c r="AE979" s="3">
        <f t="shared" si="80"/>
        <v>0</v>
      </c>
      <c r="AF979" s="3">
        <f t="shared" si="80"/>
        <v>0</v>
      </c>
      <c r="AG979" s="3">
        <f t="shared" si="80"/>
        <v>0</v>
      </c>
      <c r="AH979" s="3">
        <f t="shared" si="80"/>
        <v>0</v>
      </c>
      <c r="AI979" s="3">
        <f t="shared" si="80"/>
        <v>0</v>
      </c>
      <c r="AJ979" s="3">
        <f t="shared" si="80"/>
        <v>0</v>
      </c>
      <c r="AK979" s="3">
        <f t="shared" si="80"/>
        <v>0</v>
      </c>
      <c r="AL979" s="3">
        <f t="shared" si="80"/>
        <v>0</v>
      </c>
      <c r="AM979" s="3">
        <f t="shared" si="80"/>
        <v>0</v>
      </c>
      <c r="AN979" s="3">
        <f t="shared" si="80"/>
        <v>0</v>
      </c>
      <c r="AO979" s="3">
        <f t="shared" si="80"/>
        <v>0</v>
      </c>
      <c r="AP979" s="3">
        <f t="shared" si="80"/>
        <v>0</v>
      </c>
      <c r="AQ979" s="3">
        <f t="shared" si="80"/>
        <v>425244</v>
      </c>
      <c r="AR979" s="3">
        <f t="shared" si="80"/>
        <v>0</v>
      </c>
      <c r="AS979" s="3">
        <f t="shared" si="80"/>
        <v>0</v>
      </c>
      <c r="AT979" s="3">
        <f t="shared" si="80"/>
        <v>0</v>
      </c>
      <c r="AU979" s="3">
        <f t="shared" si="80"/>
        <v>0</v>
      </c>
      <c r="AV979" s="3">
        <f t="shared" si="80"/>
        <v>0</v>
      </c>
      <c r="AW979" s="3">
        <f t="shared" si="80"/>
        <v>0</v>
      </c>
      <c r="AX979" s="3">
        <f t="shared" si="80"/>
        <v>0</v>
      </c>
      <c r="AY979" s="3">
        <f t="shared" si="80"/>
        <v>0</v>
      </c>
      <c r="AZ979" s="3">
        <f t="shared" si="80"/>
        <v>0</v>
      </c>
      <c r="BA979" s="3">
        <f t="shared" si="57"/>
        <v>0</v>
      </c>
    </row>
    <row r="980" spans="9:53">
      <c r="I980" s="392" t="str">
        <f t="shared" si="55"/>
        <v>WS-26</v>
      </c>
      <c r="J980" s="3">
        <f t="shared" ref="J980:AZ980" si="81">J28+J75+J122+J169+J216+J263+J310+J357+J404+J451+J498+J545+J592+J639+J686+J733</f>
        <v>0</v>
      </c>
      <c r="K980" s="3">
        <f t="shared" si="81"/>
        <v>0</v>
      </c>
      <c r="L980" s="3">
        <f t="shared" si="81"/>
        <v>0</v>
      </c>
      <c r="M980" s="3">
        <f t="shared" si="81"/>
        <v>0</v>
      </c>
      <c r="N980" s="3">
        <f t="shared" si="81"/>
        <v>0</v>
      </c>
      <c r="O980" s="3">
        <f t="shared" si="81"/>
        <v>0</v>
      </c>
      <c r="P980" s="3">
        <f t="shared" si="81"/>
        <v>0</v>
      </c>
      <c r="Q980" s="3">
        <f t="shared" si="81"/>
        <v>0</v>
      </c>
      <c r="R980" s="3">
        <f t="shared" si="81"/>
        <v>0</v>
      </c>
      <c r="S980" s="3">
        <f t="shared" si="81"/>
        <v>0</v>
      </c>
      <c r="T980" s="3">
        <f t="shared" si="81"/>
        <v>0</v>
      </c>
      <c r="U980" s="3">
        <f t="shared" si="81"/>
        <v>0</v>
      </c>
      <c r="V980" s="3">
        <f t="shared" si="81"/>
        <v>0</v>
      </c>
      <c r="W980" s="3">
        <f t="shared" si="81"/>
        <v>0</v>
      </c>
      <c r="X980" s="3">
        <f t="shared" si="81"/>
        <v>0</v>
      </c>
      <c r="Y980" s="3">
        <f t="shared" si="81"/>
        <v>0</v>
      </c>
      <c r="Z980" s="3">
        <f t="shared" si="81"/>
        <v>0</v>
      </c>
      <c r="AA980" s="3">
        <f t="shared" si="81"/>
        <v>0</v>
      </c>
      <c r="AB980" s="3">
        <f t="shared" si="81"/>
        <v>0</v>
      </c>
      <c r="AC980" s="3">
        <f t="shared" si="81"/>
        <v>0</v>
      </c>
      <c r="AD980" s="3">
        <f t="shared" si="81"/>
        <v>0</v>
      </c>
      <c r="AE980" s="3">
        <f t="shared" si="81"/>
        <v>0</v>
      </c>
      <c r="AF980" s="3">
        <f t="shared" si="81"/>
        <v>0</v>
      </c>
      <c r="AG980" s="3">
        <f t="shared" si="81"/>
        <v>0</v>
      </c>
      <c r="AH980" s="3">
        <f t="shared" si="81"/>
        <v>0</v>
      </c>
      <c r="AI980" s="3">
        <f t="shared" si="81"/>
        <v>0</v>
      </c>
      <c r="AJ980" s="3">
        <f t="shared" si="81"/>
        <v>0</v>
      </c>
      <c r="AK980" s="3">
        <f t="shared" si="81"/>
        <v>0</v>
      </c>
      <c r="AL980" s="3">
        <f t="shared" si="81"/>
        <v>0</v>
      </c>
      <c r="AM980" s="3">
        <f t="shared" si="81"/>
        <v>0</v>
      </c>
      <c r="AN980" s="3">
        <f t="shared" si="81"/>
        <v>0</v>
      </c>
      <c r="AO980" s="3">
        <f t="shared" si="81"/>
        <v>136301</v>
      </c>
      <c r="AP980" s="3">
        <f t="shared" si="81"/>
        <v>0</v>
      </c>
      <c r="AQ980" s="3">
        <f t="shared" si="81"/>
        <v>0</v>
      </c>
      <c r="AR980" s="3">
        <f t="shared" si="81"/>
        <v>0</v>
      </c>
      <c r="AS980" s="3">
        <f t="shared" si="81"/>
        <v>0</v>
      </c>
      <c r="AT980" s="3">
        <f t="shared" si="81"/>
        <v>0</v>
      </c>
      <c r="AU980" s="3">
        <f t="shared" si="81"/>
        <v>0</v>
      </c>
      <c r="AV980" s="3">
        <f t="shared" si="81"/>
        <v>0</v>
      </c>
      <c r="AW980" s="3">
        <f t="shared" si="81"/>
        <v>0</v>
      </c>
      <c r="AX980" s="3">
        <f t="shared" si="81"/>
        <v>0</v>
      </c>
      <c r="AY980" s="3">
        <f t="shared" si="81"/>
        <v>0</v>
      </c>
      <c r="AZ980" s="3">
        <f t="shared" si="81"/>
        <v>0</v>
      </c>
      <c r="BA980" s="3">
        <f t="shared" si="57"/>
        <v>0</v>
      </c>
    </row>
    <row r="981" spans="9:53">
      <c r="I981" s="392" t="str">
        <f t="shared" si="55"/>
        <v>WS-27</v>
      </c>
      <c r="J981" s="3">
        <f t="shared" ref="J981:AZ981" si="82">J29+J76+J123+J170+J217+J264+J311+J358+J405+J452+J499+J546+J593+J640+J687+J734</f>
        <v>0</v>
      </c>
      <c r="K981" s="3">
        <f t="shared" si="82"/>
        <v>0</v>
      </c>
      <c r="L981" s="3">
        <f t="shared" si="82"/>
        <v>0</v>
      </c>
      <c r="M981" s="3">
        <f t="shared" si="82"/>
        <v>0</v>
      </c>
      <c r="N981" s="3">
        <f t="shared" si="82"/>
        <v>0</v>
      </c>
      <c r="O981" s="3">
        <f t="shared" si="82"/>
        <v>0</v>
      </c>
      <c r="P981" s="3">
        <f t="shared" si="82"/>
        <v>0</v>
      </c>
      <c r="Q981" s="3">
        <f t="shared" si="82"/>
        <v>0</v>
      </c>
      <c r="R981" s="3">
        <f t="shared" si="82"/>
        <v>0</v>
      </c>
      <c r="S981" s="3">
        <f t="shared" si="82"/>
        <v>0</v>
      </c>
      <c r="T981" s="3">
        <f t="shared" si="82"/>
        <v>0</v>
      </c>
      <c r="U981" s="3">
        <f t="shared" si="82"/>
        <v>0</v>
      </c>
      <c r="V981" s="3">
        <f t="shared" si="82"/>
        <v>0</v>
      </c>
      <c r="W981" s="3">
        <f t="shared" si="82"/>
        <v>0</v>
      </c>
      <c r="X981" s="3">
        <f t="shared" si="82"/>
        <v>0</v>
      </c>
      <c r="Y981" s="3">
        <f t="shared" si="82"/>
        <v>0</v>
      </c>
      <c r="Z981" s="3">
        <f t="shared" si="82"/>
        <v>0</v>
      </c>
      <c r="AA981" s="3">
        <f t="shared" si="82"/>
        <v>0</v>
      </c>
      <c r="AB981" s="3">
        <f t="shared" si="82"/>
        <v>0</v>
      </c>
      <c r="AC981" s="3">
        <f t="shared" si="82"/>
        <v>0</v>
      </c>
      <c r="AD981" s="3">
        <f t="shared" si="82"/>
        <v>0</v>
      </c>
      <c r="AE981" s="3">
        <f t="shared" si="82"/>
        <v>0</v>
      </c>
      <c r="AF981" s="3">
        <f t="shared" si="82"/>
        <v>0</v>
      </c>
      <c r="AG981" s="3">
        <f t="shared" si="82"/>
        <v>0</v>
      </c>
      <c r="AH981" s="3">
        <f t="shared" si="82"/>
        <v>0</v>
      </c>
      <c r="AI981" s="3">
        <f t="shared" si="82"/>
        <v>0</v>
      </c>
      <c r="AJ981" s="3">
        <f t="shared" si="82"/>
        <v>0</v>
      </c>
      <c r="AK981" s="3">
        <f t="shared" si="82"/>
        <v>0</v>
      </c>
      <c r="AL981" s="3">
        <f t="shared" si="82"/>
        <v>0</v>
      </c>
      <c r="AM981" s="3">
        <f t="shared" si="82"/>
        <v>0</v>
      </c>
      <c r="AN981" s="3">
        <f t="shared" si="82"/>
        <v>0</v>
      </c>
      <c r="AO981" s="3">
        <f t="shared" si="82"/>
        <v>176193</v>
      </c>
      <c r="AP981" s="3">
        <f t="shared" si="82"/>
        <v>0</v>
      </c>
      <c r="AQ981" s="3">
        <f t="shared" si="82"/>
        <v>0</v>
      </c>
      <c r="AR981" s="3">
        <f t="shared" si="82"/>
        <v>0</v>
      </c>
      <c r="AS981" s="3">
        <f t="shared" si="82"/>
        <v>0</v>
      </c>
      <c r="AT981" s="3">
        <f t="shared" si="82"/>
        <v>0</v>
      </c>
      <c r="AU981" s="3">
        <f t="shared" si="82"/>
        <v>0</v>
      </c>
      <c r="AV981" s="3">
        <f t="shared" si="82"/>
        <v>0</v>
      </c>
      <c r="AW981" s="3">
        <f t="shared" si="82"/>
        <v>0</v>
      </c>
      <c r="AX981" s="3">
        <f t="shared" si="82"/>
        <v>0</v>
      </c>
      <c r="AY981" s="3">
        <f t="shared" si="82"/>
        <v>0</v>
      </c>
      <c r="AZ981" s="3">
        <f t="shared" si="82"/>
        <v>0</v>
      </c>
      <c r="BA981" s="3">
        <f t="shared" si="57"/>
        <v>0</v>
      </c>
    </row>
    <row r="982" spans="9:53">
      <c r="I982" s="392" t="str">
        <f t="shared" si="55"/>
        <v>WS-28</v>
      </c>
      <c r="J982" s="3">
        <f t="shared" ref="J982:AZ982" si="83">J30+J77+J124+J171+J218+J265+J312+J359+J406+J453+J500+J547+J594+J641+J688+J735</f>
        <v>0</v>
      </c>
      <c r="K982" s="3">
        <f t="shared" si="83"/>
        <v>0</v>
      </c>
      <c r="L982" s="3">
        <f t="shared" si="83"/>
        <v>0</v>
      </c>
      <c r="M982" s="3">
        <f t="shared" si="83"/>
        <v>0</v>
      </c>
      <c r="N982" s="3">
        <f t="shared" si="83"/>
        <v>0</v>
      </c>
      <c r="O982" s="3">
        <f t="shared" si="83"/>
        <v>0</v>
      </c>
      <c r="P982" s="3">
        <f t="shared" si="83"/>
        <v>0</v>
      </c>
      <c r="Q982" s="3">
        <f t="shared" si="83"/>
        <v>0</v>
      </c>
      <c r="R982" s="3">
        <f t="shared" si="83"/>
        <v>0</v>
      </c>
      <c r="S982" s="3">
        <f t="shared" si="83"/>
        <v>0</v>
      </c>
      <c r="T982" s="3">
        <f t="shared" si="83"/>
        <v>0</v>
      </c>
      <c r="U982" s="3">
        <f t="shared" si="83"/>
        <v>0</v>
      </c>
      <c r="V982" s="3">
        <f t="shared" si="83"/>
        <v>0</v>
      </c>
      <c r="W982" s="3">
        <f t="shared" si="83"/>
        <v>0</v>
      </c>
      <c r="X982" s="3">
        <f t="shared" si="83"/>
        <v>0</v>
      </c>
      <c r="Y982" s="3">
        <f t="shared" si="83"/>
        <v>0</v>
      </c>
      <c r="Z982" s="3">
        <f t="shared" si="83"/>
        <v>0</v>
      </c>
      <c r="AA982" s="3">
        <f t="shared" si="83"/>
        <v>0</v>
      </c>
      <c r="AB982" s="3">
        <f t="shared" si="83"/>
        <v>0</v>
      </c>
      <c r="AC982" s="3">
        <f t="shared" si="83"/>
        <v>0</v>
      </c>
      <c r="AD982" s="3">
        <f t="shared" si="83"/>
        <v>0</v>
      </c>
      <c r="AE982" s="3">
        <f t="shared" si="83"/>
        <v>0</v>
      </c>
      <c r="AF982" s="3">
        <f t="shared" si="83"/>
        <v>0</v>
      </c>
      <c r="AG982" s="3">
        <f t="shared" si="83"/>
        <v>0</v>
      </c>
      <c r="AH982" s="3">
        <f t="shared" si="83"/>
        <v>0</v>
      </c>
      <c r="AI982" s="3">
        <f t="shared" si="83"/>
        <v>0</v>
      </c>
      <c r="AJ982" s="3">
        <f t="shared" si="83"/>
        <v>176193</v>
      </c>
      <c r="AK982" s="3">
        <f t="shared" si="83"/>
        <v>0</v>
      </c>
      <c r="AL982" s="3">
        <f t="shared" si="83"/>
        <v>0</v>
      </c>
      <c r="AM982" s="3">
        <f t="shared" si="83"/>
        <v>0</v>
      </c>
      <c r="AN982" s="3">
        <f t="shared" si="83"/>
        <v>0</v>
      </c>
      <c r="AO982" s="3">
        <f t="shared" si="83"/>
        <v>0</v>
      </c>
      <c r="AP982" s="3">
        <f t="shared" si="83"/>
        <v>0</v>
      </c>
      <c r="AQ982" s="3">
        <f t="shared" si="83"/>
        <v>0</v>
      </c>
      <c r="AR982" s="3">
        <f t="shared" si="83"/>
        <v>0</v>
      </c>
      <c r="AS982" s="3">
        <f t="shared" si="83"/>
        <v>0</v>
      </c>
      <c r="AT982" s="3">
        <f t="shared" si="83"/>
        <v>0</v>
      </c>
      <c r="AU982" s="3">
        <f t="shared" si="83"/>
        <v>0</v>
      </c>
      <c r="AV982" s="3">
        <f t="shared" si="83"/>
        <v>0</v>
      </c>
      <c r="AW982" s="3">
        <f t="shared" si="83"/>
        <v>0</v>
      </c>
      <c r="AX982" s="3">
        <f t="shared" si="83"/>
        <v>0</v>
      </c>
      <c r="AY982" s="3">
        <f t="shared" si="83"/>
        <v>0</v>
      </c>
      <c r="AZ982" s="3">
        <f t="shared" si="83"/>
        <v>0</v>
      </c>
      <c r="BA982" s="3">
        <f t="shared" si="57"/>
        <v>0</v>
      </c>
    </row>
    <row r="983" spans="9:53">
      <c r="I983" s="392" t="str">
        <f t="shared" si="55"/>
        <v>WS-29</v>
      </c>
      <c r="J983" s="3">
        <f t="shared" ref="J983:AZ983" si="84">J31+J78+J125+J172+J219+J266+J313+J360+J407+J454+J501+J548+J595+J642+J689+J736</f>
        <v>0</v>
      </c>
      <c r="K983" s="3">
        <f t="shared" si="84"/>
        <v>0</v>
      </c>
      <c r="L983" s="3">
        <f t="shared" si="84"/>
        <v>0</v>
      </c>
      <c r="M983" s="3">
        <f t="shared" si="84"/>
        <v>0</v>
      </c>
      <c r="N983" s="3">
        <f t="shared" si="84"/>
        <v>0</v>
      </c>
      <c r="O983" s="3">
        <f t="shared" si="84"/>
        <v>0</v>
      </c>
      <c r="P983" s="3">
        <f t="shared" si="84"/>
        <v>0</v>
      </c>
      <c r="Q983" s="3">
        <f t="shared" si="84"/>
        <v>0</v>
      </c>
      <c r="R983" s="3">
        <f t="shared" si="84"/>
        <v>0</v>
      </c>
      <c r="S983" s="3">
        <f t="shared" si="84"/>
        <v>0</v>
      </c>
      <c r="T983" s="3">
        <f t="shared" si="84"/>
        <v>0</v>
      </c>
      <c r="U983" s="3">
        <f t="shared" si="84"/>
        <v>0</v>
      </c>
      <c r="V983" s="3">
        <f t="shared" si="84"/>
        <v>0</v>
      </c>
      <c r="W983" s="3">
        <f t="shared" si="84"/>
        <v>0</v>
      </c>
      <c r="X983" s="3">
        <f t="shared" si="84"/>
        <v>0</v>
      </c>
      <c r="Y983" s="3">
        <f t="shared" si="84"/>
        <v>0</v>
      </c>
      <c r="Z983" s="3">
        <f t="shared" si="84"/>
        <v>0</v>
      </c>
      <c r="AA983" s="3">
        <f t="shared" si="84"/>
        <v>0</v>
      </c>
      <c r="AB983" s="3">
        <f t="shared" si="84"/>
        <v>0</v>
      </c>
      <c r="AC983" s="3">
        <f t="shared" si="84"/>
        <v>0</v>
      </c>
      <c r="AD983" s="3">
        <f t="shared" si="84"/>
        <v>0</v>
      </c>
      <c r="AE983" s="3">
        <f t="shared" si="84"/>
        <v>0</v>
      </c>
      <c r="AF983" s="3">
        <f t="shared" si="84"/>
        <v>0</v>
      </c>
      <c r="AG983" s="3">
        <f t="shared" si="84"/>
        <v>0</v>
      </c>
      <c r="AH983" s="3">
        <f t="shared" si="84"/>
        <v>0</v>
      </c>
      <c r="AI983" s="3">
        <f t="shared" si="84"/>
        <v>0</v>
      </c>
      <c r="AJ983" s="3">
        <f t="shared" si="84"/>
        <v>0</v>
      </c>
      <c r="AK983" s="3">
        <f t="shared" si="84"/>
        <v>0</v>
      </c>
      <c r="AL983" s="3">
        <f t="shared" si="84"/>
        <v>0</v>
      </c>
      <c r="AM983" s="3">
        <f t="shared" si="84"/>
        <v>0</v>
      </c>
      <c r="AN983" s="3">
        <f t="shared" si="84"/>
        <v>0</v>
      </c>
      <c r="AO983" s="3">
        <f t="shared" si="84"/>
        <v>0</v>
      </c>
      <c r="AP983" s="3">
        <f t="shared" si="84"/>
        <v>301684</v>
      </c>
      <c r="AQ983" s="3">
        <f t="shared" si="84"/>
        <v>0</v>
      </c>
      <c r="AR983" s="3">
        <f t="shared" si="84"/>
        <v>0</v>
      </c>
      <c r="AS983" s="3">
        <f t="shared" si="84"/>
        <v>0</v>
      </c>
      <c r="AT983" s="3">
        <f t="shared" si="84"/>
        <v>0</v>
      </c>
      <c r="AU983" s="3">
        <f t="shared" si="84"/>
        <v>0</v>
      </c>
      <c r="AV983" s="3">
        <f t="shared" si="84"/>
        <v>0</v>
      </c>
      <c r="AW983" s="3">
        <f t="shared" si="84"/>
        <v>0</v>
      </c>
      <c r="AX983" s="3">
        <f t="shared" si="84"/>
        <v>0</v>
      </c>
      <c r="AY983" s="3">
        <f t="shared" si="84"/>
        <v>0</v>
      </c>
      <c r="AZ983" s="3">
        <f t="shared" si="84"/>
        <v>0</v>
      </c>
      <c r="BA983" s="3">
        <f t="shared" si="57"/>
        <v>0</v>
      </c>
    </row>
    <row r="984" spans="9:53">
      <c r="I984" s="392" t="str">
        <f t="shared" si="55"/>
        <v>WS-30</v>
      </c>
      <c r="J984" s="3">
        <f t="shared" ref="J984:AZ984" si="85">J32+J79+J126+J173+J220+J267+J314+J361+J408+J455+J502+J549+J596+J643+J690+J737</f>
        <v>0</v>
      </c>
      <c r="K984" s="3">
        <f t="shared" si="85"/>
        <v>0</v>
      </c>
      <c r="L984" s="3">
        <f t="shared" si="85"/>
        <v>0</v>
      </c>
      <c r="M984" s="3">
        <f t="shared" si="85"/>
        <v>0</v>
      </c>
      <c r="N984" s="3">
        <f t="shared" si="85"/>
        <v>0</v>
      </c>
      <c r="O984" s="3">
        <f t="shared" si="85"/>
        <v>0</v>
      </c>
      <c r="P984" s="3">
        <f t="shared" si="85"/>
        <v>0</v>
      </c>
      <c r="Q984" s="3">
        <f t="shared" si="85"/>
        <v>0</v>
      </c>
      <c r="R984" s="3">
        <f t="shared" si="85"/>
        <v>0</v>
      </c>
      <c r="S984" s="3">
        <f t="shared" si="85"/>
        <v>0</v>
      </c>
      <c r="T984" s="3">
        <f t="shared" si="85"/>
        <v>0</v>
      </c>
      <c r="U984" s="3">
        <f t="shared" si="85"/>
        <v>0</v>
      </c>
      <c r="V984" s="3">
        <f t="shared" si="85"/>
        <v>0</v>
      </c>
      <c r="W984" s="3">
        <f t="shared" si="85"/>
        <v>0</v>
      </c>
      <c r="X984" s="3">
        <f t="shared" si="85"/>
        <v>0</v>
      </c>
      <c r="Y984" s="3">
        <f t="shared" si="85"/>
        <v>0</v>
      </c>
      <c r="Z984" s="3">
        <f t="shared" si="85"/>
        <v>0</v>
      </c>
      <c r="AA984" s="3">
        <f t="shared" si="85"/>
        <v>0</v>
      </c>
      <c r="AB984" s="3">
        <f t="shared" si="85"/>
        <v>0</v>
      </c>
      <c r="AC984" s="3">
        <f t="shared" si="85"/>
        <v>0</v>
      </c>
      <c r="AD984" s="3">
        <f t="shared" si="85"/>
        <v>0</v>
      </c>
      <c r="AE984" s="3">
        <f t="shared" si="85"/>
        <v>0</v>
      </c>
      <c r="AF984" s="3">
        <f t="shared" si="85"/>
        <v>0</v>
      </c>
      <c r="AG984" s="3">
        <f t="shared" si="85"/>
        <v>0</v>
      </c>
      <c r="AH984" s="3">
        <f t="shared" si="85"/>
        <v>0</v>
      </c>
      <c r="AI984" s="3">
        <f t="shared" si="85"/>
        <v>0</v>
      </c>
      <c r="AJ984" s="3">
        <f t="shared" si="85"/>
        <v>0</v>
      </c>
      <c r="AK984" s="3">
        <f t="shared" si="85"/>
        <v>0</v>
      </c>
      <c r="AL984" s="3">
        <f t="shared" si="85"/>
        <v>0</v>
      </c>
      <c r="AM984" s="3">
        <f t="shared" si="85"/>
        <v>0</v>
      </c>
      <c r="AN984" s="3">
        <f t="shared" si="85"/>
        <v>0</v>
      </c>
      <c r="AO984" s="3">
        <f t="shared" si="85"/>
        <v>0</v>
      </c>
      <c r="AP984" s="3">
        <f t="shared" si="85"/>
        <v>0</v>
      </c>
      <c r="AQ984" s="3">
        <f t="shared" si="85"/>
        <v>0</v>
      </c>
      <c r="AR984" s="3">
        <f t="shared" si="85"/>
        <v>0</v>
      </c>
      <c r="AS984" s="3">
        <f t="shared" si="85"/>
        <v>0</v>
      </c>
      <c r="AT984" s="3">
        <f t="shared" si="85"/>
        <v>0</v>
      </c>
      <c r="AU984" s="3">
        <f t="shared" si="85"/>
        <v>0</v>
      </c>
      <c r="AV984" s="3">
        <f t="shared" si="85"/>
        <v>0</v>
      </c>
      <c r="AW984" s="3">
        <f t="shared" si="85"/>
        <v>0</v>
      </c>
      <c r="AX984" s="3">
        <f t="shared" si="85"/>
        <v>0</v>
      </c>
      <c r="AY984" s="3">
        <f t="shared" si="85"/>
        <v>0</v>
      </c>
      <c r="AZ984" s="3">
        <f t="shared" si="85"/>
        <v>0</v>
      </c>
      <c r="BA984" s="3">
        <f t="shared" si="57"/>
        <v>0</v>
      </c>
    </row>
    <row r="985" spans="9:53">
      <c r="I985" s="392" t="str">
        <f t="shared" si="55"/>
        <v>WS-31</v>
      </c>
      <c r="J985" s="3">
        <f t="shared" ref="J985:AZ985" si="86">J33+J80+J127+J174+J221+J268+J315+J362+J409+J456+J503+J550+J597+J644+J691+J738</f>
        <v>0</v>
      </c>
      <c r="K985" s="3">
        <f t="shared" si="86"/>
        <v>0</v>
      </c>
      <c r="L985" s="3">
        <f t="shared" si="86"/>
        <v>0</v>
      </c>
      <c r="M985" s="3">
        <f t="shared" si="86"/>
        <v>0</v>
      </c>
      <c r="N985" s="3">
        <f t="shared" si="86"/>
        <v>0</v>
      </c>
      <c r="O985" s="3">
        <f t="shared" si="86"/>
        <v>0</v>
      </c>
      <c r="P985" s="3">
        <f t="shared" si="86"/>
        <v>0</v>
      </c>
      <c r="Q985" s="3">
        <f t="shared" si="86"/>
        <v>0</v>
      </c>
      <c r="R985" s="3">
        <f t="shared" si="86"/>
        <v>0</v>
      </c>
      <c r="S985" s="3">
        <f t="shared" si="86"/>
        <v>0</v>
      </c>
      <c r="T985" s="3">
        <f t="shared" si="86"/>
        <v>0</v>
      </c>
      <c r="U985" s="3">
        <f t="shared" si="86"/>
        <v>0</v>
      </c>
      <c r="V985" s="3">
        <f t="shared" si="86"/>
        <v>0</v>
      </c>
      <c r="W985" s="3">
        <f t="shared" si="86"/>
        <v>0</v>
      </c>
      <c r="X985" s="3">
        <f t="shared" si="86"/>
        <v>0</v>
      </c>
      <c r="Y985" s="3">
        <f t="shared" si="86"/>
        <v>0</v>
      </c>
      <c r="Z985" s="3">
        <f t="shared" si="86"/>
        <v>0</v>
      </c>
      <c r="AA985" s="3">
        <f t="shared" si="86"/>
        <v>0</v>
      </c>
      <c r="AB985" s="3">
        <f t="shared" si="86"/>
        <v>0</v>
      </c>
      <c r="AC985" s="3">
        <f t="shared" si="86"/>
        <v>0</v>
      </c>
      <c r="AD985" s="3">
        <f t="shared" si="86"/>
        <v>0</v>
      </c>
      <c r="AE985" s="3">
        <f t="shared" si="86"/>
        <v>0</v>
      </c>
      <c r="AF985" s="3">
        <f t="shared" si="86"/>
        <v>0</v>
      </c>
      <c r="AG985" s="3">
        <f t="shared" si="86"/>
        <v>0</v>
      </c>
      <c r="AH985" s="3">
        <f t="shared" si="86"/>
        <v>0</v>
      </c>
      <c r="AI985" s="3">
        <f t="shared" si="86"/>
        <v>0</v>
      </c>
      <c r="AJ985" s="3">
        <f t="shared" si="86"/>
        <v>0</v>
      </c>
      <c r="AK985" s="3">
        <f t="shared" si="86"/>
        <v>0</v>
      </c>
      <c r="AL985" s="3">
        <f t="shared" si="86"/>
        <v>0</v>
      </c>
      <c r="AM985" s="3">
        <f t="shared" si="86"/>
        <v>0</v>
      </c>
      <c r="AN985" s="3">
        <f t="shared" si="86"/>
        <v>0</v>
      </c>
      <c r="AO985" s="3">
        <f t="shared" si="86"/>
        <v>141224</v>
      </c>
      <c r="AP985" s="3">
        <f t="shared" si="86"/>
        <v>0</v>
      </c>
      <c r="AQ985" s="3">
        <f t="shared" si="86"/>
        <v>0</v>
      </c>
      <c r="AR985" s="3">
        <f t="shared" si="86"/>
        <v>0</v>
      </c>
      <c r="AS985" s="3">
        <f t="shared" si="86"/>
        <v>0</v>
      </c>
      <c r="AT985" s="3">
        <f t="shared" si="86"/>
        <v>0</v>
      </c>
      <c r="AU985" s="3">
        <f t="shared" si="86"/>
        <v>0</v>
      </c>
      <c r="AV985" s="3">
        <f t="shared" si="86"/>
        <v>0</v>
      </c>
      <c r="AW985" s="3">
        <f t="shared" si="86"/>
        <v>0</v>
      </c>
      <c r="AX985" s="3">
        <f t="shared" si="86"/>
        <v>0</v>
      </c>
      <c r="AY985" s="3">
        <f t="shared" si="86"/>
        <v>0</v>
      </c>
      <c r="AZ985" s="3">
        <f t="shared" si="86"/>
        <v>0</v>
      </c>
      <c r="BA985" s="3">
        <f t="shared" si="57"/>
        <v>0</v>
      </c>
    </row>
    <row r="986" spans="9:53">
      <c r="I986" s="392" t="str">
        <f t="shared" si="55"/>
        <v>WS-32</v>
      </c>
      <c r="J986" s="3">
        <f t="shared" ref="J986:AZ986" si="87">J34+J81+J128+J175+J222+J269+J316+J363+J410+J457+J504+J551+J598+J645+J692+J739</f>
        <v>0</v>
      </c>
      <c r="K986" s="3">
        <f t="shared" si="87"/>
        <v>0</v>
      </c>
      <c r="L986" s="3">
        <f t="shared" si="87"/>
        <v>0</v>
      </c>
      <c r="M986" s="3">
        <f t="shared" si="87"/>
        <v>0</v>
      </c>
      <c r="N986" s="3">
        <f t="shared" si="87"/>
        <v>0</v>
      </c>
      <c r="O986" s="3">
        <f t="shared" si="87"/>
        <v>0</v>
      </c>
      <c r="P986" s="3">
        <f t="shared" si="87"/>
        <v>0</v>
      </c>
      <c r="Q986" s="3">
        <f t="shared" si="87"/>
        <v>0</v>
      </c>
      <c r="R986" s="3">
        <f t="shared" si="87"/>
        <v>0</v>
      </c>
      <c r="S986" s="3">
        <f t="shared" si="87"/>
        <v>0</v>
      </c>
      <c r="T986" s="3">
        <f t="shared" si="87"/>
        <v>0</v>
      </c>
      <c r="U986" s="3">
        <f t="shared" si="87"/>
        <v>0</v>
      </c>
      <c r="V986" s="3">
        <f t="shared" si="87"/>
        <v>0</v>
      </c>
      <c r="W986" s="3">
        <f t="shared" si="87"/>
        <v>0</v>
      </c>
      <c r="X986" s="3">
        <f t="shared" si="87"/>
        <v>0</v>
      </c>
      <c r="Y986" s="3">
        <f t="shared" si="87"/>
        <v>0</v>
      </c>
      <c r="Z986" s="3">
        <f t="shared" si="87"/>
        <v>0</v>
      </c>
      <c r="AA986" s="3">
        <f t="shared" si="87"/>
        <v>0</v>
      </c>
      <c r="AB986" s="3">
        <f t="shared" si="87"/>
        <v>0</v>
      </c>
      <c r="AC986" s="3">
        <f t="shared" si="87"/>
        <v>0</v>
      </c>
      <c r="AD986" s="3">
        <f t="shared" si="87"/>
        <v>0</v>
      </c>
      <c r="AE986" s="3">
        <f t="shared" si="87"/>
        <v>0</v>
      </c>
      <c r="AF986" s="3">
        <f t="shared" si="87"/>
        <v>0</v>
      </c>
      <c r="AG986" s="3">
        <f t="shared" si="87"/>
        <v>0</v>
      </c>
      <c r="AH986" s="3">
        <f t="shared" si="87"/>
        <v>0</v>
      </c>
      <c r="AI986" s="3">
        <f t="shared" si="87"/>
        <v>0</v>
      </c>
      <c r="AJ986" s="3">
        <f t="shared" si="87"/>
        <v>0</v>
      </c>
      <c r="AK986" s="3">
        <f t="shared" si="87"/>
        <v>0</v>
      </c>
      <c r="AL986" s="3">
        <f t="shared" si="87"/>
        <v>0</v>
      </c>
      <c r="AM986" s="3">
        <f t="shared" si="87"/>
        <v>0</v>
      </c>
      <c r="AN986" s="3">
        <f t="shared" si="87"/>
        <v>0</v>
      </c>
      <c r="AO986" s="3">
        <f t="shared" si="87"/>
        <v>0</v>
      </c>
      <c r="AP986" s="3">
        <f t="shared" si="87"/>
        <v>0</v>
      </c>
      <c r="AQ986" s="3">
        <f t="shared" si="87"/>
        <v>0</v>
      </c>
      <c r="AR986" s="3">
        <f t="shared" si="87"/>
        <v>0</v>
      </c>
      <c r="AS986" s="3">
        <f t="shared" si="87"/>
        <v>0</v>
      </c>
      <c r="AT986" s="3">
        <f t="shared" si="87"/>
        <v>0</v>
      </c>
      <c r="AU986" s="3">
        <f t="shared" si="87"/>
        <v>0</v>
      </c>
      <c r="AV986" s="3">
        <f t="shared" si="87"/>
        <v>0</v>
      </c>
      <c r="AW986" s="3">
        <f t="shared" si="87"/>
        <v>0</v>
      </c>
      <c r="AX986" s="3">
        <f t="shared" si="87"/>
        <v>0</v>
      </c>
      <c r="AY986" s="3">
        <f t="shared" si="87"/>
        <v>86542</v>
      </c>
      <c r="AZ986" s="3">
        <f t="shared" si="87"/>
        <v>0</v>
      </c>
      <c r="BA986" s="3">
        <f t="shared" si="57"/>
        <v>367176</v>
      </c>
    </row>
    <row r="987" spans="9:53">
      <c r="I987" s="392" t="str">
        <f t="shared" si="55"/>
        <v>WS-33</v>
      </c>
      <c r="J987" s="3">
        <f t="shared" ref="J987:AZ987" si="88">J35+J82+J129+J176+J223+J270+J317+J364+J411+J458+J505+J552+J599+J646+J693+J740</f>
        <v>0</v>
      </c>
      <c r="K987" s="3">
        <f t="shared" si="88"/>
        <v>0</v>
      </c>
      <c r="L987" s="3">
        <f t="shared" si="88"/>
        <v>0</v>
      </c>
      <c r="M987" s="3">
        <f t="shared" si="88"/>
        <v>0</v>
      </c>
      <c r="N987" s="3">
        <f t="shared" si="88"/>
        <v>0</v>
      </c>
      <c r="O987" s="3">
        <f t="shared" si="88"/>
        <v>0</v>
      </c>
      <c r="P987" s="3">
        <f t="shared" si="88"/>
        <v>0</v>
      </c>
      <c r="Q987" s="3">
        <f t="shared" si="88"/>
        <v>0</v>
      </c>
      <c r="R987" s="3">
        <f t="shared" si="88"/>
        <v>0</v>
      </c>
      <c r="S987" s="3">
        <f t="shared" si="88"/>
        <v>0</v>
      </c>
      <c r="T987" s="3">
        <f t="shared" si="88"/>
        <v>0</v>
      </c>
      <c r="U987" s="3">
        <f t="shared" si="88"/>
        <v>0</v>
      </c>
      <c r="V987" s="3">
        <f t="shared" si="88"/>
        <v>0</v>
      </c>
      <c r="W987" s="3">
        <f t="shared" si="88"/>
        <v>0</v>
      </c>
      <c r="X987" s="3">
        <f t="shared" si="88"/>
        <v>0</v>
      </c>
      <c r="Y987" s="3">
        <f t="shared" si="88"/>
        <v>0</v>
      </c>
      <c r="Z987" s="3">
        <f t="shared" si="88"/>
        <v>0</v>
      </c>
      <c r="AA987" s="3">
        <f t="shared" si="88"/>
        <v>0</v>
      </c>
      <c r="AB987" s="3">
        <f t="shared" si="88"/>
        <v>0</v>
      </c>
      <c r="AC987" s="3">
        <f t="shared" si="88"/>
        <v>0</v>
      </c>
      <c r="AD987" s="3">
        <f t="shared" si="88"/>
        <v>0</v>
      </c>
      <c r="AE987" s="3">
        <f t="shared" si="88"/>
        <v>0</v>
      </c>
      <c r="AF987" s="3">
        <f t="shared" si="88"/>
        <v>0</v>
      </c>
      <c r="AG987" s="3">
        <f t="shared" si="88"/>
        <v>0</v>
      </c>
      <c r="AH987" s="3">
        <f t="shared" si="88"/>
        <v>0</v>
      </c>
      <c r="AI987" s="3">
        <f t="shared" si="88"/>
        <v>0</v>
      </c>
      <c r="AJ987" s="3">
        <f t="shared" si="88"/>
        <v>0</v>
      </c>
      <c r="AK987" s="3">
        <f t="shared" si="88"/>
        <v>0</v>
      </c>
      <c r="AL987" s="3">
        <f t="shared" si="88"/>
        <v>0</v>
      </c>
      <c r="AM987" s="3">
        <f t="shared" si="88"/>
        <v>0</v>
      </c>
      <c r="AN987" s="3">
        <f t="shared" si="88"/>
        <v>0</v>
      </c>
      <c r="AO987" s="3">
        <f t="shared" si="88"/>
        <v>0</v>
      </c>
      <c r="AP987" s="3">
        <f t="shared" si="88"/>
        <v>0</v>
      </c>
      <c r="AQ987" s="3">
        <f t="shared" si="88"/>
        <v>0</v>
      </c>
      <c r="AR987" s="3">
        <f t="shared" si="88"/>
        <v>0</v>
      </c>
      <c r="AS987" s="3">
        <f t="shared" si="88"/>
        <v>0</v>
      </c>
      <c r="AT987" s="3">
        <f t="shared" si="88"/>
        <v>0</v>
      </c>
      <c r="AU987" s="3">
        <f t="shared" si="88"/>
        <v>0</v>
      </c>
      <c r="AV987" s="3">
        <f t="shared" si="88"/>
        <v>0</v>
      </c>
      <c r="AW987" s="3">
        <f t="shared" si="88"/>
        <v>0</v>
      </c>
      <c r="AX987" s="3">
        <f t="shared" si="88"/>
        <v>0</v>
      </c>
      <c r="AY987" s="3">
        <f t="shared" si="88"/>
        <v>0</v>
      </c>
      <c r="AZ987" s="3">
        <f t="shared" si="88"/>
        <v>0</v>
      </c>
      <c r="BA987" s="3">
        <f t="shared" si="57"/>
        <v>301684</v>
      </c>
    </row>
    <row r="988" spans="9:53">
      <c r="I988" s="392" t="str">
        <f t="shared" si="55"/>
        <v>WS-34</v>
      </c>
      <c r="J988" s="3">
        <f t="shared" ref="J988:AZ988" si="89">J36+J83+J130+J177+J224+J271+J318+J365+J412+J459+J506+J553+J600+J647+J694+J741</f>
        <v>0</v>
      </c>
      <c r="K988" s="3">
        <f t="shared" si="89"/>
        <v>0</v>
      </c>
      <c r="L988" s="3">
        <f t="shared" si="89"/>
        <v>0</v>
      </c>
      <c r="M988" s="3">
        <f t="shared" si="89"/>
        <v>0</v>
      </c>
      <c r="N988" s="3">
        <f t="shared" si="89"/>
        <v>0</v>
      </c>
      <c r="O988" s="3">
        <f t="shared" si="89"/>
        <v>0</v>
      </c>
      <c r="P988" s="3">
        <f t="shared" si="89"/>
        <v>0</v>
      </c>
      <c r="Q988" s="3">
        <f t="shared" si="89"/>
        <v>0</v>
      </c>
      <c r="R988" s="3">
        <f t="shared" si="89"/>
        <v>0</v>
      </c>
      <c r="S988" s="3">
        <f t="shared" si="89"/>
        <v>0</v>
      </c>
      <c r="T988" s="3">
        <f t="shared" si="89"/>
        <v>0</v>
      </c>
      <c r="U988" s="3">
        <f t="shared" si="89"/>
        <v>0</v>
      </c>
      <c r="V988" s="3">
        <f t="shared" si="89"/>
        <v>0</v>
      </c>
      <c r="W988" s="3">
        <f t="shared" si="89"/>
        <v>0</v>
      </c>
      <c r="X988" s="3">
        <f t="shared" si="89"/>
        <v>0</v>
      </c>
      <c r="Y988" s="3">
        <f t="shared" si="89"/>
        <v>0</v>
      </c>
      <c r="Z988" s="3">
        <f t="shared" si="89"/>
        <v>0</v>
      </c>
      <c r="AA988" s="3">
        <f t="shared" si="89"/>
        <v>0</v>
      </c>
      <c r="AB988" s="3">
        <f t="shared" si="89"/>
        <v>0</v>
      </c>
      <c r="AC988" s="3">
        <f t="shared" si="89"/>
        <v>0</v>
      </c>
      <c r="AD988" s="3">
        <f t="shared" si="89"/>
        <v>0</v>
      </c>
      <c r="AE988" s="3">
        <f t="shared" si="89"/>
        <v>0</v>
      </c>
      <c r="AF988" s="3">
        <f t="shared" si="89"/>
        <v>0</v>
      </c>
      <c r="AG988" s="3">
        <f t="shared" si="89"/>
        <v>0</v>
      </c>
      <c r="AH988" s="3">
        <f t="shared" si="89"/>
        <v>0</v>
      </c>
      <c r="AI988" s="3">
        <f t="shared" si="89"/>
        <v>0</v>
      </c>
      <c r="AJ988" s="3">
        <f t="shared" si="89"/>
        <v>0</v>
      </c>
      <c r="AK988" s="3">
        <f t="shared" si="89"/>
        <v>0</v>
      </c>
      <c r="AL988" s="3">
        <f t="shared" si="89"/>
        <v>0</v>
      </c>
      <c r="AM988" s="3">
        <f t="shared" si="89"/>
        <v>0</v>
      </c>
      <c r="AN988" s="3">
        <f t="shared" si="89"/>
        <v>0</v>
      </c>
      <c r="AO988" s="3">
        <f t="shared" si="89"/>
        <v>0</v>
      </c>
      <c r="AP988" s="3">
        <f t="shared" si="89"/>
        <v>0</v>
      </c>
      <c r="AQ988" s="3">
        <f t="shared" si="89"/>
        <v>0</v>
      </c>
      <c r="AR988" s="3">
        <f t="shared" si="89"/>
        <v>0</v>
      </c>
      <c r="AS988" s="3">
        <f t="shared" si="89"/>
        <v>0</v>
      </c>
      <c r="AT988" s="3">
        <f t="shared" si="89"/>
        <v>0</v>
      </c>
      <c r="AU988" s="3">
        <f t="shared" si="89"/>
        <v>0</v>
      </c>
      <c r="AV988" s="3">
        <f t="shared" si="89"/>
        <v>0</v>
      </c>
      <c r="AW988" s="3">
        <f t="shared" si="89"/>
        <v>0</v>
      </c>
      <c r="AX988" s="3">
        <f t="shared" si="89"/>
        <v>0</v>
      </c>
      <c r="AY988" s="3">
        <f t="shared" si="89"/>
        <v>0</v>
      </c>
      <c r="AZ988" s="3">
        <f t="shared" si="89"/>
        <v>0</v>
      </c>
      <c r="BA988" s="3">
        <f t="shared" si="57"/>
        <v>425244</v>
      </c>
    </row>
    <row r="989" spans="9:53">
      <c r="I989" s="392" t="str">
        <f t="shared" si="55"/>
        <v>WS-35</v>
      </c>
      <c r="J989" s="3">
        <f t="shared" ref="J989:AZ989" si="90">J37+J84+J131+J178+J225+J272+J319+J366+J413+J460+J507+J554+J601+J648+J695+J742</f>
        <v>0</v>
      </c>
      <c r="K989" s="3">
        <f t="shared" si="90"/>
        <v>0</v>
      </c>
      <c r="L989" s="3">
        <f t="shared" si="90"/>
        <v>0</v>
      </c>
      <c r="M989" s="3">
        <f t="shared" si="90"/>
        <v>0</v>
      </c>
      <c r="N989" s="3">
        <f t="shared" si="90"/>
        <v>0</v>
      </c>
      <c r="O989" s="3">
        <f t="shared" si="90"/>
        <v>0</v>
      </c>
      <c r="P989" s="3">
        <f t="shared" si="90"/>
        <v>0</v>
      </c>
      <c r="Q989" s="3">
        <f t="shared" si="90"/>
        <v>0</v>
      </c>
      <c r="R989" s="3">
        <f t="shared" si="90"/>
        <v>0</v>
      </c>
      <c r="S989" s="3">
        <f t="shared" si="90"/>
        <v>0</v>
      </c>
      <c r="T989" s="3">
        <f t="shared" si="90"/>
        <v>0</v>
      </c>
      <c r="U989" s="3">
        <f t="shared" si="90"/>
        <v>0</v>
      </c>
      <c r="V989" s="3">
        <f t="shared" si="90"/>
        <v>0</v>
      </c>
      <c r="W989" s="3">
        <f t="shared" si="90"/>
        <v>0</v>
      </c>
      <c r="X989" s="3">
        <f t="shared" si="90"/>
        <v>0</v>
      </c>
      <c r="Y989" s="3">
        <f t="shared" si="90"/>
        <v>0</v>
      </c>
      <c r="Z989" s="3">
        <f t="shared" si="90"/>
        <v>0</v>
      </c>
      <c r="AA989" s="3">
        <f t="shared" si="90"/>
        <v>0</v>
      </c>
      <c r="AB989" s="3">
        <f t="shared" si="90"/>
        <v>0</v>
      </c>
      <c r="AC989" s="3">
        <f t="shared" si="90"/>
        <v>0</v>
      </c>
      <c r="AD989" s="3">
        <f t="shared" si="90"/>
        <v>0</v>
      </c>
      <c r="AE989" s="3">
        <f t="shared" si="90"/>
        <v>0</v>
      </c>
      <c r="AF989" s="3">
        <f t="shared" si="90"/>
        <v>0</v>
      </c>
      <c r="AG989" s="3">
        <f t="shared" si="90"/>
        <v>0</v>
      </c>
      <c r="AH989" s="3">
        <f t="shared" si="90"/>
        <v>0</v>
      </c>
      <c r="AI989" s="3">
        <f t="shared" si="90"/>
        <v>0</v>
      </c>
      <c r="AJ989" s="3">
        <f t="shared" si="90"/>
        <v>0</v>
      </c>
      <c r="AK989" s="3">
        <f t="shared" si="90"/>
        <v>0</v>
      </c>
      <c r="AL989" s="3">
        <f t="shared" si="90"/>
        <v>0</v>
      </c>
      <c r="AM989" s="3">
        <f t="shared" si="90"/>
        <v>0</v>
      </c>
      <c r="AN989" s="3">
        <f t="shared" si="90"/>
        <v>0</v>
      </c>
      <c r="AO989" s="3">
        <f t="shared" si="90"/>
        <v>0</v>
      </c>
      <c r="AP989" s="3">
        <f t="shared" si="90"/>
        <v>0</v>
      </c>
      <c r="AQ989" s="3">
        <f t="shared" si="90"/>
        <v>0</v>
      </c>
      <c r="AR989" s="3">
        <f t="shared" si="90"/>
        <v>0</v>
      </c>
      <c r="AS989" s="3">
        <f t="shared" si="90"/>
        <v>0</v>
      </c>
      <c r="AT989" s="3">
        <f t="shared" si="90"/>
        <v>0</v>
      </c>
      <c r="AU989" s="3">
        <f t="shared" si="90"/>
        <v>0</v>
      </c>
      <c r="AV989" s="3">
        <f t="shared" si="90"/>
        <v>0</v>
      </c>
      <c r="AW989" s="3">
        <f t="shared" si="90"/>
        <v>0</v>
      </c>
      <c r="AX989" s="3">
        <f t="shared" si="90"/>
        <v>0</v>
      </c>
      <c r="AY989" s="3">
        <f t="shared" si="90"/>
        <v>0</v>
      </c>
      <c r="AZ989" s="3">
        <f t="shared" si="90"/>
        <v>0</v>
      </c>
      <c r="BA989" s="3">
        <f t="shared" si="57"/>
        <v>0</v>
      </c>
    </row>
    <row r="990" spans="9:53">
      <c r="I990" s="392" t="str">
        <f t="shared" si="55"/>
        <v>WS-36</v>
      </c>
      <c r="J990" s="3">
        <f t="shared" ref="J990:AZ990" si="91">J38+J85+J132+J179+J226+J273+J320+J367+J414+J461+J508+J555+J602+J649+J696+J743</f>
        <v>0</v>
      </c>
      <c r="K990" s="3">
        <f t="shared" si="91"/>
        <v>0</v>
      </c>
      <c r="L990" s="3">
        <f t="shared" si="91"/>
        <v>0</v>
      </c>
      <c r="M990" s="3">
        <f t="shared" si="91"/>
        <v>0</v>
      </c>
      <c r="N990" s="3">
        <f t="shared" si="91"/>
        <v>425244</v>
      </c>
      <c r="O990" s="3">
        <f t="shared" si="91"/>
        <v>0</v>
      </c>
      <c r="P990" s="3">
        <f t="shared" si="91"/>
        <v>0</v>
      </c>
      <c r="Q990" s="3">
        <f t="shared" si="91"/>
        <v>0</v>
      </c>
      <c r="R990" s="3">
        <f t="shared" si="91"/>
        <v>0</v>
      </c>
      <c r="S990" s="3">
        <f t="shared" si="91"/>
        <v>0</v>
      </c>
      <c r="T990" s="3">
        <f t="shared" si="91"/>
        <v>0</v>
      </c>
      <c r="U990" s="3">
        <f t="shared" si="91"/>
        <v>0</v>
      </c>
      <c r="V990" s="3">
        <f t="shared" si="91"/>
        <v>0</v>
      </c>
      <c r="W990" s="3">
        <f t="shared" si="91"/>
        <v>0</v>
      </c>
      <c r="X990" s="3">
        <f t="shared" si="91"/>
        <v>0</v>
      </c>
      <c r="Y990" s="3">
        <f t="shared" si="91"/>
        <v>0</v>
      </c>
      <c r="Z990" s="3">
        <f t="shared" si="91"/>
        <v>0</v>
      </c>
      <c r="AA990" s="3">
        <f t="shared" si="91"/>
        <v>0</v>
      </c>
      <c r="AB990" s="3">
        <f t="shared" si="91"/>
        <v>0</v>
      </c>
      <c r="AC990" s="3">
        <f t="shared" si="91"/>
        <v>0</v>
      </c>
      <c r="AD990" s="3">
        <f t="shared" si="91"/>
        <v>0</v>
      </c>
      <c r="AE990" s="3">
        <f t="shared" si="91"/>
        <v>0</v>
      </c>
      <c r="AF990" s="3">
        <f t="shared" si="91"/>
        <v>0</v>
      </c>
      <c r="AG990" s="3">
        <f t="shared" si="91"/>
        <v>0</v>
      </c>
      <c r="AH990" s="3">
        <f t="shared" si="91"/>
        <v>0</v>
      </c>
      <c r="AI990" s="3">
        <f t="shared" si="91"/>
        <v>0</v>
      </c>
      <c r="AJ990" s="3">
        <f t="shared" si="91"/>
        <v>0</v>
      </c>
      <c r="AK990" s="3">
        <f t="shared" si="91"/>
        <v>0</v>
      </c>
      <c r="AL990" s="3">
        <f t="shared" si="91"/>
        <v>0</v>
      </c>
      <c r="AM990" s="3">
        <f t="shared" si="91"/>
        <v>0</v>
      </c>
      <c r="AN990" s="3">
        <f t="shared" si="91"/>
        <v>0</v>
      </c>
      <c r="AO990" s="3">
        <f t="shared" si="91"/>
        <v>0</v>
      </c>
      <c r="AP990" s="3">
        <f t="shared" si="91"/>
        <v>0</v>
      </c>
      <c r="AQ990" s="3">
        <f t="shared" si="91"/>
        <v>0</v>
      </c>
      <c r="AR990" s="3">
        <f t="shared" si="91"/>
        <v>0</v>
      </c>
      <c r="AS990" s="3">
        <f t="shared" si="91"/>
        <v>0</v>
      </c>
      <c r="AT990" s="3">
        <f t="shared" si="91"/>
        <v>0</v>
      </c>
      <c r="AU990" s="3">
        <f t="shared" si="91"/>
        <v>0</v>
      </c>
      <c r="AV990" s="3">
        <f t="shared" si="91"/>
        <v>0</v>
      </c>
      <c r="AW990" s="3">
        <f t="shared" si="91"/>
        <v>0</v>
      </c>
      <c r="AX990" s="3">
        <f t="shared" si="91"/>
        <v>0</v>
      </c>
      <c r="AY990" s="3">
        <f t="shared" si="91"/>
        <v>0</v>
      </c>
      <c r="AZ990" s="3">
        <f t="shared" si="91"/>
        <v>0</v>
      </c>
      <c r="BA990" s="3">
        <f t="shared" si="57"/>
        <v>0</v>
      </c>
    </row>
    <row r="991" spans="9:53">
      <c r="I991" s="392" t="str">
        <f t="shared" si="55"/>
        <v>WS-37</v>
      </c>
      <c r="J991" s="3">
        <f t="shared" ref="J991:AZ991" si="92">J39+J86+J133+J180+J227+J274+J321+J368+J415+J462+J509+J556+J603+J650+J697+J744</f>
        <v>0</v>
      </c>
      <c r="K991" s="3">
        <f t="shared" si="92"/>
        <v>0</v>
      </c>
      <c r="L991" s="3">
        <f t="shared" si="92"/>
        <v>0</v>
      </c>
      <c r="M991" s="3">
        <f t="shared" si="92"/>
        <v>0</v>
      </c>
      <c r="N991" s="3">
        <f t="shared" si="92"/>
        <v>0</v>
      </c>
      <c r="O991" s="3">
        <f t="shared" si="92"/>
        <v>0</v>
      </c>
      <c r="P991" s="3">
        <f t="shared" si="92"/>
        <v>0</v>
      </c>
      <c r="Q991" s="3">
        <f t="shared" si="92"/>
        <v>0</v>
      </c>
      <c r="R991" s="3">
        <f t="shared" si="92"/>
        <v>0</v>
      </c>
      <c r="S991" s="3">
        <f t="shared" si="92"/>
        <v>0</v>
      </c>
      <c r="T991" s="3">
        <f t="shared" si="92"/>
        <v>0</v>
      </c>
      <c r="U991" s="3">
        <f t="shared" si="92"/>
        <v>0</v>
      </c>
      <c r="V991" s="3">
        <f t="shared" si="92"/>
        <v>0</v>
      </c>
      <c r="W991" s="3">
        <f t="shared" si="92"/>
        <v>0</v>
      </c>
      <c r="X991" s="3">
        <f t="shared" si="92"/>
        <v>0</v>
      </c>
      <c r="Y991" s="3">
        <f t="shared" si="92"/>
        <v>0</v>
      </c>
      <c r="Z991" s="3">
        <f t="shared" si="92"/>
        <v>0</v>
      </c>
      <c r="AA991" s="3">
        <f t="shared" si="92"/>
        <v>0</v>
      </c>
      <c r="AB991" s="3">
        <f t="shared" si="92"/>
        <v>0</v>
      </c>
      <c r="AC991" s="3">
        <f t="shared" si="92"/>
        <v>0</v>
      </c>
      <c r="AD991" s="3">
        <f t="shared" si="92"/>
        <v>0</v>
      </c>
      <c r="AE991" s="3">
        <f t="shared" si="92"/>
        <v>0</v>
      </c>
      <c r="AF991" s="3">
        <f t="shared" si="92"/>
        <v>0</v>
      </c>
      <c r="AG991" s="3">
        <f t="shared" si="92"/>
        <v>0</v>
      </c>
      <c r="AH991" s="3">
        <f t="shared" si="92"/>
        <v>0</v>
      </c>
      <c r="AI991" s="3">
        <f t="shared" si="92"/>
        <v>0</v>
      </c>
      <c r="AJ991" s="3">
        <f t="shared" si="92"/>
        <v>0</v>
      </c>
      <c r="AK991" s="3">
        <f t="shared" si="92"/>
        <v>0</v>
      </c>
      <c r="AL991" s="3">
        <f t="shared" si="92"/>
        <v>0</v>
      </c>
      <c r="AM991" s="3">
        <f t="shared" si="92"/>
        <v>0</v>
      </c>
      <c r="AN991" s="3">
        <f t="shared" si="92"/>
        <v>0</v>
      </c>
      <c r="AO991" s="3">
        <f t="shared" si="92"/>
        <v>0</v>
      </c>
      <c r="AP991" s="3">
        <f t="shared" si="92"/>
        <v>0</v>
      </c>
      <c r="AQ991" s="3">
        <f t="shared" si="92"/>
        <v>0</v>
      </c>
      <c r="AR991" s="3">
        <f t="shared" si="92"/>
        <v>0</v>
      </c>
      <c r="AS991" s="3">
        <f t="shared" si="92"/>
        <v>0</v>
      </c>
      <c r="AT991" s="3">
        <f t="shared" si="92"/>
        <v>0</v>
      </c>
      <c r="AU991" s="3">
        <f t="shared" si="92"/>
        <v>0</v>
      </c>
      <c r="AV991" s="3">
        <f t="shared" si="92"/>
        <v>0</v>
      </c>
      <c r="AW991" s="3">
        <f t="shared" si="92"/>
        <v>0</v>
      </c>
      <c r="AX991" s="3">
        <f t="shared" si="92"/>
        <v>0</v>
      </c>
      <c r="AY991" s="3">
        <f t="shared" si="92"/>
        <v>0</v>
      </c>
      <c r="AZ991" s="3">
        <f t="shared" si="92"/>
        <v>0</v>
      </c>
      <c r="BA991" s="3">
        <f t="shared" si="57"/>
        <v>0</v>
      </c>
    </row>
    <row r="992" spans="9:53">
      <c r="I992" s="392" t="str">
        <f t="shared" si="55"/>
        <v>WS-38</v>
      </c>
      <c r="J992" s="3">
        <f t="shared" ref="J992:AZ992" si="93">J40+J87+J134+J181+J228+J275+J322+J369+J416+J463+J510+J557+J604+J651+J698+J745</f>
        <v>0</v>
      </c>
      <c r="K992" s="3">
        <f t="shared" si="93"/>
        <v>0</v>
      </c>
      <c r="L992" s="3">
        <f t="shared" si="93"/>
        <v>0</v>
      </c>
      <c r="M992" s="3">
        <f t="shared" si="93"/>
        <v>0</v>
      </c>
      <c r="N992" s="3">
        <f t="shared" si="93"/>
        <v>0</v>
      </c>
      <c r="O992" s="3">
        <f t="shared" si="93"/>
        <v>0</v>
      </c>
      <c r="P992" s="3">
        <f t="shared" si="93"/>
        <v>176193</v>
      </c>
      <c r="Q992" s="3">
        <f t="shared" si="93"/>
        <v>0</v>
      </c>
      <c r="R992" s="3">
        <f t="shared" si="93"/>
        <v>0</v>
      </c>
      <c r="S992" s="3">
        <f t="shared" si="93"/>
        <v>0</v>
      </c>
      <c r="T992" s="3">
        <f t="shared" si="93"/>
        <v>0</v>
      </c>
      <c r="U992" s="3">
        <f t="shared" si="93"/>
        <v>0</v>
      </c>
      <c r="V992" s="3">
        <f t="shared" si="93"/>
        <v>0</v>
      </c>
      <c r="W992" s="3">
        <f t="shared" si="93"/>
        <v>0</v>
      </c>
      <c r="X992" s="3">
        <f t="shared" si="93"/>
        <v>0</v>
      </c>
      <c r="Y992" s="3">
        <f t="shared" si="93"/>
        <v>0</v>
      </c>
      <c r="Z992" s="3">
        <f t="shared" si="93"/>
        <v>0</v>
      </c>
      <c r="AA992" s="3">
        <f t="shared" si="93"/>
        <v>0</v>
      </c>
      <c r="AB992" s="3">
        <f t="shared" si="93"/>
        <v>0</v>
      </c>
      <c r="AC992" s="3">
        <f t="shared" si="93"/>
        <v>0</v>
      </c>
      <c r="AD992" s="3">
        <f t="shared" si="93"/>
        <v>0</v>
      </c>
      <c r="AE992" s="3">
        <f t="shared" si="93"/>
        <v>0</v>
      </c>
      <c r="AF992" s="3">
        <f t="shared" si="93"/>
        <v>0</v>
      </c>
      <c r="AG992" s="3">
        <f t="shared" si="93"/>
        <v>0</v>
      </c>
      <c r="AH992" s="3">
        <f t="shared" si="93"/>
        <v>0</v>
      </c>
      <c r="AI992" s="3">
        <f t="shared" si="93"/>
        <v>0</v>
      </c>
      <c r="AJ992" s="3">
        <f t="shared" si="93"/>
        <v>0</v>
      </c>
      <c r="AK992" s="3">
        <f t="shared" si="93"/>
        <v>0</v>
      </c>
      <c r="AL992" s="3">
        <f t="shared" si="93"/>
        <v>0</v>
      </c>
      <c r="AM992" s="3">
        <f t="shared" si="93"/>
        <v>0</v>
      </c>
      <c r="AN992" s="3">
        <f t="shared" si="93"/>
        <v>0</v>
      </c>
      <c r="AO992" s="3">
        <f t="shared" si="93"/>
        <v>0</v>
      </c>
      <c r="AP992" s="3">
        <f t="shared" si="93"/>
        <v>0</v>
      </c>
      <c r="AQ992" s="3">
        <f t="shared" si="93"/>
        <v>0</v>
      </c>
      <c r="AR992" s="3">
        <f t="shared" si="93"/>
        <v>0</v>
      </c>
      <c r="AS992" s="3">
        <f t="shared" si="93"/>
        <v>0</v>
      </c>
      <c r="AT992" s="3">
        <f t="shared" si="93"/>
        <v>0</v>
      </c>
      <c r="AU992" s="3">
        <f t="shared" si="93"/>
        <v>0</v>
      </c>
      <c r="AV992" s="3">
        <f t="shared" si="93"/>
        <v>0</v>
      </c>
      <c r="AW992" s="3">
        <f t="shared" si="93"/>
        <v>0</v>
      </c>
      <c r="AX992" s="3">
        <f t="shared" si="93"/>
        <v>0</v>
      </c>
      <c r="AY992" s="3">
        <f t="shared" si="93"/>
        <v>0</v>
      </c>
      <c r="AZ992" s="3">
        <f t="shared" si="93"/>
        <v>0</v>
      </c>
      <c r="BA992" s="3">
        <f t="shared" si="57"/>
        <v>0</v>
      </c>
    </row>
    <row r="993" spans="9:53">
      <c r="I993" s="392" t="str">
        <f t="shared" si="55"/>
        <v>WS-39</v>
      </c>
      <c r="J993" s="3">
        <f t="shared" ref="J993:AZ993" si="94">J41+J88+J135+J182+J229+J276+J323+J370+J417+J464+J511+J558+J605+J652+J699+J746</f>
        <v>0</v>
      </c>
      <c r="K993" s="3">
        <f t="shared" si="94"/>
        <v>0</v>
      </c>
      <c r="L993" s="3">
        <f t="shared" si="94"/>
        <v>0</v>
      </c>
      <c r="M993" s="3">
        <f t="shared" si="94"/>
        <v>0</v>
      </c>
      <c r="N993" s="3">
        <f t="shared" si="94"/>
        <v>0</v>
      </c>
      <c r="O993" s="3">
        <f t="shared" si="94"/>
        <v>0</v>
      </c>
      <c r="P993" s="3">
        <f t="shared" si="94"/>
        <v>0</v>
      </c>
      <c r="Q993" s="3">
        <f t="shared" si="94"/>
        <v>0</v>
      </c>
      <c r="R993" s="3">
        <f t="shared" si="94"/>
        <v>0</v>
      </c>
      <c r="S993" s="3">
        <f t="shared" si="94"/>
        <v>0</v>
      </c>
      <c r="T993" s="3">
        <f t="shared" si="94"/>
        <v>0</v>
      </c>
      <c r="U993" s="3">
        <f t="shared" si="94"/>
        <v>0</v>
      </c>
      <c r="V993" s="3">
        <f t="shared" si="94"/>
        <v>0</v>
      </c>
      <c r="W993" s="3">
        <f t="shared" si="94"/>
        <v>0</v>
      </c>
      <c r="X993" s="3">
        <f t="shared" si="94"/>
        <v>0</v>
      </c>
      <c r="Y993" s="3">
        <f t="shared" si="94"/>
        <v>0</v>
      </c>
      <c r="Z993" s="3">
        <f t="shared" si="94"/>
        <v>0</v>
      </c>
      <c r="AA993" s="3">
        <f t="shared" si="94"/>
        <v>0</v>
      </c>
      <c r="AB993" s="3">
        <f t="shared" si="94"/>
        <v>0</v>
      </c>
      <c r="AC993" s="3">
        <f t="shared" si="94"/>
        <v>0</v>
      </c>
      <c r="AD993" s="3">
        <f t="shared" si="94"/>
        <v>0</v>
      </c>
      <c r="AE993" s="3">
        <f t="shared" si="94"/>
        <v>0</v>
      </c>
      <c r="AF993" s="3">
        <f t="shared" si="94"/>
        <v>0</v>
      </c>
      <c r="AG993" s="3">
        <f t="shared" si="94"/>
        <v>0</v>
      </c>
      <c r="AH993" s="3">
        <f t="shared" si="94"/>
        <v>0</v>
      </c>
      <c r="AI993" s="3">
        <f t="shared" si="94"/>
        <v>0</v>
      </c>
      <c r="AJ993" s="3">
        <f t="shared" si="94"/>
        <v>0</v>
      </c>
      <c r="AK993" s="3">
        <f t="shared" si="94"/>
        <v>0</v>
      </c>
      <c r="AL993" s="3">
        <f t="shared" si="94"/>
        <v>0</v>
      </c>
      <c r="AM993" s="3">
        <f t="shared" si="94"/>
        <v>0</v>
      </c>
      <c r="AN993" s="3">
        <f t="shared" si="94"/>
        <v>0</v>
      </c>
      <c r="AO993" s="3">
        <f t="shared" si="94"/>
        <v>0</v>
      </c>
      <c r="AP993" s="3">
        <f t="shared" si="94"/>
        <v>0</v>
      </c>
      <c r="AQ993" s="3">
        <f t="shared" si="94"/>
        <v>0</v>
      </c>
      <c r="AR993" s="3">
        <f t="shared" si="94"/>
        <v>0</v>
      </c>
      <c r="AS993" s="3">
        <f t="shared" si="94"/>
        <v>0</v>
      </c>
      <c r="AT993" s="3">
        <f t="shared" si="94"/>
        <v>0</v>
      </c>
      <c r="AU993" s="3">
        <f t="shared" si="94"/>
        <v>0</v>
      </c>
      <c r="AV993" s="3">
        <f t="shared" si="94"/>
        <v>0</v>
      </c>
      <c r="AW993" s="3">
        <f t="shared" si="94"/>
        <v>0</v>
      </c>
      <c r="AX993" s="3">
        <f t="shared" si="94"/>
        <v>0</v>
      </c>
      <c r="AY993" s="3">
        <f t="shared" si="94"/>
        <v>0</v>
      </c>
      <c r="AZ993" s="3">
        <f t="shared" si="94"/>
        <v>0</v>
      </c>
      <c r="BA993" s="3">
        <f t="shared" si="57"/>
        <v>0</v>
      </c>
    </row>
    <row r="994" spans="9:53">
      <c r="I994" s="392" t="str">
        <f t="shared" si="55"/>
        <v>WS-40</v>
      </c>
      <c r="J994" s="3">
        <f t="shared" ref="J994:AZ994" si="95">J42+J89+J136+J183+J230+J277+J324+J371+J418+J465+J512+J559+J606+J653+J700+J747</f>
        <v>0</v>
      </c>
      <c r="K994" s="3">
        <f t="shared" si="95"/>
        <v>301684</v>
      </c>
      <c r="L994" s="3">
        <f t="shared" si="95"/>
        <v>0</v>
      </c>
      <c r="M994" s="3">
        <f t="shared" si="95"/>
        <v>141224</v>
      </c>
      <c r="N994" s="3">
        <f t="shared" si="95"/>
        <v>0</v>
      </c>
      <c r="O994" s="3">
        <f t="shared" si="95"/>
        <v>0</v>
      </c>
      <c r="P994" s="3">
        <f t="shared" si="95"/>
        <v>136301</v>
      </c>
      <c r="Q994" s="3">
        <f t="shared" si="95"/>
        <v>0</v>
      </c>
      <c r="R994" s="3">
        <f t="shared" si="95"/>
        <v>0</v>
      </c>
      <c r="S994" s="3">
        <f t="shared" si="95"/>
        <v>0</v>
      </c>
      <c r="T994" s="3">
        <f t="shared" si="95"/>
        <v>0</v>
      </c>
      <c r="U994" s="3">
        <f t="shared" si="95"/>
        <v>0</v>
      </c>
      <c r="V994" s="3">
        <f t="shared" si="95"/>
        <v>0</v>
      </c>
      <c r="W994" s="3">
        <f t="shared" si="95"/>
        <v>0</v>
      </c>
      <c r="X994" s="3">
        <f t="shared" si="95"/>
        <v>0</v>
      </c>
      <c r="Y994" s="3">
        <f t="shared" si="95"/>
        <v>0</v>
      </c>
      <c r="Z994" s="3">
        <f t="shared" si="95"/>
        <v>0</v>
      </c>
      <c r="AA994" s="3">
        <f t="shared" si="95"/>
        <v>0</v>
      </c>
      <c r="AB994" s="3">
        <f t="shared" si="95"/>
        <v>0</v>
      </c>
      <c r="AC994" s="3">
        <f t="shared" si="95"/>
        <v>0</v>
      </c>
      <c r="AD994" s="3">
        <f t="shared" si="95"/>
        <v>0</v>
      </c>
      <c r="AE994" s="3">
        <f t="shared" si="95"/>
        <v>0</v>
      </c>
      <c r="AF994" s="3">
        <f t="shared" si="95"/>
        <v>0</v>
      </c>
      <c r="AG994" s="3">
        <f t="shared" si="95"/>
        <v>0</v>
      </c>
      <c r="AH994" s="3">
        <f t="shared" si="95"/>
        <v>0</v>
      </c>
      <c r="AI994" s="3">
        <f t="shared" si="95"/>
        <v>0</v>
      </c>
      <c r="AJ994" s="3">
        <f t="shared" si="95"/>
        <v>0</v>
      </c>
      <c r="AK994" s="3">
        <f t="shared" si="95"/>
        <v>0</v>
      </c>
      <c r="AL994" s="3">
        <f t="shared" si="95"/>
        <v>0</v>
      </c>
      <c r="AM994" s="3">
        <f t="shared" si="95"/>
        <v>0</v>
      </c>
      <c r="AN994" s="3">
        <f t="shared" si="95"/>
        <v>0</v>
      </c>
      <c r="AO994" s="3">
        <f t="shared" si="95"/>
        <v>0</v>
      </c>
      <c r="AP994" s="3">
        <f t="shared" si="95"/>
        <v>0</v>
      </c>
      <c r="AQ994" s="3">
        <f t="shared" si="95"/>
        <v>0</v>
      </c>
      <c r="AR994" s="3">
        <f t="shared" si="95"/>
        <v>0</v>
      </c>
      <c r="AS994" s="3">
        <f t="shared" si="95"/>
        <v>0</v>
      </c>
      <c r="AT994" s="3">
        <f t="shared" si="95"/>
        <v>0</v>
      </c>
      <c r="AU994" s="3">
        <f t="shared" si="95"/>
        <v>0</v>
      </c>
      <c r="AV994" s="3">
        <f t="shared" si="95"/>
        <v>0</v>
      </c>
      <c r="AW994" s="3">
        <f t="shared" si="95"/>
        <v>0</v>
      </c>
      <c r="AX994" s="3">
        <f t="shared" si="95"/>
        <v>0</v>
      </c>
      <c r="AY994" s="3">
        <f t="shared" si="95"/>
        <v>0</v>
      </c>
      <c r="AZ994" s="3">
        <f t="shared" si="95"/>
        <v>0</v>
      </c>
      <c r="BA994" s="3">
        <f t="shared" si="57"/>
        <v>0</v>
      </c>
    </row>
    <row r="995" spans="9:53">
      <c r="I995" s="392" t="str">
        <f t="shared" si="55"/>
        <v>WS-41</v>
      </c>
      <c r="J995" s="3">
        <f t="shared" ref="J995:AZ995" si="96">J43+J90+J137+J184+J231+J278+J325+J372+J419+J466+J513+J560+J607+J654+J701+J748</f>
        <v>0</v>
      </c>
      <c r="K995" s="3">
        <f t="shared" si="96"/>
        <v>0</v>
      </c>
      <c r="L995" s="3">
        <f t="shared" si="96"/>
        <v>0</v>
      </c>
      <c r="M995" s="3">
        <f t="shared" si="96"/>
        <v>0</v>
      </c>
      <c r="N995" s="3">
        <f t="shared" si="96"/>
        <v>0</v>
      </c>
      <c r="O995" s="3">
        <f t="shared" si="96"/>
        <v>0</v>
      </c>
      <c r="P995" s="3">
        <f t="shared" si="96"/>
        <v>0</v>
      </c>
      <c r="Q995" s="3">
        <f t="shared" si="96"/>
        <v>0</v>
      </c>
      <c r="R995" s="3">
        <f t="shared" si="96"/>
        <v>0</v>
      </c>
      <c r="S995" s="3">
        <f t="shared" si="96"/>
        <v>0</v>
      </c>
      <c r="T995" s="3">
        <f t="shared" si="96"/>
        <v>0</v>
      </c>
      <c r="U995" s="3">
        <f t="shared" si="96"/>
        <v>0</v>
      </c>
      <c r="V995" s="3">
        <f t="shared" si="96"/>
        <v>0</v>
      </c>
      <c r="W995" s="3">
        <f t="shared" si="96"/>
        <v>0</v>
      </c>
      <c r="X995" s="3">
        <f t="shared" si="96"/>
        <v>0</v>
      </c>
      <c r="Y995" s="3">
        <f t="shared" si="96"/>
        <v>0</v>
      </c>
      <c r="Z995" s="3">
        <f t="shared" si="96"/>
        <v>0</v>
      </c>
      <c r="AA995" s="3">
        <f t="shared" si="96"/>
        <v>0</v>
      </c>
      <c r="AB995" s="3">
        <f t="shared" si="96"/>
        <v>0</v>
      </c>
      <c r="AC995" s="3">
        <f t="shared" si="96"/>
        <v>0</v>
      </c>
      <c r="AD995" s="3">
        <f t="shared" si="96"/>
        <v>0</v>
      </c>
      <c r="AE995" s="3">
        <f t="shared" si="96"/>
        <v>0</v>
      </c>
      <c r="AF995" s="3">
        <f t="shared" si="96"/>
        <v>0</v>
      </c>
      <c r="AG995" s="3">
        <f t="shared" si="96"/>
        <v>0</v>
      </c>
      <c r="AH995" s="3">
        <f t="shared" si="96"/>
        <v>0</v>
      </c>
      <c r="AI995" s="3">
        <f t="shared" si="96"/>
        <v>0</v>
      </c>
      <c r="AJ995" s="3">
        <f t="shared" si="96"/>
        <v>0</v>
      </c>
      <c r="AK995" s="3">
        <f t="shared" si="96"/>
        <v>0</v>
      </c>
      <c r="AL995" s="3">
        <f t="shared" si="96"/>
        <v>0</v>
      </c>
      <c r="AM995" s="3">
        <f t="shared" si="96"/>
        <v>0</v>
      </c>
      <c r="AN995" s="3">
        <f t="shared" si="96"/>
        <v>0</v>
      </c>
      <c r="AO995" s="3">
        <f t="shared" si="96"/>
        <v>0</v>
      </c>
      <c r="AP995" s="3">
        <f t="shared" si="96"/>
        <v>0</v>
      </c>
      <c r="AQ995" s="3">
        <f t="shared" si="96"/>
        <v>0</v>
      </c>
      <c r="AR995" s="3">
        <f t="shared" si="96"/>
        <v>0</v>
      </c>
      <c r="AS995" s="3">
        <f t="shared" si="96"/>
        <v>0</v>
      </c>
      <c r="AT995" s="3">
        <f t="shared" si="96"/>
        <v>0</v>
      </c>
      <c r="AU995" s="3">
        <f t="shared" si="96"/>
        <v>0</v>
      </c>
      <c r="AV995" s="3">
        <f t="shared" si="96"/>
        <v>0</v>
      </c>
      <c r="AW995" s="3">
        <f t="shared" si="96"/>
        <v>0</v>
      </c>
      <c r="AX995" s="3">
        <f t="shared" si="96"/>
        <v>0</v>
      </c>
      <c r="AY995" s="3">
        <f t="shared" si="96"/>
        <v>0</v>
      </c>
      <c r="AZ995" s="3">
        <f t="shared" si="96"/>
        <v>0</v>
      </c>
      <c r="BA995" s="3">
        <f t="shared" si="57"/>
        <v>0</v>
      </c>
    </row>
    <row r="996" spans="9:53">
      <c r="I996" s="392" t="str">
        <f t="shared" si="55"/>
        <v>WS-42</v>
      </c>
      <c r="J996" s="3">
        <f t="shared" ref="J996:AZ996" si="97">J44+J91+J138+J185+J232+J279+J326+J373+J420+J467+J514+J561+J608+J655+J702+J749</f>
        <v>0</v>
      </c>
      <c r="K996" s="3">
        <f t="shared" si="97"/>
        <v>0</v>
      </c>
      <c r="L996" s="3">
        <f t="shared" si="97"/>
        <v>0</v>
      </c>
      <c r="M996" s="3">
        <f t="shared" si="97"/>
        <v>0</v>
      </c>
      <c r="N996" s="3">
        <f t="shared" si="97"/>
        <v>0</v>
      </c>
      <c r="O996" s="3">
        <f t="shared" si="97"/>
        <v>0</v>
      </c>
      <c r="P996" s="3">
        <f t="shared" si="97"/>
        <v>0</v>
      </c>
      <c r="Q996" s="3">
        <f t="shared" si="97"/>
        <v>0</v>
      </c>
      <c r="R996" s="3">
        <f t="shared" si="97"/>
        <v>0</v>
      </c>
      <c r="S996" s="3">
        <f t="shared" si="97"/>
        <v>0</v>
      </c>
      <c r="T996" s="3">
        <f t="shared" si="97"/>
        <v>0</v>
      </c>
      <c r="U996" s="3">
        <f t="shared" si="97"/>
        <v>0</v>
      </c>
      <c r="V996" s="3">
        <f t="shared" si="97"/>
        <v>0</v>
      </c>
      <c r="W996" s="3">
        <f t="shared" si="97"/>
        <v>0</v>
      </c>
      <c r="X996" s="3">
        <f t="shared" si="97"/>
        <v>0</v>
      </c>
      <c r="Y996" s="3">
        <f t="shared" si="97"/>
        <v>0</v>
      </c>
      <c r="Z996" s="3">
        <f t="shared" si="97"/>
        <v>0</v>
      </c>
      <c r="AA996" s="3">
        <f t="shared" si="97"/>
        <v>0</v>
      </c>
      <c r="AB996" s="3">
        <f t="shared" si="97"/>
        <v>0</v>
      </c>
      <c r="AC996" s="3">
        <f t="shared" si="97"/>
        <v>0</v>
      </c>
      <c r="AD996" s="3">
        <f t="shared" si="97"/>
        <v>0</v>
      </c>
      <c r="AE996" s="3">
        <f t="shared" si="97"/>
        <v>0</v>
      </c>
      <c r="AF996" s="3">
        <f t="shared" si="97"/>
        <v>0</v>
      </c>
      <c r="AG996" s="3">
        <f t="shared" si="97"/>
        <v>0</v>
      </c>
      <c r="AH996" s="3">
        <f t="shared" si="97"/>
        <v>0</v>
      </c>
      <c r="AI996" s="3">
        <f t="shared" si="97"/>
        <v>0</v>
      </c>
      <c r="AJ996" s="3">
        <f t="shared" si="97"/>
        <v>0</v>
      </c>
      <c r="AK996" s="3">
        <f t="shared" si="97"/>
        <v>0</v>
      </c>
      <c r="AL996" s="3">
        <f t="shared" si="97"/>
        <v>0</v>
      </c>
      <c r="AM996" s="3">
        <f t="shared" si="97"/>
        <v>0</v>
      </c>
      <c r="AN996" s="3">
        <f t="shared" si="97"/>
        <v>0</v>
      </c>
      <c r="AO996" s="3">
        <f t="shared" si="97"/>
        <v>0</v>
      </c>
      <c r="AP996" s="3">
        <f t="shared" si="97"/>
        <v>0</v>
      </c>
      <c r="AQ996" s="3">
        <f t="shared" si="97"/>
        <v>0</v>
      </c>
      <c r="AR996" s="3">
        <f t="shared" si="97"/>
        <v>0</v>
      </c>
      <c r="AS996" s="3">
        <f t="shared" si="97"/>
        <v>0</v>
      </c>
      <c r="AT996" s="3">
        <f t="shared" si="97"/>
        <v>0</v>
      </c>
      <c r="AU996" s="3">
        <f t="shared" si="97"/>
        <v>0</v>
      </c>
      <c r="AV996" s="3">
        <f t="shared" si="97"/>
        <v>0</v>
      </c>
      <c r="AW996" s="3">
        <f t="shared" si="97"/>
        <v>0</v>
      </c>
      <c r="AX996" s="3">
        <f t="shared" si="97"/>
        <v>0</v>
      </c>
      <c r="AY996" s="3">
        <f t="shared" si="97"/>
        <v>0</v>
      </c>
      <c r="AZ996" s="3">
        <f t="shared" si="97"/>
        <v>0</v>
      </c>
      <c r="BA996" s="3">
        <f t="shared" si="57"/>
        <v>0</v>
      </c>
    </row>
    <row r="997" spans="9:53">
      <c r="I997" s="392" t="str">
        <f t="shared" si="55"/>
        <v>WS-43</v>
      </c>
      <c r="J997" s="3">
        <f t="shared" ref="J997:AZ997" si="98">J45+J92+J139+J186+J233+J280+J327+J374+J421+J468+J515+J562+J609+J656+J703+J750</f>
        <v>0</v>
      </c>
      <c r="K997" s="3">
        <f t="shared" si="98"/>
        <v>0</v>
      </c>
      <c r="L997" s="3">
        <f t="shared" si="98"/>
        <v>0</v>
      </c>
      <c r="M997" s="3">
        <f t="shared" si="98"/>
        <v>0</v>
      </c>
      <c r="N997" s="3">
        <f t="shared" si="98"/>
        <v>0</v>
      </c>
      <c r="O997" s="3">
        <f t="shared" si="98"/>
        <v>0</v>
      </c>
      <c r="P997" s="3">
        <f t="shared" si="98"/>
        <v>0</v>
      </c>
      <c r="Q997" s="3">
        <f t="shared" si="98"/>
        <v>0</v>
      </c>
      <c r="R997" s="3">
        <f t="shared" si="98"/>
        <v>0</v>
      </c>
      <c r="S997" s="3">
        <f t="shared" si="98"/>
        <v>0</v>
      </c>
      <c r="T997" s="3">
        <f t="shared" si="98"/>
        <v>0</v>
      </c>
      <c r="U997" s="3">
        <f t="shared" si="98"/>
        <v>0</v>
      </c>
      <c r="V997" s="3">
        <f t="shared" si="98"/>
        <v>0</v>
      </c>
      <c r="W997" s="3">
        <f t="shared" si="98"/>
        <v>0</v>
      </c>
      <c r="X997" s="3">
        <f t="shared" si="98"/>
        <v>0</v>
      </c>
      <c r="Y997" s="3">
        <f t="shared" si="98"/>
        <v>0</v>
      </c>
      <c r="Z997" s="3">
        <f t="shared" si="98"/>
        <v>0</v>
      </c>
      <c r="AA997" s="3">
        <f t="shared" si="98"/>
        <v>0</v>
      </c>
      <c r="AB997" s="3">
        <f t="shared" si="98"/>
        <v>0</v>
      </c>
      <c r="AC997" s="3">
        <f t="shared" si="98"/>
        <v>0</v>
      </c>
      <c r="AD997" s="3">
        <f t="shared" si="98"/>
        <v>0</v>
      </c>
      <c r="AE997" s="3">
        <f t="shared" si="98"/>
        <v>0</v>
      </c>
      <c r="AF997" s="3">
        <f t="shared" si="98"/>
        <v>0</v>
      </c>
      <c r="AG997" s="3">
        <f t="shared" si="98"/>
        <v>0</v>
      </c>
      <c r="AH997" s="3">
        <f t="shared" si="98"/>
        <v>0</v>
      </c>
      <c r="AI997" s="3">
        <f t="shared" si="98"/>
        <v>0</v>
      </c>
      <c r="AJ997" s="3">
        <f t="shared" si="98"/>
        <v>0</v>
      </c>
      <c r="AK997" s="3">
        <f t="shared" si="98"/>
        <v>0</v>
      </c>
      <c r="AL997" s="3">
        <f t="shared" si="98"/>
        <v>0</v>
      </c>
      <c r="AM997" s="3">
        <f t="shared" si="98"/>
        <v>0</v>
      </c>
      <c r="AN997" s="3">
        <f t="shared" si="98"/>
        <v>0</v>
      </c>
      <c r="AO997" s="3">
        <f t="shared" si="98"/>
        <v>0</v>
      </c>
      <c r="AP997" s="3">
        <f t="shared" si="98"/>
        <v>0</v>
      </c>
      <c r="AQ997" s="3">
        <f t="shared" si="98"/>
        <v>0</v>
      </c>
      <c r="AR997" s="3">
        <f t="shared" si="98"/>
        <v>0</v>
      </c>
      <c r="AS997" s="3">
        <f t="shared" si="98"/>
        <v>425244</v>
      </c>
      <c r="AT997" s="3">
        <f t="shared" si="98"/>
        <v>0</v>
      </c>
      <c r="AU997" s="3">
        <f t="shared" si="98"/>
        <v>176193</v>
      </c>
      <c r="AV997" s="3">
        <f t="shared" si="98"/>
        <v>0</v>
      </c>
      <c r="AW997" s="3">
        <f t="shared" si="98"/>
        <v>579209</v>
      </c>
      <c r="AX997" s="3">
        <f t="shared" si="98"/>
        <v>0</v>
      </c>
      <c r="AY997" s="3">
        <f t="shared" si="98"/>
        <v>0</v>
      </c>
      <c r="AZ997" s="3">
        <f t="shared" si="98"/>
        <v>0</v>
      </c>
      <c r="BA997" s="3">
        <f t="shared" si="57"/>
        <v>0</v>
      </c>
    </row>
    <row r="998" spans="9:53">
      <c r="I998" s="392" t="str">
        <f t="shared" si="55"/>
        <v>WS-44</v>
      </c>
      <c r="J998" s="3">
        <f t="shared" ref="J998:AZ998" si="99">J46+J93+J140+J187+J234+J281+J328+J375+J422+J469+J516+J563+J610+J657+J704+J751</f>
        <v>0</v>
      </c>
      <c r="K998" s="3">
        <f t="shared" si="99"/>
        <v>0</v>
      </c>
      <c r="L998" s="3">
        <f t="shared" si="99"/>
        <v>0</v>
      </c>
      <c r="M998" s="3">
        <f t="shared" si="99"/>
        <v>0</v>
      </c>
      <c r="N998" s="3">
        <f t="shared" si="99"/>
        <v>0</v>
      </c>
      <c r="O998" s="3">
        <f t="shared" si="99"/>
        <v>0</v>
      </c>
      <c r="P998" s="3">
        <f t="shared" si="99"/>
        <v>0</v>
      </c>
      <c r="Q998" s="3">
        <f t="shared" si="99"/>
        <v>0</v>
      </c>
      <c r="R998" s="3">
        <f t="shared" si="99"/>
        <v>0</v>
      </c>
      <c r="S998" s="3">
        <f t="shared" si="99"/>
        <v>0</v>
      </c>
      <c r="T998" s="3">
        <f t="shared" si="99"/>
        <v>0</v>
      </c>
      <c r="U998" s="3">
        <f t="shared" si="99"/>
        <v>0</v>
      </c>
      <c r="V998" s="3">
        <f t="shared" si="99"/>
        <v>0</v>
      </c>
      <c r="W998" s="3">
        <f t="shared" si="99"/>
        <v>0</v>
      </c>
      <c r="X998" s="3">
        <f t="shared" si="99"/>
        <v>0</v>
      </c>
      <c r="Y998" s="3">
        <f t="shared" si="99"/>
        <v>0</v>
      </c>
      <c r="Z998" s="3">
        <f t="shared" si="99"/>
        <v>0</v>
      </c>
      <c r="AA998" s="3">
        <f t="shared" si="99"/>
        <v>0</v>
      </c>
      <c r="AB998" s="3">
        <f t="shared" si="99"/>
        <v>0</v>
      </c>
      <c r="AC998" s="3">
        <f t="shared" si="99"/>
        <v>0</v>
      </c>
      <c r="AD998" s="3">
        <f t="shared" si="99"/>
        <v>0</v>
      </c>
      <c r="AE998" s="3">
        <f t="shared" si="99"/>
        <v>0</v>
      </c>
      <c r="AF998" s="3">
        <f t="shared" si="99"/>
        <v>0</v>
      </c>
      <c r="AG998" s="3">
        <f t="shared" si="99"/>
        <v>0</v>
      </c>
      <c r="AH998" s="3">
        <f t="shared" si="99"/>
        <v>0</v>
      </c>
      <c r="AI998" s="3">
        <f t="shared" si="99"/>
        <v>0</v>
      </c>
      <c r="AJ998" s="3">
        <f t="shared" si="99"/>
        <v>0</v>
      </c>
      <c r="AK998" s="3">
        <f t="shared" si="99"/>
        <v>0</v>
      </c>
      <c r="AL998" s="3">
        <f t="shared" si="99"/>
        <v>0</v>
      </c>
      <c r="AM998" s="3">
        <f t="shared" si="99"/>
        <v>0</v>
      </c>
      <c r="AN998" s="3">
        <f t="shared" si="99"/>
        <v>0</v>
      </c>
      <c r="AO998" s="3">
        <f t="shared" si="99"/>
        <v>0</v>
      </c>
      <c r="AP998" s="3">
        <f t="shared" si="99"/>
        <v>0</v>
      </c>
      <c r="AQ998" s="3">
        <f t="shared" si="99"/>
        <v>0</v>
      </c>
      <c r="AR998" s="3">
        <f t="shared" si="99"/>
        <v>0</v>
      </c>
      <c r="AS998" s="3">
        <f t="shared" si="99"/>
        <v>0</v>
      </c>
      <c r="AT998" s="3">
        <f t="shared" si="99"/>
        <v>0</v>
      </c>
      <c r="AU998" s="3">
        <f t="shared" si="99"/>
        <v>0</v>
      </c>
      <c r="AV998" s="3">
        <f t="shared" si="99"/>
        <v>0</v>
      </c>
      <c r="AW998" s="3">
        <f t="shared" si="99"/>
        <v>0</v>
      </c>
      <c r="AX998" s="3">
        <f t="shared" si="99"/>
        <v>0</v>
      </c>
      <c r="AY998" s="3">
        <f t="shared" si="99"/>
        <v>0</v>
      </c>
      <c r="AZ998" s="3">
        <f t="shared" si="99"/>
        <v>0</v>
      </c>
      <c r="BA998" s="3">
        <f t="shared" si="57"/>
        <v>0</v>
      </c>
    </row>
  </sheetData>
  <phoneticPr fontId="47" type="noConversion"/>
  <conditionalFormatting sqref="J955:BA998">
    <cfRule type="cellIs" dxfId="4" priority="2" operator="equal">
      <formula>0</formula>
    </cfRule>
  </conditionalFormatting>
  <conditionalFormatting sqref="J3:BA46">
    <cfRule type="cellIs" dxfId="3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Button 1">
              <controlPr defaultSize="0" print="0" autoFill="0" autoPict="0" macro="[0]!Sheet27.Matrix_Filling" altText="Fill Out">
                <anchor moveWithCells="1" sizeWithCells="1">
                  <from>
                    <xdr:col>55</xdr:col>
                    <xdr:colOff>0</xdr:colOff>
                    <xdr:row>3</xdr:row>
                    <xdr:rowOff>88900</xdr:rowOff>
                  </from>
                  <to>
                    <xdr:col>56</xdr:col>
                    <xdr:colOff>685800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315CA-F85A-2E4B-B279-119AFC5DB081}">
  <sheetPr codeName="Sheet28"/>
  <dimension ref="A1:AS47"/>
  <sheetViews>
    <sheetView workbookViewId="0">
      <selection activeCell="D7" sqref="D7"/>
    </sheetView>
  </sheetViews>
  <sheetFormatPr defaultColWidth="11" defaultRowHeight="15.5"/>
  <cols>
    <col min="1" max="11" width="6.83203125" customWidth="1"/>
    <col min="12" max="12" width="7.83203125" bestFit="1" customWidth="1"/>
    <col min="13" max="45" width="6.83203125" customWidth="1"/>
  </cols>
  <sheetData>
    <row r="1" spans="1:45">
      <c r="F1" s="393" t="s">
        <v>1219</v>
      </c>
      <c r="G1">
        <v>2000</v>
      </c>
    </row>
    <row r="3" spans="1:45">
      <c r="A3" s="394"/>
      <c r="B3" s="392" t="str">
        <f t="array" ref="B3:AS3">TRANSPOSE(A4:A47)</f>
        <v>WS-01</v>
      </c>
      <c r="C3" s="392" t="str">
        <v>WS-02</v>
      </c>
      <c r="D3" s="392" t="str">
        <v>WS-03</v>
      </c>
      <c r="E3" s="392" t="str">
        <v>WS-04</v>
      </c>
      <c r="F3" s="392" t="str">
        <v>WS-05</v>
      </c>
      <c r="G3" s="392" t="str">
        <v>WS-06</v>
      </c>
      <c r="H3" s="392" t="str">
        <v>WS-07</v>
      </c>
      <c r="I3" s="392" t="str">
        <v>WS-08</v>
      </c>
      <c r="J3" s="392" t="str">
        <v>WS-09</v>
      </c>
      <c r="K3" s="392" t="str">
        <v>WS-10</v>
      </c>
      <c r="L3" s="392" t="str">
        <v>WS-11</v>
      </c>
      <c r="M3" s="392" t="str">
        <v>WS-12</v>
      </c>
      <c r="N3" s="392" t="str">
        <v>WS-13</v>
      </c>
      <c r="O3" s="392" t="str">
        <v>WS-14</v>
      </c>
      <c r="P3" s="392" t="str">
        <v>WS-15</v>
      </c>
      <c r="Q3" s="392" t="str">
        <v>WS-16</v>
      </c>
      <c r="R3" s="392" t="str">
        <v>WS-17</v>
      </c>
      <c r="S3" s="392" t="str">
        <v>WS-18</v>
      </c>
      <c r="T3" s="392" t="str">
        <v>WS-19</v>
      </c>
      <c r="U3" s="392" t="str">
        <v>WS-20</v>
      </c>
      <c r="V3" s="392" t="str">
        <v>WS-21</v>
      </c>
      <c r="W3" s="392" t="str">
        <v>WS-22</v>
      </c>
      <c r="X3" s="392" t="str">
        <v>WS-23</v>
      </c>
      <c r="Y3" s="392" t="str">
        <v>WS-24</v>
      </c>
      <c r="Z3" s="392" t="str">
        <v>WS-25</v>
      </c>
      <c r="AA3" s="392" t="str">
        <v>WS-26</v>
      </c>
      <c r="AB3" s="392" t="str">
        <v>WS-27</v>
      </c>
      <c r="AC3" s="392" t="str">
        <v>WS-28</v>
      </c>
      <c r="AD3" s="392" t="str">
        <v>WS-29</v>
      </c>
      <c r="AE3" s="392" t="str">
        <v>WS-30</v>
      </c>
      <c r="AF3" s="392" t="str">
        <v>WS-31</v>
      </c>
      <c r="AG3" s="392" t="str">
        <v>WS-32</v>
      </c>
      <c r="AH3" s="392" t="str">
        <v>WS-33</v>
      </c>
      <c r="AI3" s="392" t="str">
        <v>WS-34</v>
      </c>
      <c r="AJ3" s="392" t="str">
        <v>WS-35</v>
      </c>
      <c r="AK3" s="392" t="str">
        <v>WS-36</v>
      </c>
      <c r="AL3" s="392" t="str">
        <v>WS-37</v>
      </c>
      <c r="AM3" s="392" t="str">
        <v>WS-38</v>
      </c>
      <c r="AN3" s="392" t="str">
        <v>WS-39</v>
      </c>
      <c r="AO3" s="392" t="str">
        <v>WS-40</v>
      </c>
      <c r="AP3" s="392" t="str">
        <v>WS-41</v>
      </c>
      <c r="AQ3" s="392" t="str">
        <v>WS-42</v>
      </c>
      <c r="AR3" s="392" t="str">
        <v>WS-43</v>
      </c>
      <c r="AS3" s="392" t="str">
        <v>WS-44</v>
      </c>
    </row>
    <row r="4" spans="1:45">
      <c r="A4" s="392" t="s">
        <v>1034</v>
      </c>
      <c r="B4" s="3">
        <f>ROUNDUP('S27 Material Flow Matrix'!J955/$G$1, 0)</f>
        <v>0</v>
      </c>
      <c r="C4" s="3">
        <f>ROUNDUP('S27 Material Flow Matrix'!K955/$G$1, 0)</f>
        <v>0</v>
      </c>
      <c r="D4" s="3">
        <f>ROUNDUP('S27 Material Flow Matrix'!L955/$G$1, 0)</f>
        <v>0</v>
      </c>
      <c r="E4" s="3">
        <f>ROUNDUP('S27 Material Flow Matrix'!M955/$G$1, 0)</f>
        <v>0</v>
      </c>
      <c r="F4" s="3">
        <f>ROUNDUP('S27 Material Flow Matrix'!N955/$G$1, 0)</f>
        <v>0</v>
      </c>
      <c r="G4" s="3">
        <f>ROUNDUP('S27 Material Flow Matrix'!O955/$G$1, 0)</f>
        <v>0</v>
      </c>
      <c r="H4" s="3">
        <f>ROUNDUP('S27 Material Flow Matrix'!P955/$G$1, 0)</f>
        <v>0</v>
      </c>
      <c r="I4" s="3">
        <f>ROUNDUP('S27 Material Flow Matrix'!Q955/$G$1, 0)</f>
        <v>0</v>
      </c>
      <c r="J4" s="3">
        <f>ROUNDUP('S27 Material Flow Matrix'!R955/$G$1, 0)</f>
        <v>0</v>
      </c>
      <c r="K4" s="3">
        <f>ROUNDUP('S27 Material Flow Matrix'!S955/$G$1, 0)</f>
        <v>0</v>
      </c>
      <c r="L4" s="3">
        <f>ROUNDUP('S27 Material Flow Matrix'!T955/$G$1, 0)</f>
        <v>0</v>
      </c>
      <c r="M4" s="3">
        <f>ROUNDUP('S27 Material Flow Matrix'!U955/$G$1, 0)</f>
        <v>0</v>
      </c>
      <c r="N4" s="3">
        <f>ROUNDUP('S27 Material Flow Matrix'!V955/$G$1, 0)</f>
        <v>0</v>
      </c>
      <c r="O4" s="3">
        <f>ROUNDUP('S27 Material Flow Matrix'!W955/$G$1, 0)</f>
        <v>0</v>
      </c>
      <c r="P4" s="3">
        <f>ROUNDUP('S27 Material Flow Matrix'!X955/$G$1, 0)</f>
        <v>0</v>
      </c>
      <c r="Q4" s="3">
        <f>ROUNDUP('S27 Material Flow Matrix'!Y955/$G$1, 0)</f>
        <v>0</v>
      </c>
      <c r="R4" s="3">
        <f>ROUNDUP('S27 Material Flow Matrix'!Z955/$G$1, 0)</f>
        <v>0</v>
      </c>
      <c r="S4" s="3">
        <f>ROUNDUP('S27 Material Flow Matrix'!AA955/$G$1, 0)</f>
        <v>0</v>
      </c>
      <c r="T4" s="3">
        <f>ROUNDUP('S27 Material Flow Matrix'!AB955/$G$1, 0)</f>
        <v>0</v>
      </c>
      <c r="U4" s="3">
        <f>ROUNDUP('S27 Material Flow Matrix'!AC955/$G$1, 0)</f>
        <v>0</v>
      </c>
      <c r="V4" s="3">
        <f>ROUNDUP('S27 Material Flow Matrix'!AD955/$G$1, 0)</f>
        <v>0</v>
      </c>
      <c r="W4" s="3">
        <f>ROUNDUP('S27 Material Flow Matrix'!AE955/$G$1, 0)</f>
        <v>0</v>
      </c>
      <c r="X4" s="3">
        <f>ROUNDUP('S27 Material Flow Matrix'!AF955/$G$1, 0)</f>
        <v>0</v>
      </c>
      <c r="Y4" s="3">
        <f>ROUNDUP('S27 Material Flow Matrix'!AG955/$G$1, 0)</f>
        <v>0</v>
      </c>
      <c r="Z4" s="3">
        <f>ROUNDUP('S27 Material Flow Matrix'!AH955/$G$1, 0)</f>
        <v>0</v>
      </c>
      <c r="AA4" s="3">
        <f>ROUNDUP('S27 Material Flow Matrix'!AI955/$G$1, 0)</f>
        <v>0</v>
      </c>
      <c r="AB4" s="3">
        <f>ROUNDUP('S27 Material Flow Matrix'!AJ955/$G$1, 0)</f>
        <v>0</v>
      </c>
      <c r="AC4" s="3">
        <f>ROUNDUP('S27 Material Flow Matrix'!AK955/$G$1, 0)</f>
        <v>0</v>
      </c>
      <c r="AD4" s="3">
        <f>ROUNDUP('S27 Material Flow Matrix'!AL955/$G$1, 0)</f>
        <v>0</v>
      </c>
      <c r="AE4" s="3">
        <f>ROUNDUP('S27 Material Flow Matrix'!AM955/$G$1, 0)</f>
        <v>0</v>
      </c>
      <c r="AF4" s="3">
        <f>ROUNDUP('S27 Material Flow Matrix'!AN955/$G$1, 0)</f>
        <v>0</v>
      </c>
      <c r="AG4" s="3">
        <f>ROUNDUP('S27 Material Flow Matrix'!AO955/$G$1, 0)</f>
        <v>0</v>
      </c>
      <c r="AH4" s="3">
        <f>ROUNDUP('S27 Material Flow Matrix'!AP955/$G$1, 0)</f>
        <v>0</v>
      </c>
      <c r="AI4" s="3">
        <f>ROUNDUP('S27 Material Flow Matrix'!AQ955/$G$1, 0)</f>
        <v>0</v>
      </c>
      <c r="AJ4" s="3">
        <f>ROUNDUP('S27 Material Flow Matrix'!AR955/$G$1, 0)</f>
        <v>0</v>
      </c>
      <c r="AK4" s="3">
        <f>ROUNDUP('S27 Material Flow Matrix'!AS955/$G$1, 0)</f>
        <v>0</v>
      </c>
      <c r="AL4" s="3">
        <f>ROUNDUP('S27 Material Flow Matrix'!AT955/$G$1, 0)</f>
        <v>0</v>
      </c>
      <c r="AM4" s="3">
        <f>ROUNDUP('S27 Material Flow Matrix'!AU955/$G$1, 0)</f>
        <v>0</v>
      </c>
      <c r="AN4" s="3">
        <f>ROUNDUP('S27 Material Flow Matrix'!AV955/$G$1, 0)</f>
        <v>0</v>
      </c>
      <c r="AO4" s="3">
        <f>ROUNDUP('S27 Material Flow Matrix'!AW955/$G$1, 0)</f>
        <v>0</v>
      </c>
      <c r="AP4" s="3">
        <f>ROUNDUP('S27 Material Flow Matrix'!AX955/$G$1, 0)</f>
        <v>0</v>
      </c>
      <c r="AQ4" s="3">
        <f>ROUNDUP('S27 Material Flow Matrix'!AY955/$G$1, 0)</f>
        <v>0</v>
      </c>
      <c r="AR4" s="3">
        <f>ROUNDUP('S27 Material Flow Matrix'!AZ955/$G$1, 0)</f>
        <v>0</v>
      </c>
      <c r="AS4" s="3">
        <f>ROUNDUP('S27 Material Flow Matrix'!BA955/$G$1, 0)</f>
        <v>0</v>
      </c>
    </row>
    <row r="5" spans="1:45">
      <c r="A5" s="392" t="s">
        <v>1036</v>
      </c>
      <c r="B5" s="3">
        <f>ROUNDUP('S27 Material Flow Matrix'!J956/$G$1, 0)</f>
        <v>0</v>
      </c>
      <c r="C5" s="3">
        <f>ROUNDUP('S27 Material Flow Matrix'!K956/$G$1, 0)</f>
        <v>0</v>
      </c>
      <c r="D5" s="3">
        <f>ROUNDUP('S27 Material Flow Matrix'!L956/$G$1, 0)</f>
        <v>0</v>
      </c>
      <c r="E5" s="3">
        <f>ROUNDUP('S27 Material Flow Matrix'!M956/$G$1, 0)</f>
        <v>0</v>
      </c>
      <c r="F5" s="3">
        <f>ROUNDUP('S27 Material Flow Matrix'!N956/$G$1, 0)</f>
        <v>0</v>
      </c>
      <c r="G5" s="3">
        <f>ROUNDUP('S27 Material Flow Matrix'!O956/$G$1, 0)</f>
        <v>0</v>
      </c>
      <c r="H5" s="3">
        <f>ROUNDUP('S27 Material Flow Matrix'!P956/$G$1, 0)</f>
        <v>0</v>
      </c>
      <c r="I5" s="3">
        <f>ROUNDUP('S27 Material Flow Matrix'!Q956/$G$1, 0)</f>
        <v>0</v>
      </c>
      <c r="J5" s="3">
        <f>ROUNDUP('S27 Material Flow Matrix'!R956/$G$1, 0)</f>
        <v>0</v>
      </c>
      <c r="K5" s="3">
        <f>ROUNDUP('S27 Material Flow Matrix'!S956/$G$1, 0)</f>
        <v>0</v>
      </c>
      <c r="L5" s="3">
        <f>ROUNDUP('S27 Material Flow Matrix'!T956/$G$1, 0)</f>
        <v>0</v>
      </c>
      <c r="M5" s="3">
        <f>ROUNDUP('S27 Material Flow Matrix'!U956/$G$1, 0)</f>
        <v>0</v>
      </c>
      <c r="N5" s="3">
        <f>ROUNDUP('S27 Material Flow Matrix'!V956/$G$1, 0)</f>
        <v>0</v>
      </c>
      <c r="O5" s="3">
        <f>ROUNDUP('S27 Material Flow Matrix'!W956/$G$1, 0)</f>
        <v>0</v>
      </c>
      <c r="P5" s="3">
        <f>ROUNDUP('S27 Material Flow Matrix'!X956/$G$1, 0)</f>
        <v>0</v>
      </c>
      <c r="Q5" s="3">
        <f>ROUNDUP('S27 Material Flow Matrix'!Y956/$G$1, 0)</f>
        <v>0</v>
      </c>
      <c r="R5" s="3">
        <f>ROUNDUP('S27 Material Flow Matrix'!Z956/$G$1, 0)</f>
        <v>0</v>
      </c>
      <c r="S5" s="3">
        <f>ROUNDUP('S27 Material Flow Matrix'!AA956/$G$1, 0)</f>
        <v>151</v>
      </c>
      <c r="T5" s="3">
        <f>ROUNDUP('S27 Material Flow Matrix'!AB956/$G$1, 0)</f>
        <v>0</v>
      </c>
      <c r="U5" s="3">
        <f>ROUNDUP('S27 Material Flow Matrix'!AC956/$G$1, 0)</f>
        <v>0</v>
      </c>
      <c r="V5" s="3">
        <f>ROUNDUP('S27 Material Flow Matrix'!AD956/$G$1, 0)</f>
        <v>0</v>
      </c>
      <c r="W5" s="3">
        <f>ROUNDUP('S27 Material Flow Matrix'!AE956/$G$1, 0)</f>
        <v>0</v>
      </c>
      <c r="X5" s="3">
        <f>ROUNDUP('S27 Material Flow Matrix'!AF956/$G$1, 0)</f>
        <v>0</v>
      </c>
      <c r="Y5" s="3">
        <f>ROUNDUP('S27 Material Flow Matrix'!AG956/$G$1, 0)</f>
        <v>0</v>
      </c>
      <c r="Z5" s="3">
        <f>ROUNDUP('S27 Material Flow Matrix'!AH956/$G$1, 0)</f>
        <v>0</v>
      </c>
      <c r="AA5" s="3">
        <f>ROUNDUP('S27 Material Flow Matrix'!AI956/$G$1, 0)</f>
        <v>0</v>
      </c>
      <c r="AB5" s="3">
        <f>ROUNDUP('S27 Material Flow Matrix'!AJ956/$G$1, 0)</f>
        <v>0</v>
      </c>
      <c r="AC5" s="3">
        <f>ROUNDUP('S27 Material Flow Matrix'!AK956/$G$1, 0)</f>
        <v>0</v>
      </c>
      <c r="AD5" s="3">
        <f>ROUNDUP('S27 Material Flow Matrix'!AL956/$G$1, 0)</f>
        <v>0</v>
      </c>
      <c r="AE5" s="3">
        <f>ROUNDUP('S27 Material Flow Matrix'!AM956/$G$1, 0)</f>
        <v>0</v>
      </c>
      <c r="AF5" s="3">
        <f>ROUNDUP('S27 Material Flow Matrix'!AN956/$G$1, 0)</f>
        <v>0</v>
      </c>
      <c r="AG5" s="3">
        <f>ROUNDUP('S27 Material Flow Matrix'!AO956/$G$1, 0)</f>
        <v>0</v>
      </c>
      <c r="AH5" s="3">
        <f>ROUNDUP('S27 Material Flow Matrix'!AP956/$G$1, 0)</f>
        <v>0</v>
      </c>
      <c r="AI5" s="3">
        <f>ROUNDUP('S27 Material Flow Matrix'!AQ956/$G$1, 0)</f>
        <v>0</v>
      </c>
      <c r="AJ5" s="3">
        <f>ROUNDUP('S27 Material Flow Matrix'!AR956/$G$1, 0)</f>
        <v>0</v>
      </c>
      <c r="AK5" s="3">
        <f>ROUNDUP('S27 Material Flow Matrix'!AS956/$G$1, 0)</f>
        <v>0</v>
      </c>
      <c r="AL5" s="3">
        <f>ROUNDUP('S27 Material Flow Matrix'!AT956/$G$1, 0)</f>
        <v>0</v>
      </c>
      <c r="AM5" s="3">
        <f>ROUNDUP('S27 Material Flow Matrix'!AU956/$G$1, 0)</f>
        <v>0</v>
      </c>
      <c r="AN5" s="3">
        <f>ROUNDUP('S27 Material Flow Matrix'!AV956/$G$1, 0)</f>
        <v>0</v>
      </c>
      <c r="AO5" s="3">
        <f>ROUNDUP('S27 Material Flow Matrix'!AW956/$G$1, 0)</f>
        <v>0</v>
      </c>
      <c r="AP5" s="3">
        <f>ROUNDUP('S27 Material Flow Matrix'!AX956/$G$1, 0)</f>
        <v>0</v>
      </c>
      <c r="AQ5" s="3">
        <f>ROUNDUP('S27 Material Flow Matrix'!AY956/$G$1, 0)</f>
        <v>0</v>
      </c>
      <c r="AR5" s="3">
        <f>ROUNDUP('S27 Material Flow Matrix'!AZ956/$G$1, 0)</f>
        <v>0</v>
      </c>
      <c r="AS5" s="3">
        <f>ROUNDUP('S27 Material Flow Matrix'!BA956/$G$1, 0)</f>
        <v>0</v>
      </c>
    </row>
    <row r="6" spans="1:45">
      <c r="A6" s="392" t="s">
        <v>1038</v>
      </c>
      <c r="B6" s="3">
        <f>ROUNDUP('S27 Material Flow Matrix'!J957/$G$1, 0)</f>
        <v>0</v>
      </c>
      <c r="C6" s="3">
        <f>ROUNDUP('S27 Material Flow Matrix'!K957/$G$1, 0)</f>
        <v>0</v>
      </c>
      <c r="D6" s="3">
        <f>ROUNDUP('S27 Material Flow Matrix'!L957/$G$1, 0)</f>
        <v>0</v>
      </c>
      <c r="E6" s="3">
        <f>ROUNDUP('S27 Material Flow Matrix'!M957/$G$1, 0)</f>
        <v>0</v>
      </c>
      <c r="F6" s="3">
        <f>ROUNDUP('S27 Material Flow Matrix'!N957/$G$1, 0)</f>
        <v>0</v>
      </c>
      <c r="G6" s="3">
        <f>ROUNDUP('S27 Material Flow Matrix'!O957/$G$1, 0)</f>
        <v>0</v>
      </c>
      <c r="H6" s="3">
        <f>ROUNDUP('S27 Material Flow Matrix'!P957/$G$1, 0)</f>
        <v>0</v>
      </c>
      <c r="I6" s="3">
        <f>ROUNDUP('S27 Material Flow Matrix'!Q957/$G$1, 0)</f>
        <v>0</v>
      </c>
      <c r="J6" s="3">
        <f>ROUNDUP('S27 Material Flow Matrix'!R957/$G$1, 0)</f>
        <v>0</v>
      </c>
      <c r="K6" s="3">
        <f>ROUNDUP('S27 Material Flow Matrix'!S957/$G$1, 0)</f>
        <v>0</v>
      </c>
      <c r="L6" s="3">
        <f>ROUNDUP('S27 Material Flow Matrix'!T957/$G$1, 0)</f>
        <v>0</v>
      </c>
      <c r="M6" s="3">
        <f>ROUNDUP('S27 Material Flow Matrix'!U957/$G$1, 0)</f>
        <v>0</v>
      </c>
      <c r="N6" s="3">
        <f>ROUNDUP('S27 Material Flow Matrix'!V957/$G$1, 0)</f>
        <v>0</v>
      </c>
      <c r="O6" s="3">
        <f>ROUNDUP('S27 Material Flow Matrix'!W957/$G$1, 0)</f>
        <v>0</v>
      </c>
      <c r="P6" s="3">
        <f>ROUNDUP('S27 Material Flow Matrix'!X957/$G$1, 0)</f>
        <v>0</v>
      </c>
      <c r="Q6" s="3">
        <f>ROUNDUP('S27 Material Flow Matrix'!Y957/$G$1, 0)</f>
        <v>0</v>
      </c>
      <c r="R6" s="3">
        <f>ROUNDUP('S27 Material Flow Matrix'!Z957/$G$1, 0)</f>
        <v>0</v>
      </c>
      <c r="S6" s="3">
        <f>ROUNDUP('S27 Material Flow Matrix'!AA957/$G$1, 0)</f>
        <v>0</v>
      </c>
      <c r="T6" s="3">
        <f>ROUNDUP('S27 Material Flow Matrix'!AB957/$G$1, 0)</f>
        <v>0</v>
      </c>
      <c r="U6" s="3">
        <f>ROUNDUP('S27 Material Flow Matrix'!AC957/$G$1, 0)</f>
        <v>0</v>
      </c>
      <c r="V6" s="3">
        <f>ROUNDUP('S27 Material Flow Matrix'!AD957/$G$1, 0)</f>
        <v>0</v>
      </c>
      <c r="W6" s="3">
        <f>ROUNDUP('S27 Material Flow Matrix'!AE957/$G$1, 0)</f>
        <v>0</v>
      </c>
      <c r="X6" s="3">
        <f>ROUNDUP('S27 Material Flow Matrix'!AF957/$G$1, 0)</f>
        <v>71</v>
      </c>
      <c r="Y6" s="3">
        <f>ROUNDUP('S27 Material Flow Matrix'!AG957/$G$1, 0)</f>
        <v>0</v>
      </c>
      <c r="Z6" s="3">
        <f>ROUNDUP('S27 Material Flow Matrix'!AH957/$G$1, 0)</f>
        <v>0</v>
      </c>
      <c r="AA6" s="3">
        <f>ROUNDUP('S27 Material Flow Matrix'!AI957/$G$1, 0)</f>
        <v>0</v>
      </c>
      <c r="AB6" s="3">
        <f>ROUNDUP('S27 Material Flow Matrix'!AJ957/$G$1, 0)</f>
        <v>0</v>
      </c>
      <c r="AC6" s="3">
        <f>ROUNDUP('S27 Material Flow Matrix'!AK957/$G$1, 0)</f>
        <v>0</v>
      </c>
      <c r="AD6" s="3">
        <f>ROUNDUP('S27 Material Flow Matrix'!AL957/$G$1, 0)</f>
        <v>0</v>
      </c>
      <c r="AE6" s="3">
        <f>ROUNDUP('S27 Material Flow Matrix'!AM957/$G$1, 0)</f>
        <v>0</v>
      </c>
      <c r="AF6" s="3">
        <f>ROUNDUP('S27 Material Flow Matrix'!AN957/$G$1, 0)</f>
        <v>0</v>
      </c>
      <c r="AG6" s="3">
        <f>ROUNDUP('S27 Material Flow Matrix'!AO957/$G$1, 0)</f>
        <v>0</v>
      </c>
      <c r="AH6" s="3">
        <f>ROUNDUP('S27 Material Flow Matrix'!AP957/$G$1, 0)</f>
        <v>0</v>
      </c>
      <c r="AI6" s="3">
        <f>ROUNDUP('S27 Material Flow Matrix'!AQ957/$G$1, 0)</f>
        <v>0</v>
      </c>
      <c r="AJ6" s="3">
        <f>ROUNDUP('S27 Material Flow Matrix'!AR957/$G$1, 0)</f>
        <v>0</v>
      </c>
      <c r="AK6" s="3">
        <f>ROUNDUP('S27 Material Flow Matrix'!AS957/$G$1, 0)</f>
        <v>0</v>
      </c>
      <c r="AL6" s="3">
        <f>ROUNDUP('S27 Material Flow Matrix'!AT957/$G$1, 0)</f>
        <v>0</v>
      </c>
      <c r="AM6" s="3">
        <f>ROUNDUP('S27 Material Flow Matrix'!AU957/$G$1, 0)</f>
        <v>0</v>
      </c>
      <c r="AN6" s="3">
        <f>ROUNDUP('S27 Material Flow Matrix'!AV957/$G$1, 0)</f>
        <v>0</v>
      </c>
      <c r="AO6" s="3">
        <f>ROUNDUP('S27 Material Flow Matrix'!AW957/$G$1, 0)</f>
        <v>0</v>
      </c>
      <c r="AP6" s="3">
        <f>ROUNDUP('S27 Material Flow Matrix'!AX957/$G$1, 0)</f>
        <v>0</v>
      </c>
      <c r="AQ6" s="3">
        <f>ROUNDUP('S27 Material Flow Matrix'!AY957/$G$1, 0)</f>
        <v>0</v>
      </c>
      <c r="AR6" s="3">
        <f>ROUNDUP('S27 Material Flow Matrix'!AZ957/$G$1, 0)</f>
        <v>0</v>
      </c>
      <c r="AS6" s="3">
        <f>ROUNDUP('S27 Material Flow Matrix'!BA957/$G$1, 0)</f>
        <v>0</v>
      </c>
    </row>
    <row r="7" spans="1:45">
      <c r="A7" s="392" t="s">
        <v>1040</v>
      </c>
      <c r="B7" s="3">
        <f>ROUNDUP('S27 Material Flow Matrix'!J958/$G$1, 0)</f>
        <v>0</v>
      </c>
      <c r="C7" s="3">
        <f>ROUNDUP('S27 Material Flow Matrix'!K958/$G$1, 0)</f>
        <v>0</v>
      </c>
      <c r="D7" s="3">
        <f>ROUNDUP('S27 Material Flow Matrix'!L958/$G$1, 0)</f>
        <v>71</v>
      </c>
      <c r="E7" s="3">
        <f>ROUNDUP('S27 Material Flow Matrix'!M958/$G$1, 0)</f>
        <v>0</v>
      </c>
      <c r="F7" s="3">
        <f>ROUNDUP('S27 Material Flow Matrix'!N958/$G$1, 0)</f>
        <v>0</v>
      </c>
      <c r="G7" s="3">
        <f>ROUNDUP('S27 Material Flow Matrix'!O958/$G$1, 0)</f>
        <v>0</v>
      </c>
      <c r="H7" s="3">
        <f>ROUNDUP('S27 Material Flow Matrix'!P958/$G$1, 0)</f>
        <v>0</v>
      </c>
      <c r="I7" s="3">
        <f>ROUNDUP('S27 Material Flow Matrix'!Q958/$G$1, 0)</f>
        <v>0</v>
      </c>
      <c r="J7" s="3">
        <f>ROUNDUP('S27 Material Flow Matrix'!R958/$G$1, 0)</f>
        <v>0</v>
      </c>
      <c r="K7" s="3">
        <f>ROUNDUP('S27 Material Flow Matrix'!S958/$G$1, 0)</f>
        <v>0</v>
      </c>
      <c r="L7" s="3">
        <f>ROUNDUP('S27 Material Flow Matrix'!T958/$G$1, 0)</f>
        <v>0</v>
      </c>
      <c r="M7" s="3">
        <f>ROUNDUP('S27 Material Flow Matrix'!U958/$G$1, 0)</f>
        <v>0</v>
      </c>
      <c r="N7" s="3">
        <f>ROUNDUP('S27 Material Flow Matrix'!V958/$G$1, 0)</f>
        <v>0</v>
      </c>
      <c r="O7" s="3">
        <f>ROUNDUP('S27 Material Flow Matrix'!W958/$G$1, 0)</f>
        <v>0</v>
      </c>
      <c r="P7" s="3">
        <f>ROUNDUP('S27 Material Flow Matrix'!X958/$G$1, 0)</f>
        <v>0</v>
      </c>
      <c r="Q7" s="3">
        <f>ROUNDUP('S27 Material Flow Matrix'!Y958/$G$1, 0)</f>
        <v>0</v>
      </c>
      <c r="R7" s="3">
        <f>ROUNDUP('S27 Material Flow Matrix'!Z958/$G$1, 0)</f>
        <v>0</v>
      </c>
      <c r="S7" s="3">
        <f>ROUNDUP('S27 Material Flow Matrix'!AA958/$G$1, 0)</f>
        <v>0</v>
      </c>
      <c r="T7" s="3">
        <f>ROUNDUP('S27 Material Flow Matrix'!AB958/$G$1, 0)</f>
        <v>0</v>
      </c>
      <c r="U7" s="3">
        <f>ROUNDUP('S27 Material Flow Matrix'!AC958/$G$1, 0)</f>
        <v>0</v>
      </c>
      <c r="V7" s="3">
        <f>ROUNDUP('S27 Material Flow Matrix'!AD958/$G$1, 0)</f>
        <v>0</v>
      </c>
      <c r="W7" s="3">
        <f>ROUNDUP('S27 Material Flow Matrix'!AE958/$G$1, 0)</f>
        <v>0</v>
      </c>
      <c r="X7" s="3">
        <f>ROUNDUP('S27 Material Flow Matrix'!AF958/$G$1, 0)</f>
        <v>0</v>
      </c>
      <c r="Y7" s="3">
        <f>ROUNDUP('S27 Material Flow Matrix'!AG958/$G$1, 0)</f>
        <v>0</v>
      </c>
      <c r="Z7" s="3">
        <f>ROUNDUP('S27 Material Flow Matrix'!AH958/$G$1, 0)</f>
        <v>0</v>
      </c>
      <c r="AA7" s="3">
        <f>ROUNDUP('S27 Material Flow Matrix'!AI958/$G$1, 0)</f>
        <v>0</v>
      </c>
      <c r="AB7" s="3">
        <f>ROUNDUP('S27 Material Flow Matrix'!AJ958/$G$1, 0)</f>
        <v>0</v>
      </c>
      <c r="AC7" s="3">
        <f>ROUNDUP('S27 Material Flow Matrix'!AK958/$G$1, 0)</f>
        <v>0</v>
      </c>
      <c r="AD7" s="3">
        <f>ROUNDUP('S27 Material Flow Matrix'!AL958/$G$1, 0)</f>
        <v>0</v>
      </c>
      <c r="AE7" s="3">
        <f>ROUNDUP('S27 Material Flow Matrix'!AM958/$G$1, 0)</f>
        <v>0</v>
      </c>
      <c r="AF7" s="3">
        <f>ROUNDUP('S27 Material Flow Matrix'!AN958/$G$1, 0)</f>
        <v>0</v>
      </c>
      <c r="AG7" s="3">
        <f>ROUNDUP('S27 Material Flow Matrix'!AO958/$G$1, 0)</f>
        <v>0</v>
      </c>
      <c r="AH7" s="3">
        <f>ROUNDUP('S27 Material Flow Matrix'!AP958/$G$1, 0)</f>
        <v>0</v>
      </c>
      <c r="AI7" s="3">
        <f>ROUNDUP('S27 Material Flow Matrix'!AQ958/$G$1, 0)</f>
        <v>0</v>
      </c>
      <c r="AJ7" s="3">
        <f>ROUNDUP('S27 Material Flow Matrix'!AR958/$G$1, 0)</f>
        <v>0</v>
      </c>
      <c r="AK7" s="3">
        <f>ROUNDUP('S27 Material Flow Matrix'!AS958/$G$1, 0)</f>
        <v>0</v>
      </c>
      <c r="AL7" s="3">
        <f>ROUNDUP('S27 Material Flow Matrix'!AT958/$G$1, 0)</f>
        <v>0</v>
      </c>
      <c r="AM7" s="3">
        <f>ROUNDUP('S27 Material Flow Matrix'!AU958/$G$1, 0)</f>
        <v>0</v>
      </c>
      <c r="AN7" s="3">
        <f>ROUNDUP('S27 Material Flow Matrix'!AV958/$G$1, 0)</f>
        <v>0</v>
      </c>
      <c r="AO7" s="3">
        <f>ROUNDUP('S27 Material Flow Matrix'!AW958/$G$1, 0)</f>
        <v>0</v>
      </c>
      <c r="AP7" s="3">
        <f>ROUNDUP('S27 Material Flow Matrix'!AX958/$G$1, 0)</f>
        <v>0</v>
      </c>
      <c r="AQ7" s="3">
        <f>ROUNDUP('S27 Material Flow Matrix'!AY958/$G$1, 0)</f>
        <v>0</v>
      </c>
      <c r="AR7" s="3">
        <f>ROUNDUP('S27 Material Flow Matrix'!AZ958/$G$1, 0)</f>
        <v>0</v>
      </c>
      <c r="AS7" s="3">
        <f>ROUNDUP('S27 Material Flow Matrix'!BA958/$G$1, 0)</f>
        <v>0</v>
      </c>
    </row>
    <row r="8" spans="1:45">
      <c r="A8" s="392" t="s">
        <v>1042</v>
      </c>
      <c r="B8" s="3">
        <f>ROUNDUP('S27 Material Flow Matrix'!J959/$G$1, 0)</f>
        <v>0</v>
      </c>
      <c r="C8" s="3">
        <f>ROUNDUP('S27 Material Flow Matrix'!K959/$G$1, 0)</f>
        <v>0</v>
      </c>
      <c r="D8" s="3">
        <f>ROUNDUP('S27 Material Flow Matrix'!L959/$G$1, 0)</f>
        <v>0</v>
      </c>
      <c r="E8" s="3">
        <f>ROUNDUP('S27 Material Flow Matrix'!M959/$G$1, 0)</f>
        <v>0</v>
      </c>
      <c r="F8" s="3">
        <f>ROUNDUP('S27 Material Flow Matrix'!N959/$G$1, 0)</f>
        <v>0</v>
      </c>
      <c r="G8" s="3">
        <f>ROUNDUP('S27 Material Flow Matrix'!O959/$G$1, 0)</f>
        <v>0</v>
      </c>
      <c r="H8" s="3">
        <f>ROUNDUP('S27 Material Flow Matrix'!P959/$G$1, 0)</f>
        <v>0</v>
      </c>
      <c r="I8" s="3">
        <f>ROUNDUP('S27 Material Flow Matrix'!Q959/$G$1, 0)</f>
        <v>0</v>
      </c>
      <c r="J8" s="3">
        <f>ROUNDUP('S27 Material Flow Matrix'!R959/$G$1, 0)</f>
        <v>0</v>
      </c>
      <c r="K8" s="3">
        <f>ROUNDUP('S27 Material Flow Matrix'!S959/$G$1, 0)</f>
        <v>0</v>
      </c>
      <c r="L8" s="3">
        <f>ROUNDUP('S27 Material Flow Matrix'!T959/$G$1, 0)</f>
        <v>0</v>
      </c>
      <c r="M8" s="3">
        <f>ROUNDUP('S27 Material Flow Matrix'!U959/$G$1, 0)</f>
        <v>0</v>
      </c>
      <c r="N8" s="3">
        <f>ROUNDUP('S27 Material Flow Matrix'!V959/$G$1, 0)</f>
        <v>0</v>
      </c>
      <c r="O8" s="3">
        <f>ROUNDUP('S27 Material Flow Matrix'!W959/$G$1, 0)</f>
        <v>0</v>
      </c>
      <c r="P8" s="3">
        <f>ROUNDUP('S27 Material Flow Matrix'!X959/$G$1, 0)</f>
        <v>0</v>
      </c>
      <c r="Q8" s="3">
        <f>ROUNDUP('S27 Material Flow Matrix'!Y959/$G$1, 0)</f>
        <v>0</v>
      </c>
      <c r="R8" s="3">
        <f>ROUNDUP('S27 Material Flow Matrix'!Z959/$G$1, 0)</f>
        <v>0</v>
      </c>
      <c r="S8" s="3">
        <f>ROUNDUP('S27 Material Flow Matrix'!AA959/$G$1, 0)</f>
        <v>0</v>
      </c>
      <c r="T8" s="3">
        <f>ROUNDUP('S27 Material Flow Matrix'!AB959/$G$1, 0)</f>
        <v>0</v>
      </c>
      <c r="U8" s="3">
        <f>ROUNDUP('S27 Material Flow Matrix'!AC959/$G$1, 0)</f>
        <v>0</v>
      </c>
      <c r="V8" s="3">
        <f>ROUNDUP('S27 Material Flow Matrix'!AD959/$G$1, 0)</f>
        <v>0</v>
      </c>
      <c r="W8" s="3">
        <f>ROUNDUP('S27 Material Flow Matrix'!AE959/$G$1, 0)</f>
        <v>0</v>
      </c>
      <c r="X8" s="3">
        <f>ROUNDUP('S27 Material Flow Matrix'!AF959/$G$1, 0)</f>
        <v>0</v>
      </c>
      <c r="Y8" s="3">
        <f>ROUNDUP('S27 Material Flow Matrix'!AG959/$G$1, 0)</f>
        <v>0</v>
      </c>
      <c r="Z8" s="3">
        <f>ROUNDUP('S27 Material Flow Matrix'!AH959/$G$1, 0)</f>
        <v>213</v>
      </c>
      <c r="AA8" s="3">
        <f>ROUNDUP('S27 Material Flow Matrix'!AI959/$G$1, 0)</f>
        <v>0</v>
      </c>
      <c r="AB8" s="3">
        <f>ROUNDUP('S27 Material Flow Matrix'!AJ959/$G$1, 0)</f>
        <v>0</v>
      </c>
      <c r="AC8" s="3">
        <f>ROUNDUP('S27 Material Flow Matrix'!AK959/$G$1, 0)</f>
        <v>0</v>
      </c>
      <c r="AD8" s="3">
        <f>ROUNDUP('S27 Material Flow Matrix'!AL959/$G$1, 0)</f>
        <v>0</v>
      </c>
      <c r="AE8" s="3">
        <f>ROUNDUP('S27 Material Flow Matrix'!AM959/$G$1, 0)</f>
        <v>0</v>
      </c>
      <c r="AF8" s="3">
        <f>ROUNDUP('S27 Material Flow Matrix'!AN959/$G$1, 0)</f>
        <v>0</v>
      </c>
      <c r="AG8" s="3">
        <f>ROUNDUP('S27 Material Flow Matrix'!AO959/$G$1, 0)</f>
        <v>0</v>
      </c>
      <c r="AH8" s="3">
        <f>ROUNDUP('S27 Material Flow Matrix'!AP959/$G$1, 0)</f>
        <v>0</v>
      </c>
      <c r="AI8" s="3">
        <f>ROUNDUP('S27 Material Flow Matrix'!AQ959/$G$1, 0)</f>
        <v>0</v>
      </c>
      <c r="AJ8" s="3">
        <f>ROUNDUP('S27 Material Flow Matrix'!AR959/$G$1, 0)</f>
        <v>0</v>
      </c>
      <c r="AK8" s="3">
        <f>ROUNDUP('S27 Material Flow Matrix'!AS959/$G$1, 0)</f>
        <v>0</v>
      </c>
      <c r="AL8" s="3">
        <f>ROUNDUP('S27 Material Flow Matrix'!AT959/$G$1, 0)</f>
        <v>0</v>
      </c>
      <c r="AM8" s="3">
        <f>ROUNDUP('S27 Material Flow Matrix'!AU959/$G$1, 0)</f>
        <v>0</v>
      </c>
      <c r="AN8" s="3">
        <f>ROUNDUP('S27 Material Flow Matrix'!AV959/$G$1, 0)</f>
        <v>0</v>
      </c>
      <c r="AO8" s="3">
        <f>ROUNDUP('S27 Material Flow Matrix'!AW959/$G$1, 0)</f>
        <v>0</v>
      </c>
      <c r="AP8" s="3">
        <f>ROUNDUP('S27 Material Flow Matrix'!AX959/$G$1, 0)</f>
        <v>0</v>
      </c>
      <c r="AQ8" s="3">
        <f>ROUNDUP('S27 Material Flow Matrix'!AY959/$G$1, 0)</f>
        <v>0</v>
      </c>
      <c r="AR8" s="3">
        <f>ROUNDUP('S27 Material Flow Matrix'!AZ959/$G$1, 0)</f>
        <v>0</v>
      </c>
      <c r="AS8" s="3">
        <f>ROUNDUP('S27 Material Flow Matrix'!BA959/$G$1, 0)</f>
        <v>0</v>
      </c>
    </row>
    <row r="9" spans="1:45">
      <c r="A9" s="392" t="s">
        <v>1044</v>
      </c>
      <c r="B9" s="3">
        <f>ROUNDUP('S27 Material Flow Matrix'!J960/$G$1, 0)</f>
        <v>0</v>
      </c>
      <c r="C9" s="3">
        <f>ROUNDUP('S27 Material Flow Matrix'!K960/$G$1, 0)</f>
        <v>0</v>
      </c>
      <c r="D9" s="3">
        <f>ROUNDUP('S27 Material Flow Matrix'!L960/$G$1, 0)</f>
        <v>0</v>
      </c>
      <c r="E9" s="3">
        <f>ROUNDUP('S27 Material Flow Matrix'!M960/$G$1, 0)</f>
        <v>0</v>
      </c>
      <c r="F9" s="3">
        <f>ROUNDUP('S27 Material Flow Matrix'!N960/$G$1, 0)</f>
        <v>0</v>
      </c>
      <c r="G9" s="3">
        <f>ROUNDUP('S27 Material Flow Matrix'!O960/$G$1, 0)</f>
        <v>0</v>
      </c>
      <c r="H9" s="3">
        <f>ROUNDUP('S27 Material Flow Matrix'!P960/$G$1, 0)</f>
        <v>0</v>
      </c>
      <c r="I9" s="3">
        <f>ROUNDUP('S27 Material Flow Matrix'!Q960/$G$1, 0)</f>
        <v>0</v>
      </c>
      <c r="J9" s="3">
        <f>ROUNDUP('S27 Material Flow Matrix'!R960/$G$1, 0)</f>
        <v>0</v>
      </c>
      <c r="K9" s="3">
        <f>ROUNDUP('S27 Material Flow Matrix'!S960/$G$1, 0)</f>
        <v>0</v>
      </c>
      <c r="L9" s="3">
        <f>ROUNDUP('S27 Material Flow Matrix'!T960/$G$1, 0)</f>
        <v>0</v>
      </c>
      <c r="M9" s="3">
        <f>ROUNDUP('S27 Material Flow Matrix'!U960/$G$1, 0)</f>
        <v>0</v>
      </c>
      <c r="N9" s="3">
        <f>ROUNDUP('S27 Material Flow Matrix'!V960/$G$1, 0)</f>
        <v>0</v>
      </c>
      <c r="O9" s="3">
        <f>ROUNDUP('S27 Material Flow Matrix'!W960/$G$1, 0)</f>
        <v>0</v>
      </c>
      <c r="P9" s="3">
        <f>ROUNDUP('S27 Material Flow Matrix'!X960/$G$1, 0)</f>
        <v>0</v>
      </c>
      <c r="Q9" s="3">
        <f>ROUNDUP('S27 Material Flow Matrix'!Y960/$G$1, 0)</f>
        <v>0</v>
      </c>
      <c r="R9" s="3">
        <f>ROUNDUP('S27 Material Flow Matrix'!Z960/$G$1, 0)</f>
        <v>0</v>
      </c>
      <c r="S9" s="3">
        <f>ROUNDUP('S27 Material Flow Matrix'!AA960/$G$1, 0)</f>
        <v>0</v>
      </c>
      <c r="T9" s="3">
        <f>ROUNDUP('S27 Material Flow Matrix'!AB960/$G$1, 0)</f>
        <v>0</v>
      </c>
      <c r="U9" s="3">
        <f>ROUNDUP('S27 Material Flow Matrix'!AC960/$G$1, 0)</f>
        <v>0</v>
      </c>
      <c r="V9" s="3">
        <f>ROUNDUP('S27 Material Flow Matrix'!AD960/$G$1, 0)</f>
        <v>0</v>
      </c>
      <c r="W9" s="3">
        <f>ROUNDUP('S27 Material Flow Matrix'!AE960/$G$1, 0)</f>
        <v>0</v>
      </c>
      <c r="X9" s="3">
        <f>ROUNDUP('S27 Material Flow Matrix'!AF960/$G$1, 0)</f>
        <v>0</v>
      </c>
      <c r="Y9" s="3">
        <f>ROUNDUP('S27 Material Flow Matrix'!AG960/$G$1, 0)</f>
        <v>0</v>
      </c>
      <c r="Z9" s="3">
        <f>ROUNDUP('S27 Material Flow Matrix'!AH960/$G$1, 0)</f>
        <v>0</v>
      </c>
      <c r="AA9" s="3">
        <f>ROUNDUP('S27 Material Flow Matrix'!AI960/$G$1, 0)</f>
        <v>0</v>
      </c>
      <c r="AB9" s="3">
        <f>ROUNDUP('S27 Material Flow Matrix'!AJ960/$G$1, 0)</f>
        <v>0</v>
      </c>
      <c r="AC9" s="3">
        <f>ROUNDUP('S27 Material Flow Matrix'!AK960/$G$1, 0)</f>
        <v>0</v>
      </c>
      <c r="AD9" s="3">
        <f>ROUNDUP('S27 Material Flow Matrix'!AL960/$G$1, 0)</f>
        <v>0</v>
      </c>
      <c r="AE9" s="3">
        <f>ROUNDUP('S27 Material Flow Matrix'!AM960/$G$1, 0)</f>
        <v>0</v>
      </c>
      <c r="AF9" s="3">
        <f>ROUNDUP('S27 Material Flow Matrix'!AN960/$G$1, 0)</f>
        <v>0</v>
      </c>
      <c r="AG9" s="3">
        <f>ROUNDUP('S27 Material Flow Matrix'!AO960/$G$1, 0)</f>
        <v>0</v>
      </c>
      <c r="AH9" s="3">
        <f>ROUNDUP('S27 Material Flow Matrix'!AP960/$G$1, 0)</f>
        <v>0</v>
      </c>
      <c r="AI9" s="3">
        <f>ROUNDUP('S27 Material Flow Matrix'!AQ960/$G$1, 0)</f>
        <v>0</v>
      </c>
      <c r="AJ9" s="3">
        <f>ROUNDUP('S27 Material Flow Matrix'!AR960/$G$1, 0)</f>
        <v>0</v>
      </c>
      <c r="AK9" s="3">
        <f>ROUNDUP('S27 Material Flow Matrix'!AS960/$G$1, 0)</f>
        <v>0</v>
      </c>
      <c r="AL9" s="3">
        <f>ROUNDUP('S27 Material Flow Matrix'!AT960/$G$1, 0)</f>
        <v>0</v>
      </c>
      <c r="AM9" s="3">
        <f>ROUNDUP('S27 Material Flow Matrix'!AU960/$G$1, 0)</f>
        <v>0</v>
      </c>
      <c r="AN9" s="3">
        <f>ROUNDUP('S27 Material Flow Matrix'!AV960/$G$1, 0)</f>
        <v>0</v>
      </c>
      <c r="AO9" s="3">
        <f>ROUNDUP('S27 Material Flow Matrix'!AW960/$G$1, 0)</f>
        <v>0</v>
      </c>
      <c r="AP9" s="3">
        <f>ROUNDUP('S27 Material Flow Matrix'!AX960/$G$1, 0)</f>
        <v>0</v>
      </c>
      <c r="AQ9" s="3">
        <f>ROUNDUP('S27 Material Flow Matrix'!AY960/$G$1, 0)</f>
        <v>0</v>
      </c>
      <c r="AR9" s="3">
        <f>ROUNDUP('S27 Material Flow Matrix'!AZ960/$G$1, 0)</f>
        <v>0</v>
      </c>
      <c r="AS9" s="3">
        <f>ROUNDUP('S27 Material Flow Matrix'!BA960/$G$1, 0)</f>
        <v>0</v>
      </c>
    </row>
    <row r="10" spans="1:45">
      <c r="A10" s="392" t="s">
        <v>1046</v>
      </c>
      <c r="B10" s="3">
        <f>ROUNDUP('S27 Material Flow Matrix'!J961/$G$1, 0)</f>
        <v>0</v>
      </c>
      <c r="C10" s="3">
        <f>ROUNDUP('S27 Material Flow Matrix'!K961/$G$1, 0)</f>
        <v>0</v>
      </c>
      <c r="D10" s="3">
        <f>ROUNDUP('S27 Material Flow Matrix'!L961/$G$1, 0)</f>
        <v>0</v>
      </c>
      <c r="E10" s="3">
        <f>ROUNDUP('S27 Material Flow Matrix'!M961/$G$1, 0)</f>
        <v>0</v>
      </c>
      <c r="F10" s="3">
        <f>ROUNDUP('S27 Material Flow Matrix'!N961/$G$1, 0)</f>
        <v>0</v>
      </c>
      <c r="G10" s="3">
        <f>ROUNDUP('S27 Material Flow Matrix'!O961/$G$1, 0)</f>
        <v>0</v>
      </c>
      <c r="H10" s="3">
        <f>ROUNDUP('S27 Material Flow Matrix'!P961/$G$1, 0)</f>
        <v>0</v>
      </c>
      <c r="I10" s="3">
        <f>ROUNDUP('S27 Material Flow Matrix'!Q961/$G$1, 0)</f>
        <v>69</v>
      </c>
      <c r="J10" s="3">
        <f>ROUNDUP('S27 Material Flow Matrix'!R961/$G$1, 0)</f>
        <v>0</v>
      </c>
      <c r="K10" s="3">
        <f>ROUNDUP('S27 Material Flow Matrix'!S961/$G$1, 0)</f>
        <v>0</v>
      </c>
      <c r="L10" s="3">
        <f>ROUNDUP('S27 Material Flow Matrix'!T961/$G$1, 0)</f>
        <v>0</v>
      </c>
      <c r="M10" s="3">
        <f>ROUNDUP('S27 Material Flow Matrix'!U961/$G$1, 0)</f>
        <v>0</v>
      </c>
      <c r="N10" s="3">
        <f>ROUNDUP('S27 Material Flow Matrix'!V961/$G$1, 0)</f>
        <v>0</v>
      </c>
      <c r="O10" s="3">
        <f>ROUNDUP('S27 Material Flow Matrix'!W961/$G$1, 0)</f>
        <v>0</v>
      </c>
      <c r="P10" s="3">
        <f>ROUNDUP('S27 Material Flow Matrix'!X961/$G$1, 0)</f>
        <v>0</v>
      </c>
      <c r="Q10" s="3">
        <f>ROUNDUP('S27 Material Flow Matrix'!Y961/$G$1, 0)</f>
        <v>0</v>
      </c>
      <c r="R10" s="3">
        <f>ROUNDUP('S27 Material Flow Matrix'!Z961/$G$1, 0)</f>
        <v>0</v>
      </c>
      <c r="S10" s="3">
        <f>ROUNDUP('S27 Material Flow Matrix'!AA961/$G$1, 0)</f>
        <v>0</v>
      </c>
      <c r="T10" s="3">
        <f>ROUNDUP('S27 Material Flow Matrix'!AB961/$G$1, 0)</f>
        <v>0</v>
      </c>
      <c r="U10" s="3">
        <f>ROUNDUP('S27 Material Flow Matrix'!AC961/$G$1, 0)</f>
        <v>0</v>
      </c>
      <c r="V10" s="3">
        <f>ROUNDUP('S27 Material Flow Matrix'!AD961/$G$1, 0)</f>
        <v>89</v>
      </c>
      <c r="W10" s="3">
        <f>ROUNDUP('S27 Material Flow Matrix'!AE961/$G$1, 0)</f>
        <v>0</v>
      </c>
      <c r="X10" s="3">
        <f>ROUNDUP('S27 Material Flow Matrix'!AF961/$G$1, 0)</f>
        <v>0</v>
      </c>
      <c r="Y10" s="3">
        <f>ROUNDUP('S27 Material Flow Matrix'!AG961/$G$1, 0)</f>
        <v>0</v>
      </c>
      <c r="Z10" s="3">
        <f>ROUNDUP('S27 Material Flow Matrix'!AH961/$G$1, 0)</f>
        <v>0</v>
      </c>
      <c r="AA10" s="3">
        <f>ROUNDUP('S27 Material Flow Matrix'!AI961/$G$1, 0)</f>
        <v>0</v>
      </c>
      <c r="AB10" s="3">
        <f>ROUNDUP('S27 Material Flow Matrix'!AJ961/$G$1, 0)</f>
        <v>0</v>
      </c>
      <c r="AC10" s="3">
        <f>ROUNDUP('S27 Material Flow Matrix'!AK961/$G$1, 0)</f>
        <v>0</v>
      </c>
      <c r="AD10" s="3">
        <f>ROUNDUP('S27 Material Flow Matrix'!AL961/$G$1, 0)</f>
        <v>0</v>
      </c>
      <c r="AE10" s="3">
        <f>ROUNDUP('S27 Material Flow Matrix'!AM961/$G$1, 0)</f>
        <v>0</v>
      </c>
      <c r="AF10" s="3">
        <f>ROUNDUP('S27 Material Flow Matrix'!AN961/$G$1, 0)</f>
        <v>0</v>
      </c>
      <c r="AG10" s="3">
        <f>ROUNDUP('S27 Material Flow Matrix'!AO961/$G$1, 0)</f>
        <v>0</v>
      </c>
      <c r="AH10" s="3">
        <f>ROUNDUP('S27 Material Flow Matrix'!AP961/$G$1, 0)</f>
        <v>0</v>
      </c>
      <c r="AI10" s="3">
        <f>ROUNDUP('S27 Material Flow Matrix'!AQ961/$G$1, 0)</f>
        <v>0</v>
      </c>
      <c r="AJ10" s="3">
        <f>ROUNDUP('S27 Material Flow Matrix'!AR961/$G$1, 0)</f>
        <v>0</v>
      </c>
      <c r="AK10" s="3">
        <f>ROUNDUP('S27 Material Flow Matrix'!AS961/$G$1, 0)</f>
        <v>0</v>
      </c>
      <c r="AL10" s="3">
        <f>ROUNDUP('S27 Material Flow Matrix'!AT961/$G$1, 0)</f>
        <v>0</v>
      </c>
      <c r="AM10" s="3">
        <f>ROUNDUP('S27 Material Flow Matrix'!AU961/$G$1, 0)</f>
        <v>0</v>
      </c>
      <c r="AN10" s="3">
        <f>ROUNDUP('S27 Material Flow Matrix'!AV961/$G$1, 0)</f>
        <v>0</v>
      </c>
      <c r="AO10" s="3">
        <f>ROUNDUP('S27 Material Flow Matrix'!AW961/$G$1, 0)</f>
        <v>0</v>
      </c>
      <c r="AP10" s="3">
        <f>ROUNDUP('S27 Material Flow Matrix'!AX961/$G$1, 0)</f>
        <v>0</v>
      </c>
      <c r="AQ10" s="3">
        <f>ROUNDUP('S27 Material Flow Matrix'!AY961/$G$1, 0)</f>
        <v>0</v>
      </c>
      <c r="AR10" s="3">
        <f>ROUNDUP('S27 Material Flow Matrix'!AZ961/$G$1, 0)</f>
        <v>0</v>
      </c>
      <c r="AS10" s="3">
        <f>ROUNDUP('S27 Material Flow Matrix'!BA961/$G$1, 0)</f>
        <v>0</v>
      </c>
    </row>
    <row r="11" spans="1:45">
      <c r="A11" s="392" t="s">
        <v>1048</v>
      </c>
      <c r="B11" s="3">
        <f>ROUNDUP('S27 Material Flow Matrix'!J962/$G$1, 0)</f>
        <v>0</v>
      </c>
      <c r="C11" s="3">
        <f>ROUNDUP('S27 Material Flow Matrix'!K962/$G$1, 0)</f>
        <v>0</v>
      </c>
      <c r="D11" s="3">
        <f>ROUNDUP('S27 Material Flow Matrix'!L962/$G$1, 0)</f>
        <v>0</v>
      </c>
      <c r="E11" s="3">
        <f>ROUNDUP('S27 Material Flow Matrix'!M962/$G$1, 0)</f>
        <v>0</v>
      </c>
      <c r="F11" s="3">
        <f>ROUNDUP('S27 Material Flow Matrix'!N962/$G$1, 0)</f>
        <v>0</v>
      </c>
      <c r="G11" s="3">
        <f>ROUNDUP('S27 Material Flow Matrix'!O962/$G$1, 0)</f>
        <v>0</v>
      </c>
      <c r="H11" s="3">
        <f>ROUNDUP('S27 Material Flow Matrix'!P962/$G$1, 0)</f>
        <v>0</v>
      </c>
      <c r="I11" s="3">
        <f>ROUNDUP('S27 Material Flow Matrix'!Q962/$G$1, 0)</f>
        <v>0</v>
      </c>
      <c r="J11" s="3">
        <f>ROUNDUP('S27 Material Flow Matrix'!R962/$G$1, 0)</f>
        <v>0</v>
      </c>
      <c r="K11" s="3">
        <f>ROUNDUP('S27 Material Flow Matrix'!S962/$G$1, 0)</f>
        <v>0</v>
      </c>
      <c r="L11" s="3">
        <f>ROUNDUP('S27 Material Flow Matrix'!T962/$G$1, 0)</f>
        <v>0</v>
      </c>
      <c r="M11" s="3">
        <f>ROUNDUP('S27 Material Flow Matrix'!U962/$G$1, 0)</f>
        <v>0</v>
      </c>
      <c r="N11" s="3">
        <f>ROUNDUP('S27 Material Flow Matrix'!V962/$G$1, 0)</f>
        <v>0</v>
      </c>
      <c r="O11" s="3">
        <f>ROUNDUP('S27 Material Flow Matrix'!W962/$G$1, 0)</f>
        <v>0</v>
      </c>
      <c r="P11" s="3">
        <f>ROUNDUP('S27 Material Flow Matrix'!X962/$G$1, 0)</f>
        <v>0</v>
      </c>
      <c r="Q11" s="3">
        <f>ROUNDUP('S27 Material Flow Matrix'!Y962/$G$1, 0)</f>
        <v>0</v>
      </c>
      <c r="R11" s="3">
        <f>ROUNDUP('S27 Material Flow Matrix'!Z962/$G$1, 0)</f>
        <v>0</v>
      </c>
      <c r="S11" s="3">
        <f>ROUNDUP('S27 Material Flow Matrix'!AA962/$G$1, 0)</f>
        <v>0</v>
      </c>
      <c r="T11" s="3">
        <f>ROUNDUP('S27 Material Flow Matrix'!AB962/$G$1, 0)</f>
        <v>0</v>
      </c>
      <c r="U11" s="3">
        <f>ROUNDUP('S27 Material Flow Matrix'!AC962/$G$1, 0)</f>
        <v>69</v>
      </c>
      <c r="V11" s="3">
        <f>ROUNDUP('S27 Material Flow Matrix'!AD962/$G$1, 0)</f>
        <v>0</v>
      </c>
      <c r="W11" s="3">
        <f>ROUNDUP('S27 Material Flow Matrix'!AE962/$G$1, 0)</f>
        <v>0</v>
      </c>
      <c r="X11" s="3">
        <f>ROUNDUP('S27 Material Flow Matrix'!AF962/$G$1, 0)</f>
        <v>0</v>
      </c>
      <c r="Y11" s="3">
        <f>ROUNDUP('S27 Material Flow Matrix'!AG962/$G$1, 0)</f>
        <v>0</v>
      </c>
      <c r="Z11" s="3">
        <f>ROUNDUP('S27 Material Flow Matrix'!AH962/$G$1, 0)</f>
        <v>0</v>
      </c>
      <c r="AA11" s="3">
        <f>ROUNDUP('S27 Material Flow Matrix'!AI962/$G$1, 0)</f>
        <v>0</v>
      </c>
      <c r="AB11" s="3">
        <f>ROUNDUP('S27 Material Flow Matrix'!AJ962/$G$1, 0)</f>
        <v>0</v>
      </c>
      <c r="AC11" s="3">
        <f>ROUNDUP('S27 Material Flow Matrix'!AK962/$G$1, 0)</f>
        <v>0</v>
      </c>
      <c r="AD11" s="3">
        <f>ROUNDUP('S27 Material Flow Matrix'!AL962/$G$1, 0)</f>
        <v>0</v>
      </c>
      <c r="AE11" s="3">
        <f>ROUNDUP('S27 Material Flow Matrix'!AM962/$G$1, 0)</f>
        <v>0</v>
      </c>
      <c r="AF11" s="3">
        <f>ROUNDUP('S27 Material Flow Matrix'!AN962/$G$1, 0)</f>
        <v>0</v>
      </c>
      <c r="AG11" s="3">
        <f>ROUNDUP('S27 Material Flow Matrix'!AO962/$G$1, 0)</f>
        <v>0</v>
      </c>
      <c r="AH11" s="3">
        <f>ROUNDUP('S27 Material Flow Matrix'!AP962/$G$1, 0)</f>
        <v>0</v>
      </c>
      <c r="AI11" s="3">
        <f>ROUNDUP('S27 Material Flow Matrix'!AQ962/$G$1, 0)</f>
        <v>0</v>
      </c>
      <c r="AJ11" s="3">
        <f>ROUNDUP('S27 Material Flow Matrix'!AR962/$G$1, 0)</f>
        <v>0</v>
      </c>
      <c r="AK11" s="3">
        <f>ROUNDUP('S27 Material Flow Matrix'!AS962/$G$1, 0)</f>
        <v>0</v>
      </c>
      <c r="AL11" s="3">
        <f>ROUNDUP('S27 Material Flow Matrix'!AT962/$G$1, 0)</f>
        <v>0</v>
      </c>
      <c r="AM11" s="3">
        <f>ROUNDUP('S27 Material Flow Matrix'!AU962/$G$1, 0)</f>
        <v>0</v>
      </c>
      <c r="AN11" s="3">
        <f>ROUNDUP('S27 Material Flow Matrix'!AV962/$G$1, 0)</f>
        <v>0</v>
      </c>
      <c r="AO11" s="3">
        <f>ROUNDUP('S27 Material Flow Matrix'!AW962/$G$1, 0)</f>
        <v>0</v>
      </c>
      <c r="AP11" s="3">
        <f>ROUNDUP('S27 Material Flow Matrix'!AX962/$G$1, 0)</f>
        <v>0</v>
      </c>
      <c r="AQ11" s="3">
        <f>ROUNDUP('S27 Material Flow Matrix'!AY962/$G$1, 0)</f>
        <v>0</v>
      </c>
      <c r="AR11" s="3">
        <f>ROUNDUP('S27 Material Flow Matrix'!AZ962/$G$1, 0)</f>
        <v>0</v>
      </c>
      <c r="AS11" s="3">
        <f>ROUNDUP('S27 Material Flow Matrix'!BA962/$G$1, 0)</f>
        <v>0</v>
      </c>
    </row>
    <row r="12" spans="1:45">
      <c r="A12" s="392" t="s">
        <v>1049</v>
      </c>
      <c r="B12" s="3">
        <f>ROUNDUP('S27 Material Flow Matrix'!J963/$G$1, 0)</f>
        <v>0</v>
      </c>
      <c r="C12" s="3">
        <f>ROUNDUP('S27 Material Flow Matrix'!K963/$G$1, 0)</f>
        <v>0</v>
      </c>
      <c r="D12" s="3">
        <f>ROUNDUP('S27 Material Flow Matrix'!L963/$G$1, 0)</f>
        <v>0</v>
      </c>
      <c r="E12" s="3">
        <f>ROUNDUP('S27 Material Flow Matrix'!M963/$G$1, 0)</f>
        <v>0</v>
      </c>
      <c r="F12" s="3">
        <f>ROUNDUP('S27 Material Flow Matrix'!N963/$G$1, 0)</f>
        <v>0</v>
      </c>
      <c r="G12" s="3">
        <f>ROUNDUP('S27 Material Flow Matrix'!O963/$G$1, 0)</f>
        <v>0</v>
      </c>
      <c r="H12" s="3">
        <f>ROUNDUP('S27 Material Flow Matrix'!P963/$G$1, 0)</f>
        <v>0</v>
      </c>
      <c r="I12" s="3">
        <f>ROUNDUP('S27 Material Flow Matrix'!Q963/$G$1, 0)</f>
        <v>0</v>
      </c>
      <c r="J12" s="3">
        <f>ROUNDUP('S27 Material Flow Matrix'!R963/$G$1, 0)</f>
        <v>0</v>
      </c>
      <c r="K12" s="3">
        <f>ROUNDUP('S27 Material Flow Matrix'!S963/$G$1, 0)</f>
        <v>0</v>
      </c>
      <c r="L12" s="3">
        <f>ROUNDUP('S27 Material Flow Matrix'!T963/$G$1, 0)</f>
        <v>0</v>
      </c>
      <c r="M12" s="3">
        <f>ROUNDUP('S27 Material Flow Matrix'!U963/$G$1, 0)</f>
        <v>0</v>
      </c>
      <c r="N12" s="3">
        <f>ROUNDUP('S27 Material Flow Matrix'!V963/$G$1, 0)</f>
        <v>0</v>
      </c>
      <c r="O12" s="3">
        <f>ROUNDUP('S27 Material Flow Matrix'!W963/$G$1, 0)</f>
        <v>0</v>
      </c>
      <c r="P12" s="3">
        <f>ROUNDUP('S27 Material Flow Matrix'!X963/$G$1, 0)</f>
        <v>0</v>
      </c>
      <c r="Q12" s="3">
        <f>ROUNDUP('S27 Material Flow Matrix'!Y963/$G$1, 0)</f>
        <v>0</v>
      </c>
      <c r="R12" s="3">
        <f>ROUNDUP('S27 Material Flow Matrix'!Z963/$G$1, 0)</f>
        <v>0</v>
      </c>
      <c r="S12" s="3">
        <f>ROUNDUP('S27 Material Flow Matrix'!AA963/$G$1, 0)</f>
        <v>0</v>
      </c>
      <c r="T12" s="3">
        <f>ROUNDUP('S27 Material Flow Matrix'!AB963/$G$1, 0)</f>
        <v>0</v>
      </c>
      <c r="U12" s="3">
        <f>ROUNDUP('S27 Material Flow Matrix'!AC963/$G$1, 0)</f>
        <v>0</v>
      </c>
      <c r="V12" s="3">
        <f>ROUNDUP('S27 Material Flow Matrix'!AD963/$G$1, 0)</f>
        <v>0</v>
      </c>
      <c r="W12" s="3">
        <f>ROUNDUP('S27 Material Flow Matrix'!AE963/$G$1, 0)</f>
        <v>0</v>
      </c>
      <c r="X12" s="3">
        <f>ROUNDUP('S27 Material Flow Matrix'!AF963/$G$1, 0)</f>
        <v>0</v>
      </c>
      <c r="Y12" s="3">
        <f>ROUNDUP('S27 Material Flow Matrix'!AG963/$G$1, 0)</f>
        <v>0</v>
      </c>
      <c r="Z12" s="3">
        <f>ROUNDUP('S27 Material Flow Matrix'!AH963/$G$1, 0)</f>
        <v>0</v>
      </c>
      <c r="AA12" s="3">
        <f>ROUNDUP('S27 Material Flow Matrix'!AI963/$G$1, 0)</f>
        <v>0</v>
      </c>
      <c r="AB12" s="3">
        <f>ROUNDUP('S27 Material Flow Matrix'!AJ963/$G$1, 0)</f>
        <v>0</v>
      </c>
      <c r="AC12" s="3">
        <f>ROUNDUP('S27 Material Flow Matrix'!AK963/$G$1, 0)</f>
        <v>0</v>
      </c>
      <c r="AD12" s="3">
        <f>ROUNDUP('S27 Material Flow Matrix'!AL963/$G$1, 0)</f>
        <v>0</v>
      </c>
      <c r="AE12" s="3">
        <f>ROUNDUP('S27 Material Flow Matrix'!AM963/$G$1, 0)</f>
        <v>0</v>
      </c>
      <c r="AF12" s="3">
        <f>ROUNDUP('S27 Material Flow Matrix'!AN963/$G$1, 0)</f>
        <v>0</v>
      </c>
      <c r="AG12" s="3">
        <f>ROUNDUP('S27 Material Flow Matrix'!AO963/$G$1, 0)</f>
        <v>0</v>
      </c>
      <c r="AH12" s="3">
        <f>ROUNDUP('S27 Material Flow Matrix'!AP963/$G$1, 0)</f>
        <v>0</v>
      </c>
      <c r="AI12" s="3">
        <f>ROUNDUP('S27 Material Flow Matrix'!AQ963/$G$1, 0)</f>
        <v>0</v>
      </c>
      <c r="AJ12" s="3">
        <f>ROUNDUP('S27 Material Flow Matrix'!AR963/$G$1, 0)</f>
        <v>0</v>
      </c>
      <c r="AK12" s="3">
        <f>ROUNDUP('S27 Material Flow Matrix'!AS963/$G$1, 0)</f>
        <v>0</v>
      </c>
      <c r="AL12" s="3">
        <f>ROUNDUP('S27 Material Flow Matrix'!AT963/$G$1, 0)</f>
        <v>0</v>
      </c>
      <c r="AM12" s="3">
        <f>ROUNDUP('S27 Material Flow Matrix'!AU963/$G$1, 0)</f>
        <v>0</v>
      </c>
      <c r="AN12" s="3">
        <f>ROUNDUP('S27 Material Flow Matrix'!AV963/$G$1, 0)</f>
        <v>0</v>
      </c>
      <c r="AO12" s="3">
        <f>ROUNDUP('S27 Material Flow Matrix'!AW963/$G$1, 0)</f>
        <v>0</v>
      </c>
      <c r="AP12" s="3">
        <f>ROUNDUP('S27 Material Flow Matrix'!AX963/$G$1, 0)</f>
        <v>0</v>
      </c>
      <c r="AQ12" s="3">
        <f>ROUNDUP('S27 Material Flow Matrix'!AY963/$G$1, 0)</f>
        <v>0</v>
      </c>
      <c r="AR12" s="3">
        <f>ROUNDUP('S27 Material Flow Matrix'!AZ963/$G$1, 0)</f>
        <v>0</v>
      </c>
      <c r="AS12" s="3">
        <f>ROUNDUP('S27 Material Flow Matrix'!BA963/$G$1, 0)</f>
        <v>0</v>
      </c>
    </row>
    <row r="13" spans="1:45">
      <c r="A13" s="392" t="s">
        <v>1051</v>
      </c>
      <c r="B13" s="3">
        <f>ROUNDUP('S27 Material Flow Matrix'!J964/$G$1, 0)</f>
        <v>0</v>
      </c>
      <c r="C13" s="3">
        <f>ROUNDUP('S27 Material Flow Matrix'!K964/$G$1, 0)</f>
        <v>0</v>
      </c>
      <c r="D13" s="3">
        <f>ROUNDUP('S27 Material Flow Matrix'!L964/$G$1, 0)</f>
        <v>0</v>
      </c>
      <c r="E13" s="3">
        <f>ROUNDUP('S27 Material Flow Matrix'!M964/$G$1, 0)</f>
        <v>0</v>
      </c>
      <c r="F13" s="3">
        <f>ROUNDUP('S27 Material Flow Matrix'!N964/$G$1, 0)</f>
        <v>0</v>
      </c>
      <c r="G13" s="3">
        <f>ROUNDUP('S27 Material Flow Matrix'!O964/$G$1, 0)</f>
        <v>0</v>
      </c>
      <c r="H13" s="3">
        <f>ROUNDUP('S27 Material Flow Matrix'!P964/$G$1, 0)</f>
        <v>0</v>
      </c>
      <c r="I13" s="3">
        <f>ROUNDUP('S27 Material Flow Matrix'!Q964/$G$1, 0)</f>
        <v>0</v>
      </c>
      <c r="J13" s="3">
        <f>ROUNDUP('S27 Material Flow Matrix'!R964/$G$1, 0)</f>
        <v>0</v>
      </c>
      <c r="K13" s="3">
        <f>ROUNDUP('S27 Material Flow Matrix'!S964/$G$1, 0)</f>
        <v>0</v>
      </c>
      <c r="L13" s="3">
        <f>ROUNDUP('S27 Material Flow Matrix'!T964/$G$1, 0)</f>
        <v>0</v>
      </c>
      <c r="M13" s="3">
        <f>ROUNDUP('S27 Material Flow Matrix'!U964/$G$1, 0)</f>
        <v>0</v>
      </c>
      <c r="N13" s="3">
        <f>ROUNDUP('S27 Material Flow Matrix'!V964/$G$1, 0)</f>
        <v>0</v>
      </c>
      <c r="O13" s="3">
        <f>ROUNDUP('S27 Material Flow Matrix'!W964/$G$1, 0)</f>
        <v>0</v>
      </c>
      <c r="P13" s="3">
        <f>ROUNDUP('S27 Material Flow Matrix'!X964/$G$1, 0)</f>
        <v>0</v>
      </c>
      <c r="Q13" s="3">
        <f>ROUNDUP('S27 Material Flow Matrix'!Y964/$G$1, 0)</f>
        <v>0</v>
      </c>
      <c r="R13" s="3">
        <f>ROUNDUP('S27 Material Flow Matrix'!Z964/$G$1, 0)</f>
        <v>0</v>
      </c>
      <c r="S13" s="3">
        <f>ROUNDUP('S27 Material Flow Matrix'!AA964/$G$1, 0)</f>
        <v>0</v>
      </c>
      <c r="T13" s="3">
        <f>ROUNDUP('S27 Material Flow Matrix'!AB964/$G$1, 0)</f>
        <v>0</v>
      </c>
      <c r="U13" s="3">
        <f>ROUNDUP('S27 Material Flow Matrix'!AC964/$G$1, 0)</f>
        <v>0</v>
      </c>
      <c r="V13" s="3">
        <f>ROUNDUP('S27 Material Flow Matrix'!AD964/$G$1, 0)</f>
        <v>0</v>
      </c>
      <c r="W13" s="3">
        <f>ROUNDUP('S27 Material Flow Matrix'!AE964/$G$1, 0)</f>
        <v>0</v>
      </c>
      <c r="X13" s="3">
        <f>ROUNDUP('S27 Material Flow Matrix'!AF964/$G$1, 0)</f>
        <v>0</v>
      </c>
      <c r="Y13" s="3">
        <f>ROUNDUP('S27 Material Flow Matrix'!AG964/$G$1, 0)</f>
        <v>0</v>
      </c>
      <c r="Z13" s="3">
        <f>ROUNDUP('S27 Material Flow Matrix'!AH964/$G$1, 0)</f>
        <v>0</v>
      </c>
      <c r="AA13" s="3">
        <f>ROUNDUP('S27 Material Flow Matrix'!AI964/$G$1, 0)</f>
        <v>0</v>
      </c>
      <c r="AB13" s="3">
        <f>ROUNDUP('S27 Material Flow Matrix'!AJ964/$G$1, 0)</f>
        <v>0</v>
      </c>
      <c r="AC13" s="3">
        <f>ROUNDUP('S27 Material Flow Matrix'!AK964/$G$1, 0)</f>
        <v>0</v>
      </c>
      <c r="AD13" s="3">
        <f>ROUNDUP('S27 Material Flow Matrix'!AL964/$G$1, 0)</f>
        <v>0</v>
      </c>
      <c r="AE13" s="3">
        <f>ROUNDUP('S27 Material Flow Matrix'!AM964/$G$1, 0)</f>
        <v>0</v>
      </c>
      <c r="AF13" s="3">
        <f>ROUNDUP('S27 Material Flow Matrix'!AN964/$G$1, 0)</f>
        <v>0</v>
      </c>
      <c r="AG13" s="3">
        <f>ROUNDUP('S27 Material Flow Matrix'!AO964/$G$1, 0)</f>
        <v>0</v>
      </c>
      <c r="AH13" s="3">
        <f>ROUNDUP('S27 Material Flow Matrix'!AP964/$G$1, 0)</f>
        <v>0</v>
      </c>
      <c r="AI13" s="3">
        <f>ROUNDUP('S27 Material Flow Matrix'!AQ964/$G$1, 0)</f>
        <v>0</v>
      </c>
      <c r="AJ13" s="3">
        <f>ROUNDUP('S27 Material Flow Matrix'!AR964/$G$1, 0)</f>
        <v>0</v>
      </c>
      <c r="AK13" s="3">
        <f>ROUNDUP('S27 Material Flow Matrix'!AS964/$G$1, 0)</f>
        <v>0</v>
      </c>
      <c r="AL13" s="3">
        <f>ROUNDUP('S27 Material Flow Matrix'!AT964/$G$1, 0)</f>
        <v>0</v>
      </c>
      <c r="AM13" s="3">
        <f>ROUNDUP('S27 Material Flow Matrix'!AU964/$G$1, 0)</f>
        <v>0</v>
      </c>
      <c r="AN13" s="3">
        <f>ROUNDUP('S27 Material Flow Matrix'!AV964/$G$1, 0)</f>
        <v>0</v>
      </c>
      <c r="AO13" s="3">
        <f>ROUNDUP('S27 Material Flow Matrix'!AW964/$G$1, 0)</f>
        <v>0</v>
      </c>
      <c r="AP13" s="3">
        <f>ROUNDUP('S27 Material Flow Matrix'!AX964/$G$1, 0)</f>
        <v>0</v>
      </c>
      <c r="AQ13" s="3">
        <f>ROUNDUP('S27 Material Flow Matrix'!AY964/$G$1, 0)</f>
        <v>0</v>
      </c>
      <c r="AR13" s="3">
        <f>ROUNDUP('S27 Material Flow Matrix'!AZ964/$G$1, 0)</f>
        <v>0</v>
      </c>
      <c r="AS13" s="3">
        <f>ROUNDUP('S27 Material Flow Matrix'!BA964/$G$1, 0)</f>
        <v>0</v>
      </c>
    </row>
    <row r="14" spans="1:45">
      <c r="A14" s="392" t="s">
        <v>1053</v>
      </c>
      <c r="B14" s="3">
        <f>ROUNDUP('S27 Material Flow Matrix'!J965/$G$1, 0)</f>
        <v>0</v>
      </c>
      <c r="C14" s="3">
        <f>ROUNDUP('S27 Material Flow Matrix'!K965/$G$1, 0)</f>
        <v>0</v>
      </c>
      <c r="D14" s="3">
        <f>ROUNDUP('S27 Material Flow Matrix'!L965/$G$1, 0)</f>
        <v>0</v>
      </c>
      <c r="E14" s="3">
        <f>ROUNDUP('S27 Material Flow Matrix'!M965/$G$1, 0)</f>
        <v>0</v>
      </c>
      <c r="F14" s="3">
        <f>ROUNDUP('S27 Material Flow Matrix'!N965/$G$1, 0)</f>
        <v>0</v>
      </c>
      <c r="G14" s="3">
        <f>ROUNDUP('S27 Material Flow Matrix'!O965/$G$1, 0)</f>
        <v>0</v>
      </c>
      <c r="H14" s="3">
        <f>ROUNDUP('S27 Material Flow Matrix'!P965/$G$1, 0)</f>
        <v>0</v>
      </c>
      <c r="I14" s="3">
        <f>ROUNDUP('S27 Material Flow Matrix'!Q965/$G$1, 0)</f>
        <v>0</v>
      </c>
      <c r="J14" s="3">
        <f>ROUNDUP('S27 Material Flow Matrix'!R965/$G$1, 0)</f>
        <v>0</v>
      </c>
      <c r="K14" s="3">
        <f>ROUNDUP('S27 Material Flow Matrix'!S965/$G$1, 0)</f>
        <v>0</v>
      </c>
      <c r="L14" s="3">
        <f>ROUNDUP('S27 Material Flow Matrix'!T965/$G$1, 0)</f>
        <v>0</v>
      </c>
      <c r="M14" s="3">
        <f>ROUNDUP('S27 Material Flow Matrix'!U965/$G$1, 0)</f>
        <v>0</v>
      </c>
      <c r="N14" s="3">
        <f>ROUNDUP('S27 Material Flow Matrix'!V965/$G$1, 0)</f>
        <v>0</v>
      </c>
      <c r="O14" s="3">
        <f>ROUNDUP('S27 Material Flow Matrix'!W965/$G$1, 0)</f>
        <v>0</v>
      </c>
      <c r="P14" s="3">
        <f>ROUNDUP('S27 Material Flow Matrix'!X965/$G$1, 0)</f>
        <v>0</v>
      </c>
      <c r="Q14" s="3">
        <f>ROUNDUP('S27 Material Flow Matrix'!Y965/$G$1, 0)</f>
        <v>0</v>
      </c>
      <c r="R14" s="3">
        <f>ROUNDUP('S27 Material Flow Matrix'!Z965/$G$1, 0)</f>
        <v>0</v>
      </c>
      <c r="S14" s="3">
        <f>ROUNDUP('S27 Material Flow Matrix'!AA965/$G$1, 0)</f>
        <v>0</v>
      </c>
      <c r="T14" s="3">
        <f>ROUNDUP('S27 Material Flow Matrix'!AB965/$G$1, 0)</f>
        <v>0</v>
      </c>
      <c r="U14" s="3">
        <f>ROUNDUP('S27 Material Flow Matrix'!AC965/$G$1, 0)</f>
        <v>0</v>
      </c>
      <c r="V14" s="3">
        <f>ROUNDUP('S27 Material Flow Matrix'!AD965/$G$1, 0)</f>
        <v>0</v>
      </c>
      <c r="W14" s="3">
        <f>ROUNDUP('S27 Material Flow Matrix'!AE965/$G$1, 0)</f>
        <v>0</v>
      </c>
      <c r="X14" s="3">
        <f>ROUNDUP('S27 Material Flow Matrix'!AF965/$G$1, 0)</f>
        <v>0</v>
      </c>
      <c r="Y14" s="3">
        <f>ROUNDUP('S27 Material Flow Matrix'!AG965/$G$1, 0)</f>
        <v>0</v>
      </c>
      <c r="Z14" s="3">
        <f>ROUNDUP('S27 Material Flow Matrix'!AH965/$G$1, 0)</f>
        <v>0</v>
      </c>
      <c r="AA14" s="3">
        <f>ROUNDUP('S27 Material Flow Matrix'!AI965/$G$1, 0)</f>
        <v>0</v>
      </c>
      <c r="AB14" s="3">
        <f>ROUNDUP('S27 Material Flow Matrix'!AJ965/$G$1, 0)</f>
        <v>0</v>
      </c>
      <c r="AC14" s="3">
        <f>ROUNDUP('S27 Material Flow Matrix'!AK965/$G$1, 0)</f>
        <v>0</v>
      </c>
      <c r="AD14" s="3">
        <f>ROUNDUP('S27 Material Flow Matrix'!AL965/$G$1, 0)</f>
        <v>0</v>
      </c>
      <c r="AE14" s="3">
        <f>ROUNDUP('S27 Material Flow Matrix'!AM965/$G$1, 0)</f>
        <v>0</v>
      </c>
      <c r="AF14" s="3">
        <f>ROUNDUP('S27 Material Flow Matrix'!AN965/$G$1, 0)</f>
        <v>0</v>
      </c>
      <c r="AG14" s="3">
        <f>ROUNDUP('S27 Material Flow Matrix'!AO965/$G$1, 0)</f>
        <v>0</v>
      </c>
      <c r="AH14" s="3">
        <f>ROUNDUP('S27 Material Flow Matrix'!AP965/$G$1, 0)</f>
        <v>0</v>
      </c>
      <c r="AI14" s="3">
        <f>ROUNDUP('S27 Material Flow Matrix'!AQ965/$G$1, 0)</f>
        <v>0</v>
      </c>
      <c r="AJ14" s="3">
        <f>ROUNDUP('S27 Material Flow Matrix'!AR965/$G$1, 0)</f>
        <v>0</v>
      </c>
      <c r="AK14" s="3">
        <f>ROUNDUP('S27 Material Flow Matrix'!AS965/$G$1, 0)</f>
        <v>0</v>
      </c>
      <c r="AL14" s="3">
        <f>ROUNDUP('S27 Material Flow Matrix'!AT965/$G$1, 0)</f>
        <v>0</v>
      </c>
      <c r="AM14" s="3">
        <f>ROUNDUP('S27 Material Flow Matrix'!AU965/$G$1, 0)</f>
        <v>0</v>
      </c>
      <c r="AN14" s="3">
        <f>ROUNDUP('S27 Material Flow Matrix'!AV965/$G$1, 0)</f>
        <v>0</v>
      </c>
      <c r="AO14" s="3">
        <f>ROUNDUP('S27 Material Flow Matrix'!AW965/$G$1, 0)</f>
        <v>0</v>
      </c>
      <c r="AP14" s="3">
        <f>ROUNDUP('S27 Material Flow Matrix'!AX965/$G$1, 0)</f>
        <v>0</v>
      </c>
      <c r="AQ14" s="3">
        <f>ROUNDUP('S27 Material Flow Matrix'!AY965/$G$1, 0)</f>
        <v>0</v>
      </c>
      <c r="AR14" s="3">
        <f>ROUNDUP('S27 Material Flow Matrix'!AZ965/$G$1, 0)</f>
        <v>0</v>
      </c>
      <c r="AS14" s="3">
        <f>ROUNDUP('S27 Material Flow Matrix'!BA965/$G$1, 0)</f>
        <v>0</v>
      </c>
    </row>
    <row r="15" spans="1:45">
      <c r="A15" s="392" t="s">
        <v>1055</v>
      </c>
      <c r="B15" s="3">
        <f>ROUNDUP('S27 Material Flow Matrix'!J966/$G$1, 0)</f>
        <v>0</v>
      </c>
      <c r="C15" s="3">
        <f>ROUNDUP('S27 Material Flow Matrix'!K966/$G$1, 0)</f>
        <v>0</v>
      </c>
      <c r="D15" s="3">
        <f>ROUNDUP('S27 Material Flow Matrix'!L966/$G$1, 0)</f>
        <v>0</v>
      </c>
      <c r="E15" s="3">
        <f>ROUNDUP('S27 Material Flow Matrix'!M966/$G$1, 0)</f>
        <v>0</v>
      </c>
      <c r="F15" s="3">
        <f>ROUNDUP('S27 Material Flow Matrix'!N966/$G$1, 0)</f>
        <v>0</v>
      </c>
      <c r="G15" s="3">
        <f>ROUNDUP('S27 Material Flow Matrix'!O966/$G$1, 0)</f>
        <v>0</v>
      </c>
      <c r="H15" s="3">
        <f>ROUNDUP('S27 Material Flow Matrix'!P966/$G$1, 0)</f>
        <v>0</v>
      </c>
      <c r="I15" s="3">
        <f>ROUNDUP('S27 Material Flow Matrix'!Q966/$G$1, 0)</f>
        <v>0</v>
      </c>
      <c r="J15" s="3">
        <f>ROUNDUP('S27 Material Flow Matrix'!R966/$G$1, 0)</f>
        <v>0</v>
      </c>
      <c r="K15" s="3">
        <f>ROUNDUP('S27 Material Flow Matrix'!S966/$G$1, 0)</f>
        <v>0</v>
      </c>
      <c r="L15" s="3">
        <f>ROUNDUP('S27 Material Flow Matrix'!T966/$G$1, 0)</f>
        <v>0</v>
      </c>
      <c r="M15" s="3">
        <f>ROUNDUP('S27 Material Flow Matrix'!U966/$G$1, 0)</f>
        <v>0</v>
      </c>
      <c r="N15" s="3">
        <f>ROUNDUP('S27 Material Flow Matrix'!V966/$G$1, 0)</f>
        <v>0</v>
      </c>
      <c r="O15" s="3">
        <f>ROUNDUP('S27 Material Flow Matrix'!W966/$G$1, 0)</f>
        <v>0</v>
      </c>
      <c r="P15" s="3">
        <f>ROUNDUP('S27 Material Flow Matrix'!X966/$G$1, 0)</f>
        <v>0</v>
      </c>
      <c r="Q15" s="3">
        <f>ROUNDUP('S27 Material Flow Matrix'!Y966/$G$1, 0)</f>
        <v>0</v>
      </c>
      <c r="R15" s="3">
        <f>ROUNDUP('S27 Material Flow Matrix'!Z966/$G$1, 0)</f>
        <v>0</v>
      </c>
      <c r="S15" s="3">
        <f>ROUNDUP('S27 Material Flow Matrix'!AA966/$G$1, 0)</f>
        <v>0</v>
      </c>
      <c r="T15" s="3">
        <f>ROUNDUP('S27 Material Flow Matrix'!AB966/$G$1, 0)</f>
        <v>0</v>
      </c>
      <c r="U15" s="3">
        <f>ROUNDUP('S27 Material Flow Matrix'!AC966/$G$1, 0)</f>
        <v>0</v>
      </c>
      <c r="V15" s="3">
        <f>ROUNDUP('S27 Material Flow Matrix'!AD966/$G$1, 0)</f>
        <v>0</v>
      </c>
      <c r="W15" s="3">
        <f>ROUNDUP('S27 Material Flow Matrix'!AE966/$G$1, 0)</f>
        <v>0</v>
      </c>
      <c r="X15" s="3">
        <f>ROUNDUP('S27 Material Flow Matrix'!AF966/$G$1, 0)</f>
        <v>0</v>
      </c>
      <c r="Y15" s="3">
        <f>ROUNDUP('S27 Material Flow Matrix'!AG966/$G$1, 0)</f>
        <v>0</v>
      </c>
      <c r="Z15" s="3">
        <f>ROUNDUP('S27 Material Flow Matrix'!AH966/$G$1, 0)</f>
        <v>0</v>
      </c>
      <c r="AA15" s="3">
        <f>ROUNDUP('S27 Material Flow Matrix'!AI966/$G$1, 0)</f>
        <v>0</v>
      </c>
      <c r="AB15" s="3">
        <f>ROUNDUP('S27 Material Flow Matrix'!AJ966/$G$1, 0)</f>
        <v>0</v>
      </c>
      <c r="AC15" s="3">
        <f>ROUNDUP('S27 Material Flow Matrix'!AK966/$G$1, 0)</f>
        <v>0</v>
      </c>
      <c r="AD15" s="3">
        <f>ROUNDUP('S27 Material Flow Matrix'!AL966/$G$1, 0)</f>
        <v>0</v>
      </c>
      <c r="AE15" s="3">
        <f>ROUNDUP('S27 Material Flow Matrix'!AM966/$G$1, 0)</f>
        <v>0</v>
      </c>
      <c r="AF15" s="3">
        <f>ROUNDUP('S27 Material Flow Matrix'!AN966/$G$1, 0)</f>
        <v>0</v>
      </c>
      <c r="AG15" s="3">
        <f>ROUNDUP('S27 Material Flow Matrix'!AO966/$G$1, 0)</f>
        <v>0</v>
      </c>
      <c r="AH15" s="3">
        <f>ROUNDUP('S27 Material Flow Matrix'!AP966/$G$1, 0)</f>
        <v>0</v>
      </c>
      <c r="AI15" s="3">
        <f>ROUNDUP('S27 Material Flow Matrix'!AQ966/$G$1, 0)</f>
        <v>0</v>
      </c>
      <c r="AJ15" s="3">
        <f>ROUNDUP('S27 Material Flow Matrix'!AR966/$G$1, 0)</f>
        <v>0</v>
      </c>
      <c r="AK15" s="3">
        <f>ROUNDUP('S27 Material Flow Matrix'!AS966/$G$1, 0)</f>
        <v>0</v>
      </c>
      <c r="AL15" s="3">
        <f>ROUNDUP('S27 Material Flow Matrix'!AT966/$G$1, 0)</f>
        <v>0</v>
      </c>
      <c r="AM15" s="3">
        <f>ROUNDUP('S27 Material Flow Matrix'!AU966/$G$1, 0)</f>
        <v>0</v>
      </c>
      <c r="AN15" s="3">
        <f>ROUNDUP('S27 Material Flow Matrix'!AV966/$G$1, 0)</f>
        <v>0</v>
      </c>
      <c r="AO15" s="3">
        <f>ROUNDUP('S27 Material Flow Matrix'!AW966/$G$1, 0)</f>
        <v>0</v>
      </c>
      <c r="AP15" s="3">
        <f>ROUNDUP('S27 Material Flow Matrix'!AX966/$G$1, 0)</f>
        <v>0</v>
      </c>
      <c r="AQ15" s="3">
        <f>ROUNDUP('S27 Material Flow Matrix'!AY966/$G$1, 0)</f>
        <v>0</v>
      </c>
      <c r="AR15" s="3">
        <f>ROUNDUP('S27 Material Flow Matrix'!AZ966/$G$1, 0)</f>
        <v>0</v>
      </c>
      <c r="AS15" s="3">
        <f>ROUNDUP('S27 Material Flow Matrix'!BA966/$G$1, 0)</f>
        <v>0</v>
      </c>
    </row>
    <row r="16" spans="1:45">
      <c r="A16" s="392" t="s">
        <v>1057</v>
      </c>
      <c r="B16" s="3">
        <f>ROUNDUP('S27 Material Flow Matrix'!J967/$G$1, 0)</f>
        <v>0</v>
      </c>
      <c r="C16" s="3">
        <f>ROUNDUP('S27 Material Flow Matrix'!K967/$G$1, 0)</f>
        <v>0</v>
      </c>
      <c r="D16" s="3">
        <f>ROUNDUP('S27 Material Flow Matrix'!L967/$G$1, 0)</f>
        <v>0</v>
      </c>
      <c r="E16" s="3">
        <f>ROUNDUP('S27 Material Flow Matrix'!M967/$G$1, 0)</f>
        <v>0</v>
      </c>
      <c r="F16" s="3">
        <f>ROUNDUP('S27 Material Flow Matrix'!N967/$G$1, 0)</f>
        <v>0</v>
      </c>
      <c r="G16" s="3">
        <f>ROUNDUP('S27 Material Flow Matrix'!O967/$G$1, 0)</f>
        <v>0</v>
      </c>
      <c r="H16" s="3">
        <f>ROUNDUP('S27 Material Flow Matrix'!P967/$G$1, 0)</f>
        <v>0</v>
      </c>
      <c r="I16" s="3">
        <f>ROUNDUP('S27 Material Flow Matrix'!Q967/$G$1, 0)</f>
        <v>0</v>
      </c>
      <c r="J16" s="3">
        <f>ROUNDUP('S27 Material Flow Matrix'!R967/$G$1, 0)</f>
        <v>0</v>
      </c>
      <c r="K16" s="3">
        <f>ROUNDUP('S27 Material Flow Matrix'!S967/$G$1, 0)</f>
        <v>0</v>
      </c>
      <c r="L16" s="3">
        <f>ROUNDUP('S27 Material Flow Matrix'!T967/$G$1, 0)</f>
        <v>0</v>
      </c>
      <c r="M16" s="3">
        <f>ROUNDUP('S27 Material Flow Matrix'!U967/$G$1, 0)</f>
        <v>0</v>
      </c>
      <c r="N16" s="3">
        <f>ROUNDUP('S27 Material Flow Matrix'!V967/$G$1, 0)</f>
        <v>0</v>
      </c>
      <c r="O16" s="3">
        <f>ROUNDUP('S27 Material Flow Matrix'!W967/$G$1, 0)</f>
        <v>0</v>
      </c>
      <c r="P16" s="3">
        <f>ROUNDUP('S27 Material Flow Matrix'!X967/$G$1, 0)</f>
        <v>0</v>
      </c>
      <c r="Q16" s="3">
        <f>ROUNDUP('S27 Material Flow Matrix'!Y967/$G$1, 0)</f>
        <v>0</v>
      </c>
      <c r="R16" s="3">
        <f>ROUNDUP('S27 Material Flow Matrix'!Z967/$G$1, 0)</f>
        <v>0</v>
      </c>
      <c r="S16" s="3">
        <f>ROUNDUP('S27 Material Flow Matrix'!AA967/$G$1, 0)</f>
        <v>0</v>
      </c>
      <c r="T16" s="3">
        <f>ROUNDUP('S27 Material Flow Matrix'!AB967/$G$1, 0)</f>
        <v>0</v>
      </c>
      <c r="U16" s="3">
        <f>ROUNDUP('S27 Material Flow Matrix'!AC967/$G$1, 0)</f>
        <v>0</v>
      </c>
      <c r="V16" s="3">
        <f>ROUNDUP('S27 Material Flow Matrix'!AD967/$G$1, 0)</f>
        <v>0</v>
      </c>
      <c r="W16" s="3">
        <f>ROUNDUP('S27 Material Flow Matrix'!AE967/$G$1, 0)</f>
        <v>0</v>
      </c>
      <c r="X16" s="3">
        <f>ROUNDUP('S27 Material Flow Matrix'!AF967/$G$1, 0)</f>
        <v>0</v>
      </c>
      <c r="Y16" s="3">
        <f>ROUNDUP('S27 Material Flow Matrix'!AG967/$G$1, 0)</f>
        <v>0</v>
      </c>
      <c r="Z16" s="3">
        <f>ROUNDUP('S27 Material Flow Matrix'!AH967/$G$1, 0)</f>
        <v>0</v>
      </c>
      <c r="AA16" s="3">
        <f>ROUNDUP('S27 Material Flow Matrix'!AI967/$G$1, 0)</f>
        <v>0</v>
      </c>
      <c r="AB16" s="3">
        <f>ROUNDUP('S27 Material Flow Matrix'!AJ967/$G$1, 0)</f>
        <v>0</v>
      </c>
      <c r="AC16" s="3">
        <f>ROUNDUP('S27 Material Flow Matrix'!AK967/$G$1, 0)</f>
        <v>0</v>
      </c>
      <c r="AD16" s="3">
        <f>ROUNDUP('S27 Material Flow Matrix'!AL967/$G$1, 0)</f>
        <v>0</v>
      </c>
      <c r="AE16" s="3">
        <f>ROUNDUP('S27 Material Flow Matrix'!AM967/$G$1, 0)</f>
        <v>0</v>
      </c>
      <c r="AF16" s="3">
        <f>ROUNDUP('S27 Material Flow Matrix'!AN967/$G$1, 0)</f>
        <v>0</v>
      </c>
      <c r="AG16" s="3">
        <f>ROUNDUP('S27 Material Flow Matrix'!AO967/$G$1, 0)</f>
        <v>0</v>
      </c>
      <c r="AH16" s="3">
        <f>ROUNDUP('S27 Material Flow Matrix'!AP967/$G$1, 0)</f>
        <v>0</v>
      </c>
      <c r="AI16" s="3">
        <f>ROUNDUP('S27 Material Flow Matrix'!AQ967/$G$1, 0)</f>
        <v>0</v>
      </c>
      <c r="AJ16" s="3">
        <f>ROUNDUP('S27 Material Flow Matrix'!AR967/$G$1, 0)</f>
        <v>0</v>
      </c>
      <c r="AK16" s="3">
        <f>ROUNDUP('S27 Material Flow Matrix'!AS967/$G$1, 0)</f>
        <v>0</v>
      </c>
      <c r="AL16" s="3">
        <f>ROUNDUP('S27 Material Flow Matrix'!AT967/$G$1, 0)</f>
        <v>0</v>
      </c>
      <c r="AM16" s="3">
        <f>ROUNDUP('S27 Material Flow Matrix'!AU967/$G$1, 0)</f>
        <v>0</v>
      </c>
      <c r="AN16" s="3">
        <f>ROUNDUP('S27 Material Flow Matrix'!AV967/$G$1, 0)</f>
        <v>0</v>
      </c>
      <c r="AO16" s="3">
        <f>ROUNDUP('S27 Material Flow Matrix'!AW967/$G$1, 0)</f>
        <v>0</v>
      </c>
      <c r="AP16" s="3">
        <f>ROUNDUP('S27 Material Flow Matrix'!AX967/$G$1, 0)</f>
        <v>0</v>
      </c>
      <c r="AQ16" s="3">
        <f>ROUNDUP('S27 Material Flow Matrix'!AY967/$G$1, 0)</f>
        <v>0</v>
      </c>
      <c r="AR16" s="3">
        <f>ROUNDUP('S27 Material Flow Matrix'!AZ967/$G$1, 0)</f>
        <v>0</v>
      </c>
      <c r="AS16" s="3">
        <f>ROUNDUP('S27 Material Flow Matrix'!BA967/$G$1, 0)</f>
        <v>0</v>
      </c>
    </row>
    <row r="17" spans="1:45">
      <c r="A17" s="392" t="s">
        <v>1059</v>
      </c>
      <c r="B17" s="3">
        <f>ROUNDUP('S27 Material Flow Matrix'!J968/$G$1, 0)</f>
        <v>0</v>
      </c>
      <c r="C17" s="3">
        <f>ROUNDUP('S27 Material Flow Matrix'!K968/$G$1, 0)</f>
        <v>0</v>
      </c>
      <c r="D17" s="3">
        <f>ROUNDUP('S27 Material Flow Matrix'!L968/$G$1, 0)</f>
        <v>0</v>
      </c>
      <c r="E17" s="3">
        <f>ROUNDUP('S27 Material Flow Matrix'!M968/$G$1, 0)</f>
        <v>0</v>
      </c>
      <c r="F17" s="3">
        <f>ROUNDUP('S27 Material Flow Matrix'!N968/$G$1, 0)</f>
        <v>0</v>
      </c>
      <c r="G17" s="3">
        <f>ROUNDUP('S27 Material Flow Matrix'!O968/$G$1, 0)</f>
        <v>0</v>
      </c>
      <c r="H17" s="3">
        <f>ROUNDUP('S27 Material Flow Matrix'!P968/$G$1, 0)</f>
        <v>0</v>
      </c>
      <c r="I17" s="3">
        <f>ROUNDUP('S27 Material Flow Matrix'!Q968/$G$1, 0)</f>
        <v>0</v>
      </c>
      <c r="J17" s="3">
        <f>ROUNDUP('S27 Material Flow Matrix'!R968/$G$1, 0)</f>
        <v>0</v>
      </c>
      <c r="K17" s="3">
        <f>ROUNDUP('S27 Material Flow Matrix'!S968/$G$1, 0)</f>
        <v>0</v>
      </c>
      <c r="L17" s="3">
        <f>ROUNDUP('S27 Material Flow Matrix'!T968/$G$1, 0)</f>
        <v>0</v>
      </c>
      <c r="M17" s="3">
        <f>ROUNDUP('S27 Material Flow Matrix'!U968/$G$1, 0)</f>
        <v>0</v>
      </c>
      <c r="N17" s="3">
        <f>ROUNDUP('S27 Material Flow Matrix'!V968/$G$1, 0)</f>
        <v>0</v>
      </c>
      <c r="O17" s="3">
        <f>ROUNDUP('S27 Material Flow Matrix'!W968/$G$1, 0)</f>
        <v>0</v>
      </c>
      <c r="P17" s="3">
        <f>ROUNDUP('S27 Material Flow Matrix'!X968/$G$1, 0)</f>
        <v>0</v>
      </c>
      <c r="Q17" s="3">
        <f>ROUNDUP('S27 Material Flow Matrix'!Y968/$G$1, 0)</f>
        <v>0</v>
      </c>
      <c r="R17" s="3">
        <f>ROUNDUP('S27 Material Flow Matrix'!Z968/$G$1, 0)</f>
        <v>0</v>
      </c>
      <c r="S17" s="3">
        <f>ROUNDUP('S27 Material Flow Matrix'!AA968/$G$1, 0)</f>
        <v>0</v>
      </c>
      <c r="T17" s="3">
        <f>ROUNDUP('S27 Material Flow Matrix'!AB968/$G$1, 0)</f>
        <v>0</v>
      </c>
      <c r="U17" s="3">
        <f>ROUNDUP('S27 Material Flow Matrix'!AC968/$G$1, 0)</f>
        <v>0</v>
      </c>
      <c r="V17" s="3">
        <f>ROUNDUP('S27 Material Flow Matrix'!AD968/$G$1, 0)</f>
        <v>0</v>
      </c>
      <c r="W17" s="3">
        <f>ROUNDUP('S27 Material Flow Matrix'!AE968/$G$1, 0)</f>
        <v>0</v>
      </c>
      <c r="X17" s="3">
        <f>ROUNDUP('S27 Material Flow Matrix'!AF968/$G$1, 0)</f>
        <v>0</v>
      </c>
      <c r="Y17" s="3">
        <f>ROUNDUP('S27 Material Flow Matrix'!AG968/$G$1, 0)</f>
        <v>0</v>
      </c>
      <c r="Z17" s="3">
        <f>ROUNDUP('S27 Material Flow Matrix'!AH968/$G$1, 0)</f>
        <v>0</v>
      </c>
      <c r="AA17" s="3">
        <f>ROUNDUP('S27 Material Flow Matrix'!AI968/$G$1, 0)</f>
        <v>0</v>
      </c>
      <c r="AB17" s="3">
        <f>ROUNDUP('S27 Material Flow Matrix'!AJ968/$G$1, 0)</f>
        <v>0</v>
      </c>
      <c r="AC17" s="3">
        <f>ROUNDUP('S27 Material Flow Matrix'!AK968/$G$1, 0)</f>
        <v>0</v>
      </c>
      <c r="AD17" s="3">
        <f>ROUNDUP('S27 Material Flow Matrix'!AL968/$G$1, 0)</f>
        <v>0</v>
      </c>
      <c r="AE17" s="3">
        <f>ROUNDUP('S27 Material Flow Matrix'!AM968/$G$1, 0)</f>
        <v>0</v>
      </c>
      <c r="AF17" s="3">
        <f>ROUNDUP('S27 Material Flow Matrix'!AN968/$G$1, 0)</f>
        <v>0</v>
      </c>
      <c r="AG17" s="3">
        <f>ROUNDUP('S27 Material Flow Matrix'!AO968/$G$1, 0)</f>
        <v>0</v>
      </c>
      <c r="AH17" s="3">
        <f>ROUNDUP('S27 Material Flow Matrix'!AP968/$G$1, 0)</f>
        <v>0</v>
      </c>
      <c r="AI17" s="3">
        <f>ROUNDUP('S27 Material Flow Matrix'!AQ968/$G$1, 0)</f>
        <v>0</v>
      </c>
      <c r="AJ17" s="3">
        <f>ROUNDUP('S27 Material Flow Matrix'!AR968/$G$1, 0)</f>
        <v>0</v>
      </c>
      <c r="AK17" s="3">
        <f>ROUNDUP('S27 Material Flow Matrix'!AS968/$G$1, 0)</f>
        <v>0</v>
      </c>
      <c r="AL17" s="3">
        <f>ROUNDUP('S27 Material Flow Matrix'!AT968/$G$1, 0)</f>
        <v>0</v>
      </c>
      <c r="AM17" s="3">
        <f>ROUNDUP('S27 Material Flow Matrix'!AU968/$G$1, 0)</f>
        <v>0</v>
      </c>
      <c r="AN17" s="3">
        <f>ROUNDUP('S27 Material Flow Matrix'!AV968/$G$1, 0)</f>
        <v>0</v>
      </c>
      <c r="AO17" s="3">
        <f>ROUNDUP('S27 Material Flow Matrix'!AW968/$G$1, 0)</f>
        <v>0</v>
      </c>
      <c r="AP17" s="3">
        <f>ROUNDUP('S27 Material Flow Matrix'!AX968/$G$1, 0)</f>
        <v>0</v>
      </c>
      <c r="AQ17" s="3">
        <f>ROUNDUP('S27 Material Flow Matrix'!AY968/$G$1, 0)</f>
        <v>0</v>
      </c>
      <c r="AR17" s="3">
        <f>ROUNDUP('S27 Material Flow Matrix'!AZ968/$G$1, 0)</f>
        <v>0</v>
      </c>
      <c r="AS17" s="3">
        <f>ROUNDUP('S27 Material Flow Matrix'!BA968/$G$1, 0)</f>
        <v>0</v>
      </c>
    </row>
    <row r="18" spans="1:45">
      <c r="A18" s="392" t="s">
        <v>1061</v>
      </c>
      <c r="B18" s="3">
        <f>ROUNDUP('S27 Material Flow Matrix'!J969/$G$1, 0)</f>
        <v>0</v>
      </c>
      <c r="C18" s="3">
        <f>ROUNDUP('S27 Material Flow Matrix'!K969/$G$1, 0)</f>
        <v>0</v>
      </c>
      <c r="D18" s="3">
        <f>ROUNDUP('S27 Material Flow Matrix'!L969/$G$1, 0)</f>
        <v>0</v>
      </c>
      <c r="E18" s="3">
        <f>ROUNDUP('S27 Material Flow Matrix'!M969/$G$1, 0)</f>
        <v>0</v>
      </c>
      <c r="F18" s="3">
        <f>ROUNDUP('S27 Material Flow Matrix'!N969/$G$1, 0)</f>
        <v>0</v>
      </c>
      <c r="G18" s="3">
        <f>ROUNDUP('S27 Material Flow Matrix'!O969/$G$1, 0)</f>
        <v>0</v>
      </c>
      <c r="H18" s="3">
        <f>ROUNDUP('S27 Material Flow Matrix'!P969/$G$1, 0)</f>
        <v>0</v>
      </c>
      <c r="I18" s="3">
        <f>ROUNDUP('S27 Material Flow Matrix'!Q969/$G$1, 0)</f>
        <v>0</v>
      </c>
      <c r="J18" s="3">
        <f>ROUNDUP('S27 Material Flow Matrix'!R969/$G$1, 0)</f>
        <v>0</v>
      </c>
      <c r="K18" s="3">
        <f>ROUNDUP('S27 Material Flow Matrix'!S969/$G$1, 0)</f>
        <v>0</v>
      </c>
      <c r="L18" s="3">
        <f>ROUNDUP('S27 Material Flow Matrix'!T969/$G$1, 0)</f>
        <v>0</v>
      </c>
      <c r="M18" s="3">
        <f>ROUNDUP('S27 Material Flow Matrix'!U969/$G$1, 0)</f>
        <v>0</v>
      </c>
      <c r="N18" s="3">
        <f>ROUNDUP('S27 Material Flow Matrix'!V969/$G$1, 0)</f>
        <v>0</v>
      </c>
      <c r="O18" s="3">
        <f>ROUNDUP('S27 Material Flow Matrix'!W969/$G$1, 0)</f>
        <v>0</v>
      </c>
      <c r="P18" s="3">
        <f>ROUNDUP('S27 Material Flow Matrix'!X969/$G$1, 0)</f>
        <v>0</v>
      </c>
      <c r="Q18" s="3">
        <f>ROUNDUP('S27 Material Flow Matrix'!Y969/$G$1, 0)</f>
        <v>0</v>
      </c>
      <c r="R18" s="3">
        <f>ROUNDUP('S27 Material Flow Matrix'!Z969/$G$1, 0)</f>
        <v>0</v>
      </c>
      <c r="S18" s="3">
        <f>ROUNDUP('S27 Material Flow Matrix'!AA969/$G$1, 0)</f>
        <v>0</v>
      </c>
      <c r="T18" s="3">
        <f>ROUNDUP('S27 Material Flow Matrix'!AB969/$G$1, 0)</f>
        <v>0</v>
      </c>
      <c r="U18" s="3">
        <f>ROUNDUP('S27 Material Flow Matrix'!AC969/$G$1, 0)</f>
        <v>0</v>
      </c>
      <c r="V18" s="3">
        <f>ROUNDUP('S27 Material Flow Matrix'!AD969/$G$1, 0)</f>
        <v>0</v>
      </c>
      <c r="W18" s="3">
        <f>ROUNDUP('S27 Material Flow Matrix'!AE969/$G$1, 0)</f>
        <v>0</v>
      </c>
      <c r="X18" s="3">
        <f>ROUNDUP('S27 Material Flow Matrix'!AF969/$G$1, 0)</f>
        <v>0</v>
      </c>
      <c r="Y18" s="3">
        <f>ROUNDUP('S27 Material Flow Matrix'!AG969/$G$1, 0)</f>
        <v>0</v>
      </c>
      <c r="Z18" s="3">
        <f>ROUNDUP('S27 Material Flow Matrix'!AH969/$G$1, 0)</f>
        <v>0</v>
      </c>
      <c r="AA18" s="3">
        <f>ROUNDUP('S27 Material Flow Matrix'!AI969/$G$1, 0)</f>
        <v>0</v>
      </c>
      <c r="AB18" s="3">
        <f>ROUNDUP('S27 Material Flow Matrix'!AJ969/$G$1, 0)</f>
        <v>0</v>
      </c>
      <c r="AC18" s="3">
        <f>ROUNDUP('S27 Material Flow Matrix'!AK969/$G$1, 0)</f>
        <v>0</v>
      </c>
      <c r="AD18" s="3">
        <f>ROUNDUP('S27 Material Flow Matrix'!AL969/$G$1, 0)</f>
        <v>0</v>
      </c>
      <c r="AE18" s="3">
        <f>ROUNDUP('S27 Material Flow Matrix'!AM969/$G$1, 0)</f>
        <v>0</v>
      </c>
      <c r="AF18" s="3">
        <f>ROUNDUP('S27 Material Flow Matrix'!AN969/$G$1, 0)</f>
        <v>0</v>
      </c>
      <c r="AG18" s="3">
        <f>ROUNDUP('S27 Material Flow Matrix'!AO969/$G$1, 0)</f>
        <v>0</v>
      </c>
      <c r="AH18" s="3">
        <f>ROUNDUP('S27 Material Flow Matrix'!AP969/$G$1, 0)</f>
        <v>0</v>
      </c>
      <c r="AI18" s="3">
        <f>ROUNDUP('S27 Material Flow Matrix'!AQ969/$G$1, 0)</f>
        <v>0</v>
      </c>
      <c r="AJ18" s="3">
        <f>ROUNDUP('S27 Material Flow Matrix'!AR969/$G$1, 0)</f>
        <v>0</v>
      </c>
      <c r="AK18" s="3">
        <f>ROUNDUP('S27 Material Flow Matrix'!AS969/$G$1, 0)</f>
        <v>0</v>
      </c>
      <c r="AL18" s="3">
        <f>ROUNDUP('S27 Material Flow Matrix'!AT969/$G$1, 0)</f>
        <v>0</v>
      </c>
      <c r="AM18" s="3">
        <f>ROUNDUP('S27 Material Flow Matrix'!AU969/$G$1, 0)</f>
        <v>0</v>
      </c>
      <c r="AN18" s="3">
        <f>ROUNDUP('S27 Material Flow Matrix'!AV969/$G$1, 0)</f>
        <v>0</v>
      </c>
      <c r="AO18" s="3">
        <f>ROUNDUP('S27 Material Flow Matrix'!AW969/$G$1, 0)</f>
        <v>0</v>
      </c>
      <c r="AP18" s="3">
        <f>ROUNDUP('S27 Material Flow Matrix'!AX969/$G$1, 0)</f>
        <v>0</v>
      </c>
      <c r="AQ18" s="3">
        <f>ROUNDUP('S27 Material Flow Matrix'!AY969/$G$1, 0)</f>
        <v>0</v>
      </c>
      <c r="AR18" s="3">
        <f>ROUNDUP('S27 Material Flow Matrix'!AZ969/$G$1, 0)</f>
        <v>0</v>
      </c>
      <c r="AS18" s="3">
        <f>ROUNDUP('S27 Material Flow Matrix'!BA969/$G$1, 0)</f>
        <v>0</v>
      </c>
    </row>
    <row r="19" spans="1:45">
      <c r="A19" s="392" t="s">
        <v>1063</v>
      </c>
      <c r="B19" s="3">
        <f>ROUNDUP('S27 Material Flow Matrix'!J970/$G$1, 0)</f>
        <v>0</v>
      </c>
      <c r="C19" s="3">
        <f>ROUNDUP('S27 Material Flow Matrix'!K970/$G$1, 0)</f>
        <v>0</v>
      </c>
      <c r="D19" s="3">
        <f>ROUNDUP('S27 Material Flow Matrix'!L970/$G$1, 0)</f>
        <v>0</v>
      </c>
      <c r="E19" s="3">
        <f>ROUNDUP('S27 Material Flow Matrix'!M970/$G$1, 0)</f>
        <v>0</v>
      </c>
      <c r="F19" s="3">
        <f>ROUNDUP('S27 Material Flow Matrix'!N970/$G$1, 0)</f>
        <v>0</v>
      </c>
      <c r="G19" s="3">
        <f>ROUNDUP('S27 Material Flow Matrix'!O970/$G$1, 0)</f>
        <v>0</v>
      </c>
      <c r="H19" s="3">
        <f>ROUNDUP('S27 Material Flow Matrix'!P970/$G$1, 0)</f>
        <v>0</v>
      </c>
      <c r="I19" s="3">
        <f>ROUNDUP('S27 Material Flow Matrix'!Q970/$G$1, 0)</f>
        <v>0</v>
      </c>
      <c r="J19" s="3">
        <f>ROUNDUP('S27 Material Flow Matrix'!R970/$G$1, 0)</f>
        <v>0</v>
      </c>
      <c r="K19" s="3">
        <f>ROUNDUP('S27 Material Flow Matrix'!S970/$G$1, 0)</f>
        <v>0</v>
      </c>
      <c r="L19" s="3">
        <f>ROUNDUP('S27 Material Flow Matrix'!T970/$G$1, 0)</f>
        <v>0</v>
      </c>
      <c r="M19" s="3">
        <f>ROUNDUP('S27 Material Flow Matrix'!U970/$G$1, 0)</f>
        <v>0</v>
      </c>
      <c r="N19" s="3">
        <f>ROUNDUP('S27 Material Flow Matrix'!V970/$G$1, 0)</f>
        <v>0</v>
      </c>
      <c r="O19" s="3">
        <f>ROUNDUP('S27 Material Flow Matrix'!W970/$G$1, 0)</f>
        <v>0</v>
      </c>
      <c r="P19" s="3">
        <f>ROUNDUP('S27 Material Flow Matrix'!X970/$G$1, 0)</f>
        <v>0</v>
      </c>
      <c r="Q19" s="3">
        <f>ROUNDUP('S27 Material Flow Matrix'!Y970/$G$1, 0)</f>
        <v>0</v>
      </c>
      <c r="R19" s="3">
        <f>ROUNDUP('S27 Material Flow Matrix'!Z970/$G$1, 0)</f>
        <v>0</v>
      </c>
      <c r="S19" s="3">
        <f>ROUNDUP('S27 Material Flow Matrix'!AA970/$G$1, 0)</f>
        <v>0</v>
      </c>
      <c r="T19" s="3">
        <f>ROUNDUP('S27 Material Flow Matrix'!AB970/$G$1, 0)</f>
        <v>0</v>
      </c>
      <c r="U19" s="3">
        <f>ROUNDUP('S27 Material Flow Matrix'!AC970/$G$1, 0)</f>
        <v>0</v>
      </c>
      <c r="V19" s="3">
        <f>ROUNDUP('S27 Material Flow Matrix'!AD970/$G$1, 0)</f>
        <v>0</v>
      </c>
      <c r="W19" s="3">
        <f>ROUNDUP('S27 Material Flow Matrix'!AE970/$G$1, 0)</f>
        <v>0</v>
      </c>
      <c r="X19" s="3">
        <f>ROUNDUP('S27 Material Flow Matrix'!AF970/$G$1, 0)</f>
        <v>0</v>
      </c>
      <c r="Y19" s="3">
        <f>ROUNDUP('S27 Material Flow Matrix'!AG970/$G$1, 0)</f>
        <v>0</v>
      </c>
      <c r="Z19" s="3">
        <f>ROUNDUP('S27 Material Flow Matrix'!AH970/$G$1, 0)</f>
        <v>0</v>
      </c>
      <c r="AA19" s="3">
        <f>ROUNDUP('S27 Material Flow Matrix'!AI970/$G$1, 0)</f>
        <v>0</v>
      </c>
      <c r="AB19" s="3">
        <f>ROUNDUP('S27 Material Flow Matrix'!AJ970/$G$1, 0)</f>
        <v>0</v>
      </c>
      <c r="AC19" s="3">
        <f>ROUNDUP('S27 Material Flow Matrix'!AK970/$G$1, 0)</f>
        <v>0</v>
      </c>
      <c r="AD19" s="3">
        <f>ROUNDUP('S27 Material Flow Matrix'!AL970/$G$1, 0)</f>
        <v>0</v>
      </c>
      <c r="AE19" s="3">
        <f>ROUNDUP('S27 Material Flow Matrix'!AM970/$G$1, 0)</f>
        <v>0</v>
      </c>
      <c r="AF19" s="3">
        <f>ROUNDUP('S27 Material Flow Matrix'!AN970/$G$1, 0)</f>
        <v>0</v>
      </c>
      <c r="AG19" s="3">
        <f>ROUNDUP('S27 Material Flow Matrix'!AO970/$G$1, 0)</f>
        <v>0</v>
      </c>
      <c r="AH19" s="3">
        <f>ROUNDUP('S27 Material Flow Matrix'!AP970/$G$1, 0)</f>
        <v>0</v>
      </c>
      <c r="AI19" s="3">
        <f>ROUNDUP('S27 Material Flow Matrix'!AQ970/$G$1, 0)</f>
        <v>0</v>
      </c>
      <c r="AJ19" s="3">
        <f>ROUNDUP('S27 Material Flow Matrix'!AR970/$G$1, 0)</f>
        <v>0</v>
      </c>
      <c r="AK19" s="3">
        <f>ROUNDUP('S27 Material Flow Matrix'!AS970/$G$1, 0)</f>
        <v>0</v>
      </c>
      <c r="AL19" s="3">
        <f>ROUNDUP('S27 Material Flow Matrix'!AT970/$G$1, 0)</f>
        <v>0</v>
      </c>
      <c r="AM19" s="3">
        <f>ROUNDUP('S27 Material Flow Matrix'!AU970/$G$1, 0)</f>
        <v>0</v>
      </c>
      <c r="AN19" s="3">
        <f>ROUNDUP('S27 Material Flow Matrix'!AV970/$G$1, 0)</f>
        <v>0</v>
      </c>
      <c r="AO19" s="3">
        <f>ROUNDUP('S27 Material Flow Matrix'!AW970/$G$1, 0)</f>
        <v>0</v>
      </c>
      <c r="AP19" s="3">
        <f>ROUNDUP('S27 Material Flow Matrix'!AX970/$G$1, 0)</f>
        <v>0</v>
      </c>
      <c r="AQ19" s="3">
        <f>ROUNDUP('S27 Material Flow Matrix'!AY970/$G$1, 0)</f>
        <v>0</v>
      </c>
      <c r="AR19" s="3">
        <f>ROUNDUP('S27 Material Flow Matrix'!AZ970/$G$1, 0)</f>
        <v>0</v>
      </c>
      <c r="AS19" s="3">
        <f>ROUNDUP('S27 Material Flow Matrix'!BA970/$G$1, 0)</f>
        <v>0</v>
      </c>
    </row>
    <row r="20" spans="1:45">
      <c r="A20" s="392" t="s">
        <v>1065</v>
      </c>
      <c r="B20" s="3">
        <f>ROUNDUP('S27 Material Flow Matrix'!J971/$G$1, 0)</f>
        <v>0</v>
      </c>
      <c r="C20" s="3">
        <f>ROUNDUP('S27 Material Flow Matrix'!K971/$G$1, 0)</f>
        <v>0</v>
      </c>
      <c r="D20" s="3">
        <f>ROUNDUP('S27 Material Flow Matrix'!L971/$G$1, 0)</f>
        <v>0</v>
      </c>
      <c r="E20" s="3">
        <f>ROUNDUP('S27 Material Flow Matrix'!M971/$G$1, 0)</f>
        <v>0</v>
      </c>
      <c r="F20" s="3">
        <f>ROUNDUP('S27 Material Flow Matrix'!N971/$G$1, 0)</f>
        <v>0</v>
      </c>
      <c r="G20" s="3">
        <f>ROUNDUP('S27 Material Flow Matrix'!O971/$G$1, 0)</f>
        <v>0</v>
      </c>
      <c r="H20" s="3">
        <f>ROUNDUP('S27 Material Flow Matrix'!P971/$G$1, 0)</f>
        <v>0</v>
      </c>
      <c r="I20" s="3">
        <f>ROUNDUP('S27 Material Flow Matrix'!Q971/$G$1, 0)</f>
        <v>0</v>
      </c>
      <c r="J20" s="3">
        <f>ROUNDUP('S27 Material Flow Matrix'!R971/$G$1, 0)</f>
        <v>0</v>
      </c>
      <c r="K20" s="3">
        <f>ROUNDUP('S27 Material Flow Matrix'!S971/$G$1, 0)</f>
        <v>0</v>
      </c>
      <c r="L20" s="3">
        <f>ROUNDUP('S27 Material Flow Matrix'!T971/$G$1, 0)</f>
        <v>0</v>
      </c>
      <c r="M20" s="3">
        <f>ROUNDUP('S27 Material Flow Matrix'!U971/$G$1, 0)</f>
        <v>0</v>
      </c>
      <c r="N20" s="3">
        <f>ROUNDUP('S27 Material Flow Matrix'!V971/$G$1, 0)</f>
        <v>0</v>
      </c>
      <c r="O20" s="3">
        <f>ROUNDUP('S27 Material Flow Matrix'!W971/$G$1, 0)</f>
        <v>0</v>
      </c>
      <c r="P20" s="3">
        <f>ROUNDUP('S27 Material Flow Matrix'!X971/$G$1, 0)</f>
        <v>0</v>
      </c>
      <c r="Q20" s="3">
        <f>ROUNDUP('S27 Material Flow Matrix'!Y971/$G$1, 0)</f>
        <v>0</v>
      </c>
      <c r="R20" s="3">
        <f>ROUNDUP('S27 Material Flow Matrix'!Z971/$G$1, 0)</f>
        <v>0</v>
      </c>
      <c r="S20" s="3">
        <f>ROUNDUP('S27 Material Flow Matrix'!AA971/$G$1, 0)</f>
        <v>0</v>
      </c>
      <c r="T20" s="3">
        <f>ROUNDUP('S27 Material Flow Matrix'!AB971/$G$1, 0)</f>
        <v>0</v>
      </c>
      <c r="U20" s="3">
        <f>ROUNDUP('S27 Material Flow Matrix'!AC971/$G$1, 0)</f>
        <v>0</v>
      </c>
      <c r="V20" s="3">
        <f>ROUNDUP('S27 Material Flow Matrix'!AD971/$G$1, 0)</f>
        <v>0</v>
      </c>
      <c r="W20" s="3">
        <f>ROUNDUP('S27 Material Flow Matrix'!AE971/$G$1, 0)</f>
        <v>0</v>
      </c>
      <c r="X20" s="3">
        <f>ROUNDUP('S27 Material Flow Matrix'!AF971/$G$1, 0)</f>
        <v>0</v>
      </c>
      <c r="Y20" s="3">
        <f>ROUNDUP('S27 Material Flow Matrix'!AG971/$G$1, 0)</f>
        <v>0</v>
      </c>
      <c r="Z20" s="3">
        <f>ROUNDUP('S27 Material Flow Matrix'!AH971/$G$1, 0)</f>
        <v>0</v>
      </c>
      <c r="AA20" s="3">
        <f>ROUNDUP('S27 Material Flow Matrix'!AI971/$G$1, 0)</f>
        <v>0</v>
      </c>
      <c r="AB20" s="3">
        <f>ROUNDUP('S27 Material Flow Matrix'!AJ971/$G$1, 0)</f>
        <v>0</v>
      </c>
      <c r="AC20" s="3">
        <f>ROUNDUP('S27 Material Flow Matrix'!AK971/$G$1, 0)</f>
        <v>0</v>
      </c>
      <c r="AD20" s="3">
        <f>ROUNDUP('S27 Material Flow Matrix'!AL971/$G$1, 0)</f>
        <v>0</v>
      </c>
      <c r="AE20" s="3">
        <f>ROUNDUP('S27 Material Flow Matrix'!AM971/$G$1, 0)</f>
        <v>0</v>
      </c>
      <c r="AF20" s="3">
        <f>ROUNDUP('S27 Material Flow Matrix'!AN971/$G$1, 0)</f>
        <v>0</v>
      </c>
      <c r="AG20" s="3">
        <f>ROUNDUP('S27 Material Flow Matrix'!AO971/$G$1, 0)</f>
        <v>0</v>
      </c>
      <c r="AH20" s="3">
        <f>ROUNDUP('S27 Material Flow Matrix'!AP971/$G$1, 0)</f>
        <v>0</v>
      </c>
      <c r="AI20" s="3">
        <f>ROUNDUP('S27 Material Flow Matrix'!AQ971/$G$1, 0)</f>
        <v>0</v>
      </c>
      <c r="AJ20" s="3">
        <f>ROUNDUP('S27 Material Flow Matrix'!AR971/$G$1, 0)</f>
        <v>0</v>
      </c>
      <c r="AK20" s="3">
        <f>ROUNDUP('S27 Material Flow Matrix'!AS971/$G$1, 0)</f>
        <v>0</v>
      </c>
      <c r="AL20" s="3">
        <f>ROUNDUP('S27 Material Flow Matrix'!AT971/$G$1, 0)</f>
        <v>0</v>
      </c>
      <c r="AM20" s="3">
        <f>ROUNDUP('S27 Material Flow Matrix'!AU971/$G$1, 0)</f>
        <v>0</v>
      </c>
      <c r="AN20" s="3">
        <f>ROUNDUP('S27 Material Flow Matrix'!AV971/$G$1, 0)</f>
        <v>0</v>
      </c>
      <c r="AO20" s="3">
        <f>ROUNDUP('S27 Material Flow Matrix'!AW971/$G$1, 0)</f>
        <v>0</v>
      </c>
      <c r="AP20" s="3">
        <f>ROUNDUP('S27 Material Flow Matrix'!AX971/$G$1, 0)</f>
        <v>0</v>
      </c>
      <c r="AQ20" s="3">
        <f>ROUNDUP('S27 Material Flow Matrix'!AY971/$G$1, 0)</f>
        <v>0</v>
      </c>
      <c r="AR20" s="3">
        <f>ROUNDUP('S27 Material Flow Matrix'!AZ971/$G$1, 0)</f>
        <v>0</v>
      </c>
      <c r="AS20" s="3">
        <f>ROUNDUP('S27 Material Flow Matrix'!BA971/$G$1, 0)</f>
        <v>0</v>
      </c>
    </row>
    <row r="21" spans="1:45">
      <c r="A21" s="392" t="s">
        <v>1067</v>
      </c>
      <c r="B21" s="3">
        <f>ROUNDUP('S27 Material Flow Matrix'!J972/$G$1, 0)</f>
        <v>0</v>
      </c>
      <c r="C21" s="3">
        <f>ROUNDUP('S27 Material Flow Matrix'!K972/$G$1, 0)</f>
        <v>0</v>
      </c>
      <c r="D21" s="3">
        <f>ROUNDUP('S27 Material Flow Matrix'!L972/$G$1, 0)</f>
        <v>0</v>
      </c>
      <c r="E21" s="3">
        <f>ROUNDUP('S27 Material Flow Matrix'!M972/$G$1, 0)</f>
        <v>0</v>
      </c>
      <c r="F21" s="3">
        <f>ROUNDUP('S27 Material Flow Matrix'!N972/$G$1, 0)</f>
        <v>0</v>
      </c>
      <c r="G21" s="3">
        <f>ROUNDUP('S27 Material Flow Matrix'!O972/$G$1, 0)</f>
        <v>0</v>
      </c>
      <c r="H21" s="3">
        <f>ROUNDUP('S27 Material Flow Matrix'!P972/$G$1, 0)</f>
        <v>0</v>
      </c>
      <c r="I21" s="3">
        <f>ROUNDUP('S27 Material Flow Matrix'!Q972/$G$1, 0)</f>
        <v>0</v>
      </c>
      <c r="J21" s="3">
        <f>ROUNDUP('S27 Material Flow Matrix'!R972/$G$1, 0)</f>
        <v>0</v>
      </c>
      <c r="K21" s="3">
        <f>ROUNDUP('S27 Material Flow Matrix'!S972/$G$1, 0)</f>
        <v>0</v>
      </c>
      <c r="L21" s="3">
        <f>ROUNDUP('S27 Material Flow Matrix'!T972/$G$1, 0)</f>
        <v>0</v>
      </c>
      <c r="M21" s="3">
        <f>ROUNDUP('S27 Material Flow Matrix'!U972/$G$1, 0)</f>
        <v>0</v>
      </c>
      <c r="N21" s="3">
        <f>ROUNDUP('S27 Material Flow Matrix'!V972/$G$1, 0)</f>
        <v>0</v>
      </c>
      <c r="O21" s="3">
        <f>ROUNDUP('S27 Material Flow Matrix'!W972/$G$1, 0)</f>
        <v>0</v>
      </c>
      <c r="P21" s="3">
        <f>ROUNDUP('S27 Material Flow Matrix'!X972/$G$1, 0)</f>
        <v>0</v>
      </c>
      <c r="Q21" s="3">
        <f>ROUNDUP('S27 Material Flow Matrix'!Y972/$G$1, 0)</f>
        <v>0</v>
      </c>
      <c r="R21" s="3">
        <f>ROUNDUP('S27 Material Flow Matrix'!Z972/$G$1, 0)</f>
        <v>0</v>
      </c>
      <c r="S21" s="3">
        <f>ROUNDUP('S27 Material Flow Matrix'!AA972/$G$1, 0)</f>
        <v>0</v>
      </c>
      <c r="T21" s="3">
        <f>ROUNDUP('S27 Material Flow Matrix'!AB972/$G$1, 0)</f>
        <v>0</v>
      </c>
      <c r="U21" s="3">
        <f>ROUNDUP('S27 Material Flow Matrix'!AC972/$G$1, 0)</f>
        <v>0</v>
      </c>
      <c r="V21" s="3">
        <f>ROUNDUP('S27 Material Flow Matrix'!AD972/$G$1, 0)</f>
        <v>0</v>
      </c>
      <c r="W21" s="3">
        <f>ROUNDUP('S27 Material Flow Matrix'!AE972/$G$1, 0)</f>
        <v>0</v>
      </c>
      <c r="X21" s="3">
        <f>ROUNDUP('S27 Material Flow Matrix'!AF972/$G$1, 0)</f>
        <v>0</v>
      </c>
      <c r="Y21" s="3">
        <f>ROUNDUP('S27 Material Flow Matrix'!AG972/$G$1, 0)</f>
        <v>151</v>
      </c>
      <c r="Z21" s="3">
        <f>ROUNDUP('S27 Material Flow Matrix'!AH972/$G$1, 0)</f>
        <v>0</v>
      </c>
      <c r="AA21" s="3">
        <f>ROUNDUP('S27 Material Flow Matrix'!AI972/$G$1, 0)</f>
        <v>0</v>
      </c>
      <c r="AB21" s="3">
        <f>ROUNDUP('S27 Material Flow Matrix'!AJ972/$G$1, 0)</f>
        <v>0</v>
      </c>
      <c r="AC21" s="3">
        <f>ROUNDUP('S27 Material Flow Matrix'!AK972/$G$1, 0)</f>
        <v>0</v>
      </c>
      <c r="AD21" s="3">
        <f>ROUNDUP('S27 Material Flow Matrix'!AL972/$G$1, 0)</f>
        <v>0</v>
      </c>
      <c r="AE21" s="3">
        <f>ROUNDUP('S27 Material Flow Matrix'!AM972/$G$1, 0)</f>
        <v>0</v>
      </c>
      <c r="AF21" s="3">
        <f>ROUNDUP('S27 Material Flow Matrix'!AN972/$G$1, 0)</f>
        <v>0</v>
      </c>
      <c r="AG21" s="3">
        <f>ROUNDUP('S27 Material Flow Matrix'!AO972/$G$1, 0)</f>
        <v>0</v>
      </c>
      <c r="AH21" s="3">
        <f>ROUNDUP('S27 Material Flow Matrix'!AP972/$G$1, 0)</f>
        <v>0</v>
      </c>
      <c r="AI21" s="3">
        <f>ROUNDUP('S27 Material Flow Matrix'!AQ972/$G$1, 0)</f>
        <v>0</v>
      </c>
      <c r="AJ21" s="3">
        <f>ROUNDUP('S27 Material Flow Matrix'!AR972/$G$1, 0)</f>
        <v>0</v>
      </c>
      <c r="AK21" s="3">
        <f>ROUNDUP('S27 Material Flow Matrix'!AS972/$G$1, 0)</f>
        <v>0</v>
      </c>
      <c r="AL21" s="3">
        <f>ROUNDUP('S27 Material Flow Matrix'!AT972/$G$1, 0)</f>
        <v>0</v>
      </c>
      <c r="AM21" s="3">
        <f>ROUNDUP('S27 Material Flow Matrix'!AU972/$G$1, 0)</f>
        <v>0</v>
      </c>
      <c r="AN21" s="3">
        <f>ROUNDUP('S27 Material Flow Matrix'!AV972/$G$1, 0)</f>
        <v>0</v>
      </c>
      <c r="AO21" s="3">
        <f>ROUNDUP('S27 Material Flow Matrix'!AW972/$G$1, 0)</f>
        <v>0</v>
      </c>
      <c r="AP21" s="3">
        <f>ROUNDUP('S27 Material Flow Matrix'!AX972/$G$1, 0)</f>
        <v>0</v>
      </c>
      <c r="AQ21" s="3">
        <f>ROUNDUP('S27 Material Flow Matrix'!AY972/$G$1, 0)</f>
        <v>0</v>
      </c>
      <c r="AR21" s="3">
        <f>ROUNDUP('S27 Material Flow Matrix'!AZ972/$G$1, 0)</f>
        <v>0</v>
      </c>
      <c r="AS21" s="3">
        <f>ROUNDUP('S27 Material Flow Matrix'!BA972/$G$1, 0)</f>
        <v>0</v>
      </c>
    </row>
    <row r="22" spans="1:45">
      <c r="A22" s="392" t="s">
        <v>1069</v>
      </c>
      <c r="B22" s="3">
        <f>ROUNDUP('S27 Material Flow Matrix'!J973/$G$1, 0)</f>
        <v>0</v>
      </c>
      <c r="C22" s="3">
        <f>ROUNDUP('S27 Material Flow Matrix'!K973/$G$1, 0)</f>
        <v>0</v>
      </c>
      <c r="D22" s="3">
        <f>ROUNDUP('S27 Material Flow Matrix'!L973/$G$1, 0)</f>
        <v>0</v>
      </c>
      <c r="E22" s="3">
        <f>ROUNDUP('S27 Material Flow Matrix'!M973/$G$1, 0)</f>
        <v>0</v>
      </c>
      <c r="F22" s="3">
        <f>ROUNDUP('S27 Material Flow Matrix'!N973/$G$1, 0)</f>
        <v>0</v>
      </c>
      <c r="G22" s="3">
        <f>ROUNDUP('S27 Material Flow Matrix'!O973/$G$1, 0)</f>
        <v>0</v>
      </c>
      <c r="H22" s="3">
        <f>ROUNDUP('S27 Material Flow Matrix'!P973/$G$1, 0)</f>
        <v>0</v>
      </c>
      <c r="I22" s="3">
        <f>ROUNDUP('S27 Material Flow Matrix'!Q973/$G$1, 0)</f>
        <v>0</v>
      </c>
      <c r="J22" s="3">
        <f>ROUNDUP('S27 Material Flow Matrix'!R973/$G$1, 0)</f>
        <v>0</v>
      </c>
      <c r="K22" s="3">
        <f>ROUNDUP('S27 Material Flow Matrix'!S973/$G$1, 0)</f>
        <v>0</v>
      </c>
      <c r="L22" s="3">
        <f>ROUNDUP('S27 Material Flow Matrix'!T973/$G$1, 0)</f>
        <v>0</v>
      </c>
      <c r="M22" s="3">
        <f>ROUNDUP('S27 Material Flow Matrix'!U973/$G$1, 0)</f>
        <v>0</v>
      </c>
      <c r="N22" s="3">
        <f>ROUNDUP('S27 Material Flow Matrix'!V973/$G$1, 0)</f>
        <v>0</v>
      </c>
      <c r="O22" s="3">
        <f>ROUNDUP('S27 Material Flow Matrix'!W973/$G$1, 0)</f>
        <v>0</v>
      </c>
      <c r="P22" s="3">
        <f>ROUNDUP('S27 Material Flow Matrix'!X973/$G$1, 0)</f>
        <v>0</v>
      </c>
      <c r="Q22" s="3">
        <f>ROUNDUP('S27 Material Flow Matrix'!Y973/$G$1, 0)</f>
        <v>0</v>
      </c>
      <c r="R22" s="3">
        <f>ROUNDUP('S27 Material Flow Matrix'!Z973/$G$1, 0)</f>
        <v>0</v>
      </c>
      <c r="S22" s="3">
        <f>ROUNDUP('S27 Material Flow Matrix'!AA973/$G$1, 0)</f>
        <v>0</v>
      </c>
      <c r="T22" s="3">
        <f>ROUNDUP('S27 Material Flow Matrix'!AB973/$G$1, 0)</f>
        <v>0</v>
      </c>
      <c r="U22" s="3">
        <f>ROUNDUP('S27 Material Flow Matrix'!AC973/$G$1, 0)</f>
        <v>0</v>
      </c>
      <c r="V22" s="3">
        <f>ROUNDUP('S27 Material Flow Matrix'!AD973/$G$1, 0)</f>
        <v>0</v>
      </c>
      <c r="W22" s="3">
        <f>ROUNDUP('S27 Material Flow Matrix'!AE973/$G$1, 0)</f>
        <v>0</v>
      </c>
      <c r="X22" s="3">
        <f>ROUNDUP('S27 Material Flow Matrix'!AF973/$G$1, 0)</f>
        <v>0</v>
      </c>
      <c r="Y22" s="3">
        <f>ROUNDUP('S27 Material Flow Matrix'!AG973/$G$1, 0)</f>
        <v>0</v>
      </c>
      <c r="Z22" s="3">
        <f>ROUNDUP('S27 Material Flow Matrix'!AH973/$G$1, 0)</f>
        <v>0</v>
      </c>
      <c r="AA22" s="3">
        <f>ROUNDUP('S27 Material Flow Matrix'!AI973/$G$1, 0)</f>
        <v>0</v>
      </c>
      <c r="AB22" s="3">
        <f>ROUNDUP('S27 Material Flow Matrix'!AJ973/$G$1, 0)</f>
        <v>0</v>
      </c>
      <c r="AC22" s="3">
        <f>ROUNDUP('S27 Material Flow Matrix'!AK973/$G$1, 0)</f>
        <v>0</v>
      </c>
      <c r="AD22" s="3">
        <f>ROUNDUP('S27 Material Flow Matrix'!AL973/$G$1, 0)</f>
        <v>0</v>
      </c>
      <c r="AE22" s="3">
        <f>ROUNDUP('S27 Material Flow Matrix'!AM973/$G$1, 0)</f>
        <v>0</v>
      </c>
      <c r="AF22" s="3">
        <f>ROUNDUP('S27 Material Flow Matrix'!AN973/$G$1, 0)</f>
        <v>0</v>
      </c>
      <c r="AG22" s="3">
        <f>ROUNDUP('S27 Material Flow Matrix'!AO973/$G$1, 0)</f>
        <v>0</v>
      </c>
      <c r="AH22" s="3">
        <f>ROUNDUP('S27 Material Flow Matrix'!AP973/$G$1, 0)</f>
        <v>0</v>
      </c>
      <c r="AI22" s="3">
        <f>ROUNDUP('S27 Material Flow Matrix'!AQ973/$G$1, 0)</f>
        <v>0</v>
      </c>
      <c r="AJ22" s="3">
        <f>ROUNDUP('S27 Material Flow Matrix'!AR973/$G$1, 0)</f>
        <v>0</v>
      </c>
      <c r="AK22" s="3">
        <f>ROUNDUP('S27 Material Flow Matrix'!AS973/$G$1, 0)</f>
        <v>0</v>
      </c>
      <c r="AL22" s="3">
        <f>ROUNDUP('S27 Material Flow Matrix'!AT973/$G$1, 0)</f>
        <v>0</v>
      </c>
      <c r="AM22" s="3">
        <f>ROUNDUP('S27 Material Flow Matrix'!AU973/$G$1, 0)</f>
        <v>0</v>
      </c>
      <c r="AN22" s="3">
        <f>ROUNDUP('S27 Material Flow Matrix'!AV973/$G$1, 0)</f>
        <v>0</v>
      </c>
      <c r="AO22" s="3">
        <f>ROUNDUP('S27 Material Flow Matrix'!AW973/$G$1, 0)</f>
        <v>0</v>
      </c>
      <c r="AP22" s="3">
        <f>ROUNDUP('S27 Material Flow Matrix'!AX973/$G$1, 0)</f>
        <v>0</v>
      </c>
      <c r="AQ22" s="3">
        <f>ROUNDUP('S27 Material Flow Matrix'!AY973/$G$1, 0)</f>
        <v>0</v>
      </c>
      <c r="AR22" s="3">
        <f>ROUNDUP('S27 Material Flow Matrix'!AZ973/$G$1, 0)</f>
        <v>0</v>
      </c>
      <c r="AS22" s="3">
        <f>ROUNDUP('S27 Material Flow Matrix'!BA973/$G$1, 0)</f>
        <v>0</v>
      </c>
    </row>
    <row r="23" spans="1:45">
      <c r="A23" s="392" t="s">
        <v>1071</v>
      </c>
      <c r="B23" s="3">
        <f>ROUNDUP('S27 Material Flow Matrix'!J974/$G$1, 0)</f>
        <v>0</v>
      </c>
      <c r="C23" s="3">
        <f>ROUNDUP('S27 Material Flow Matrix'!K974/$G$1, 0)</f>
        <v>0</v>
      </c>
      <c r="D23" s="3">
        <f>ROUNDUP('S27 Material Flow Matrix'!L974/$G$1, 0)</f>
        <v>0</v>
      </c>
      <c r="E23" s="3">
        <f>ROUNDUP('S27 Material Flow Matrix'!M974/$G$1, 0)</f>
        <v>0</v>
      </c>
      <c r="F23" s="3">
        <f>ROUNDUP('S27 Material Flow Matrix'!N974/$G$1, 0)</f>
        <v>0</v>
      </c>
      <c r="G23" s="3">
        <f>ROUNDUP('S27 Material Flow Matrix'!O974/$G$1, 0)</f>
        <v>0</v>
      </c>
      <c r="H23" s="3">
        <f>ROUNDUP('S27 Material Flow Matrix'!P974/$G$1, 0)</f>
        <v>0</v>
      </c>
      <c r="I23" s="3">
        <f>ROUNDUP('S27 Material Flow Matrix'!Q974/$G$1, 0)</f>
        <v>0</v>
      </c>
      <c r="J23" s="3">
        <f>ROUNDUP('S27 Material Flow Matrix'!R974/$G$1, 0)</f>
        <v>0</v>
      </c>
      <c r="K23" s="3">
        <f>ROUNDUP('S27 Material Flow Matrix'!S974/$G$1, 0)</f>
        <v>0</v>
      </c>
      <c r="L23" s="3">
        <f>ROUNDUP('S27 Material Flow Matrix'!T974/$G$1, 0)</f>
        <v>0</v>
      </c>
      <c r="M23" s="3">
        <f>ROUNDUP('S27 Material Flow Matrix'!U974/$G$1, 0)</f>
        <v>0</v>
      </c>
      <c r="N23" s="3">
        <f>ROUNDUP('S27 Material Flow Matrix'!V974/$G$1, 0)</f>
        <v>0</v>
      </c>
      <c r="O23" s="3">
        <f>ROUNDUP('S27 Material Flow Matrix'!W974/$G$1, 0)</f>
        <v>0</v>
      </c>
      <c r="P23" s="3">
        <f>ROUNDUP('S27 Material Flow Matrix'!X974/$G$1, 0)</f>
        <v>0</v>
      </c>
      <c r="Q23" s="3">
        <f>ROUNDUP('S27 Material Flow Matrix'!Y974/$G$1, 0)</f>
        <v>0</v>
      </c>
      <c r="R23" s="3">
        <f>ROUNDUP('S27 Material Flow Matrix'!Z974/$G$1, 0)</f>
        <v>0</v>
      </c>
      <c r="S23" s="3">
        <f>ROUNDUP('S27 Material Flow Matrix'!AA974/$G$1, 0)</f>
        <v>0</v>
      </c>
      <c r="T23" s="3">
        <f>ROUNDUP('S27 Material Flow Matrix'!AB974/$G$1, 0)</f>
        <v>0</v>
      </c>
      <c r="U23" s="3">
        <f>ROUNDUP('S27 Material Flow Matrix'!AC974/$G$1, 0)</f>
        <v>0</v>
      </c>
      <c r="V23" s="3">
        <f>ROUNDUP('S27 Material Flow Matrix'!AD974/$G$1, 0)</f>
        <v>0</v>
      </c>
      <c r="W23" s="3">
        <f>ROUNDUP('S27 Material Flow Matrix'!AE974/$G$1, 0)</f>
        <v>0</v>
      </c>
      <c r="X23" s="3">
        <f>ROUNDUP('S27 Material Flow Matrix'!AF974/$G$1, 0)</f>
        <v>0</v>
      </c>
      <c r="Y23" s="3">
        <f>ROUNDUP('S27 Material Flow Matrix'!AG974/$G$1, 0)</f>
        <v>0</v>
      </c>
      <c r="Z23" s="3">
        <f>ROUNDUP('S27 Material Flow Matrix'!AH974/$G$1, 0)</f>
        <v>0</v>
      </c>
      <c r="AA23" s="3">
        <f>ROUNDUP('S27 Material Flow Matrix'!AI974/$G$1, 0)</f>
        <v>69</v>
      </c>
      <c r="AB23" s="3">
        <f>ROUNDUP('S27 Material Flow Matrix'!AJ974/$G$1, 0)</f>
        <v>0</v>
      </c>
      <c r="AC23" s="3">
        <f>ROUNDUP('S27 Material Flow Matrix'!AK974/$G$1, 0)</f>
        <v>0</v>
      </c>
      <c r="AD23" s="3">
        <f>ROUNDUP('S27 Material Flow Matrix'!AL974/$G$1, 0)</f>
        <v>0</v>
      </c>
      <c r="AE23" s="3">
        <f>ROUNDUP('S27 Material Flow Matrix'!AM974/$G$1, 0)</f>
        <v>0</v>
      </c>
      <c r="AF23" s="3">
        <f>ROUNDUP('S27 Material Flow Matrix'!AN974/$G$1, 0)</f>
        <v>0</v>
      </c>
      <c r="AG23" s="3">
        <f>ROUNDUP('S27 Material Flow Matrix'!AO974/$G$1, 0)</f>
        <v>0</v>
      </c>
      <c r="AH23" s="3">
        <f>ROUNDUP('S27 Material Flow Matrix'!AP974/$G$1, 0)</f>
        <v>0</v>
      </c>
      <c r="AI23" s="3">
        <f>ROUNDUP('S27 Material Flow Matrix'!AQ974/$G$1, 0)</f>
        <v>0</v>
      </c>
      <c r="AJ23" s="3">
        <f>ROUNDUP('S27 Material Flow Matrix'!AR974/$G$1, 0)</f>
        <v>0</v>
      </c>
      <c r="AK23" s="3">
        <f>ROUNDUP('S27 Material Flow Matrix'!AS974/$G$1, 0)</f>
        <v>0</v>
      </c>
      <c r="AL23" s="3">
        <f>ROUNDUP('S27 Material Flow Matrix'!AT974/$G$1, 0)</f>
        <v>0</v>
      </c>
      <c r="AM23" s="3">
        <f>ROUNDUP('S27 Material Flow Matrix'!AU974/$G$1, 0)</f>
        <v>0</v>
      </c>
      <c r="AN23" s="3">
        <f>ROUNDUP('S27 Material Flow Matrix'!AV974/$G$1, 0)</f>
        <v>0</v>
      </c>
      <c r="AO23" s="3">
        <f>ROUNDUP('S27 Material Flow Matrix'!AW974/$G$1, 0)</f>
        <v>0</v>
      </c>
      <c r="AP23" s="3">
        <f>ROUNDUP('S27 Material Flow Matrix'!AX974/$G$1, 0)</f>
        <v>0</v>
      </c>
      <c r="AQ23" s="3">
        <f>ROUNDUP('S27 Material Flow Matrix'!AY974/$G$1, 0)</f>
        <v>0</v>
      </c>
      <c r="AR23" s="3">
        <f>ROUNDUP('S27 Material Flow Matrix'!AZ974/$G$1, 0)</f>
        <v>0</v>
      </c>
      <c r="AS23" s="3">
        <f>ROUNDUP('S27 Material Flow Matrix'!BA974/$G$1, 0)</f>
        <v>0</v>
      </c>
    </row>
    <row r="24" spans="1:45">
      <c r="A24" s="392" t="s">
        <v>1072</v>
      </c>
      <c r="B24" s="3">
        <f>ROUNDUP('S27 Material Flow Matrix'!J975/$G$1, 0)</f>
        <v>0</v>
      </c>
      <c r="C24" s="3">
        <f>ROUNDUP('S27 Material Flow Matrix'!K975/$G$1, 0)</f>
        <v>0</v>
      </c>
      <c r="D24" s="3">
        <f>ROUNDUP('S27 Material Flow Matrix'!L975/$G$1, 0)</f>
        <v>0</v>
      </c>
      <c r="E24" s="3">
        <f>ROUNDUP('S27 Material Flow Matrix'!M975/$G$1, 0)</f>
        <v>0</v>
      </c>
      <c r="F24" s="3">
        <f>ROUNDUP('S27 Material Flow Matrix'!N975/$G$1, 0)</f>
        <v>0</v>
      </c>
      <c r="G24" s="3">
        <f>ROUNDUP('S27 Material Flow Matrix'!O975/$G$1, 0)</f>
        <v>0</v>
      </c>
      <c r="H24" s="3">
        <f>ROUNDUP('S27 Material Flow Matrix'!P975/$G$1, 0)</f>
        <v>0</v>
      </c>
      <c r="I24" s="3">
        <f>ROUNDUP('S27 Material Flow Matrix'!Q975/$G$1, 0)</f>
        <v>0</v>
      </c>
      <c r="J24" s="3">
        <f>ROUNDUP('S27 Material Flow Matrix'!R975/$G$1, 0)</f>
        <v>0</v>
      </c>
      <c r="K24" s="3">
        <f>ROUNDUP('S27 Material Flow Matrix'!S975/$G$1, 0)</f>
        <v>0</v>
      </c>
      <c r="L24" s="3">
        <f>ROUNDUP('S27 Material Flow Matrix'!T975/$G$1, 0)</f>
        <v>0</v>
      </c>
      <c r="M24" s="3">
        <f>ROUNDUP('S27 Material Flow Matrix'!U975/$G$1, 0)</f>
        <v>0</v>
      </c>
      <c r="N24" s="3">
        <f>ROUNDUP('S27 Material Flow Matrix'!V975/$G$1, 0)</f>
        <v>0</v>
      </c>
      <c r="O24" s="3">
        <f>ROUNDUP('S27 Material Flow Matrix'!W975/$G$1, 0)</f>
        <v>0</v>
      </c>
      <c r="P24" s="3">
        <f>ROUNDUP('S27 Material Flow Matrix'!X975/$G$1, 0)</f>
        <v>0</v>
      </c>
      <c r="Q24" s="3">
        <f>ROUNDUP('S27 Material Flow Matrix'!Y975/$G$1, 0)</f>
        <v>0</v>
      </c>
      <c r="R24" s="3">
        <f>ROUNDUP('S27 Material Flow Matrix'!Z975/$G$1, 0)</f>
        <v>0</v>
      </c>
      <c r="S24" s="3">
        <f>ROUNDUP('S27 Material Flow Matrix'!AA975/$G$1, 0)</f>
        <v>0</v>
      </c>
      <c r="T24" s="3">
        <f>ROUNDUP('S27 Material Flow Matrix'!AB975/$G$1, 0)</f>
        <v>0</v>
      </c>
      <c r="U24" s="3">
        <f>ROUNDUP('S27 Material Flow Matrix'!AC975/$G$1, 0)</f>
        <v>0</v>
      </c>
      <c r="V24" s="3">
        <f>ROUNDUP('S27 Material Flow Matrix'!AD975/$G$1, 0)</f>
        <v>0</v>
      </c>
      <c r="W24" s="3">
        <f>ROUNDUP('S27 Material Flow Matrix'!AE975/$G$1, 0)</f>
        <v>0</v>
      </c>
      <c r="X24" s="3">
        <f>ROUNDUP('S27 Material Flow Matrix'!AF975/$G$1, 0)</f>
        <v>0</v>
      </c>
      <c r="Y24" s="3">
        <f>ROUNDUP('S27 Material Flow Matrix'!AG975/$G$1, 0)</f>
        <v>0</v>
      </c>
      <c r="Z24" s="3">
        <f>ROUNDUP('S27 Material Flow Matrix'!AH975/$G$1, 0)</f>
        <v>0</v>
      </c>
      <c r="AA24" s="3">
        <f>ROUNDUP('S27 Material Flow Matrix'!AI975/$G$1, 0)</f>
        <v>0</v>
      </c>
      <c r="AB24" s="3">
        <f>ROUNDUP('S27 Material Flow Matrix'!AJ975/$G$1, 0)</f>
        <v>0</v>
      </c>
      <c r="AC24" s="3">
        <f>ROUNDUP('S27 Material Flow Matrix'!AK975/$G$1, 0)</f>
        <v>89</v>
      </c>
      <c r="AD24" s="3">
        <f>ROUNDUP('S27 Material Flow Matrix'!AL975/$G$1, 0)</f>
        <v>0</v>
      </c>
      <c r="AE24" s="3">
        <f>ROUNDUP('S27 Material Flow Matrix'!AM975/$G$1, 0)</f>
        <v>0</v>
      </c>
      <c r="AF24" s="3">
        <f>ROUNDUP('S27 Material Flow Matrix'!AN975/$G$1, 0)</f>
        <v>0</v>
      </c>
      <c r="AG24" s="3">
        <f>ROUNDUP('S27 Material Flow Matrix'!AO975/$G$1, 0)</f>
        <v>0</v>
      </c>
      <c r="AH24" s="3">
        <f>ROUNDUP('S27 Material Flow Matrix'!AP975/$G$1, 0)</f>
        <v>0</v>
      </c>
      <c r="AI24" s="3">
        <f>ROUNDUP('S27 Material Flow Matrix'!AQ975/$G$1, 0)</f>
        <v>0</v>
      </c>
      <c r="AJ24" s="3">
        <f>ROUNDUP('S27 Material Flow Matrix'!AR975/$G$1, 0)</f>
        <v>0</v>
      </c>
      <c r="AK24" s="3">
        <f>ROUNDUP('S27 Material Flow Matrix'!AS975/$G$1, 0)</f>
        <v>0</v>
      </c>
      <c r="AL24" s="3">
        <f>ROUNDUP('S27 Material Flow Matrix'!AT975/$G$1, 0)</f>
        <v>0</v>
      </c>
      <c r="AM24" s="3">
        <f>ROUNDUP('S27 Material Flow Matrix'!AU975/$G$1, 0)</f>
        <v>0</v>
      </c>
      <c r="AN24" s="3">
        <f>ROUNDUP('S27 Material Flow Matrix'!AV975/$G$1, 0)</f>
        <v>0</v>
      </c>
      <c r="AO24" s="3">
        <f>ROUNDUP('S27 Material Flow Matrix'!AW975/$G$1, 0)</f>
        <v>0</v>
      </c>
      <c r="AP24" s="3">
        <f>ROUNDUP('S27 Material Flow Matrix'!AX975/$G$1, 0)</f>
        <v>0</v>
      </c>
      <c r="AQ24" s="3">
        <f>ROUNDUP('S27 Material Flow Matrix'!AY975/$G$1, 0)</f>
        <v>0</v>
      </c>
      <c r="AR24" s="3">
        <f>ROUNDUP('S27 Material Flow Matrix'!AZ975/$G$1, 0)</f>
        <v>0</v>
      </c>
      <c r="AS24" s="3">
        <f>ROUNDUP('S27 Material Flow Matrix'!BA975/$G$1, 0)</f>
        <v>0</v>
      </c>
    </row>
    <row r="25" spans="1:45">
      <c r="A25" s="392" t="s">
        <v>1074</v>
      </c>
      <c r="B25" s="3">
        <f>ROUNDUP('S27 Material Flow Matrix'!J976/$G$1, 0)</f>
        <v>0</v>
      </c>
      <c r="C25" s="3">
        <f>ROUNDUP('S27 Material Flow Matrix'!K976/$G$1, 0)</f>
        <v>0</v>
      </c>
      <c r="D25" s="3">
        <f>ROUNDUP('S27 Material Flow Matrix'!L976/$G$1, 0)</f>
        <v>0</v>
      </c>
      <c r="E25" s="3">
        <f>ROUNDUP('S27 Material Flow Matrix'!M976/$G$1, 0)</f>
        <v>0</v>
      </c>
      <c r="F25" s="3">
        <f>ROUNDUP('S27 Material Flow Matrix'!N976/$G$1, 0)</f>
        <v>0</v>
      </c>
      <c r="G25" s="3">
        <f>ROUNDUP('S27 Material Flow Matrix'!O976/$G$1, 0)</f>
        <v>0</v>
      </c>
      <c r="H25" s="3">
        <f>ROUNDUP('S27 Material Flow Matrix'!P976/$G$1, 0)</f>
        <v>0</v>
      </c>
      <c r="I25" s="3">
        <f>ROUNDUP('S27 Material Flow Matrix'!Q976/$G$1, 0)</f>
        <v>0</v>
      </c>
      <c r="J25" s="3">
        <f>ROUNDUP('S27 Material Flow Matrix'!R976/$G$1, 0)</f>
        <v>0</v>
      </c>
      <c r="K25" s="3">
        <f>ROUNDUP('S27 Material Flow Matrix'!S976/$G$1, 0)</f>
        <v>0</v>
      </c>
      <c r="L25" s="3">
        <f>ROUNDUP('S27 Material Flow Matrix'!T976/$G$1, 0)</f>
        <v>0</v>
      </c>
      <c r="M25" s="3">
        <f>ROUNDUP('S27 Material Flow Matrix'!U976/$G$1, 0)</f>
        <v>0</v>
      </c>
      <c r="N25" s="3">
        <f>ROUNDUP('S27 Material Flow Matrix'!V976/$G$1, 0)</f>
        <v>0</v>
      </c>
      <c r="O25" s="3">
        <f>ROUNDUP('S27 Material Flow Matrix'!W976/$G$1, 0)</f>
        <v>0</v>
      </c>
      <c r="P25" s="3">
        <f>ROUNDUP('S27 Material Flow Matrix'!X976/$G$1, 0)</f>
        <v>0</v>
      </c>
      <c r="Q25" s="3">
        <f>ROUNDUP('S27 Material Flow Matrix'!Y976/$G$1, 0)</f>
        <v>0</v>
      </c>
      <c r="R25" s="3">
        <f>ROUNDUP('S27 Material Flow Matrix'!Z976/$G$1, 0)</f>
        <v>0</v>
      </c>
      <c r="S25" s="3">
        <f>ROUNDUP('S27 Material Flow Matrix'!AA976/$G$1, 0)</f>
        <v>0</v>
      </c>
      <c r="T25" s="3">
        <f>ROUNDUP('S27 Material Flow Matrix'!AB976/$G$1, 0)</f>
        <v>0</v>
      </c>
      <c r="U25" s="3">
        <f>ROUNDUP('S27 Material Flow Matrix'!AC976/$G$1, 0)</f>
        <v>0</v>
      </c>
      <c r="V25" s="3">
        <f>ROUNDUP('S27 Material Flow Matrix'!AD976/$G$1, 0)</f>
        <v>0</v>
      </c>
      <c r="W25" s="3">
        <f>ROUNDUP('S27 Material Flow Matrix'!AE976/$G$1, 0)</f>
        <v>0</v>
      </c>
      <c r="X25" s="3">
        <f>ROUNDUP('S27 Material Flow Matrix'!AF976/$G$1, 0)</f>
        <v>0</v>
      </c>
      <c r="Y25" s="3">
        <f>ROUNDUP('S27 Material Flow Matrix'!AG976/$G$1, 0)</f>
        <v>0</v>
      </c>
      <c r="Z25" s="3">
        <f>ROUNDUP('S27 Material Flow Matrix'!AH976/$G$1, 0)</f>
        <v>0</v>
      </c>
      <c r="AA25" s="3">
        <f>ROUNDUP('S27 Material Flow Matrix'!AI976/$G$1, 0)</f>
        <v>0</v>
      </c>
      <c r="AB25" s="3">
        <f>ROUNDUP('S27 Material Flow Matrix'!AJ976/$G$1, 0)</f>
        <v>0</v>
      </c>
      <c r="AC25" s="3">
        <f>ROUNDUP('S27 Material Flow Matrix'!AK976/$G$1, 0)</f>
        <v>0</v>
      </c>
      <c r="AD25" s="3">
        <f>ROUNDUP('S27 Material Flow Matrix'!AL976/$G$1, 0)</f>
        <v>0</v>
      </c>
      <c r="AE25" s="3">
        <f>ROUNDUP('S27 Material Flow Matrix'!AM976/$G$1, 0)</f>
        <v>0</v>
      </c>
      <c r="AF25" s="3">
        <f>ROUNDUP('S27 Material Flow Matrix'!AN976/$G$1, 0)</f>
        <v>0</v>
      </c>
      <c r="AG25" s="3">
        <f>ROUNDUP('S27 Material Flow Matrix'!AO976/$G$1, 0)</f>
        <v>0</v>
      </c>
      <c r="AH25" s="3">
        <f>ROUNDUP('S27 Material Flow Matrix'!AP976/$G$1, 0)</f>
        <v>0</v>
      </c>
      <c r="AI25" s="3">
        <f>ROUNDUP('S27 Material Flow Matrix'!AQ976/$G$1, 0)</f>
        <v>0</v>
      </c>
      <c r="AJ25" s="3">
        <f>ROUNDUP('S27 Material Flow Matrix'!AR976/$G$1, 0)</f>
        <v>0</v>
      </c>
      <c r="AK25" s="3">
        <f>ROUNDUP('S27 Material Flow Matrix'!AS976/$G$1, 0)</f>
        <v>0</v>
      </c>
      <c r="AL25" s="3">
        <f>ROUNDUP('S27 Material Flow Matrix'!AT976/$G$1, 0)</f>
        <v>0</v>
      </c>
      <c r="AM25" s="3">
        <f>ROUNDUP('S27 Material Flow Matrix'!AU976/$G$1, 0)</f>
        <v>0</v>
      </c>
      <c r="AN25" s="3">
        <f>ROUNDUP('S27 Material Flow Matrix'!AV976/$G$1, 0)</f>
        <v>0</v>
      </c>
      <c r="AO25" s="3">
        <f>ROUNDUP('S27 Material Flow Matrix'!AW976/$G$1, 0)</f>
        <v>0</v>
      </c>
      <c r="AP25" s="3">
        <f>ROUNDUP('S27 Material Flow Matrix'!AX976/$G$1, 0)</f>
        <v>0</v>
      </c>
      <c r="AQ25" s="3">
        <f>ROUNDUP('S27 Material Flow Matrix'!AY976/$G$1, 0)</f>
        <v>0</v>
      </c>
      <c r="AR25" s="3">
        <f>ROUNDUP('S27 Material Flow Matrix'!AZ976/$G$1, 0)</f>
        <v>0</v>
      </c>
      <c r="AS25" s="3">
        <f>ROUNDUP('S27 Material Flow Matrix'!BA976/$G$1, 0)</f>
        <v>0</v>
      </c>
    </row>
    <row r="26" spans="1:45">
      <c r="A26" s="392" t="s">
        <v>1076</v>
      </c>
      <c r="B26" s="3">
        <f>ROUNDUP('S27 Material Flow Matrix'!J977/$G$1, 0)</f>
        <v>0</v>
      </c>
      <c r="C26" s="3">
        <f>ROUNDUP('S27 Material Flow Matrix'!K977/$G$1, 0)</f>
        <v>0</v>
      </c>
      <c r="D26" s="3">
        <f>ROUNDUP('S27 Material Flow Matrix'!L977/$G$1, 0)</f>
        <v>0</v>
      </c>
      <c r="E26" s="3">
        <f>ROUNDUP('S27 Material Flow Matrix'!M977/$G$1, 0)</f>
        <v>0</v>
      </c>
      <c r="F26" s="3">
        <f>ROUNDUP('S27 Material Flow Matrix'!N977/$G$1, 0)</f>
        <v>0</v>
      </c>
      <c r="G26" s="3">
        <f>ROUNDUP('S27 Material Flow Matrix'!O977/$G$1, 0)</f>
        <v>0</v>
      </c>
      <c r="H26" s="3">
        <f>ROUNDUP('S27 Material Flow Matrix'!P977/$G$1, 0)</f>
        <v>0</v>
      </c>
      <c r="I26" s="3">
        <f>ROUNDUP('S27 Material Flow Matrix'!Q977/$G$1, 0)</f>
        <v>0</v>
      </c>
      <c r="J26" s="3">
        <f>ROUNDUP('S27 Material Flow Matrix'!R977/$G$1, 0)</f>
        <v>0</v>
      </c>
      <c r="K26" s="3">
        <f>ROUNDUP('S27 Material Flow Matrix'!S977/$G$1, 0)</f>
        <v>0</v>
      </c>
      <c r="L26" s="3">
        <f>ROUNDUP('S27 Material Flow Matrix'!T977/$G$1, 0)</f>
        <v>0</v>
      </c>
      <c r="M26" s="3">
        <f>ROUNDUP('S27 Material Flow Matrix'!U977/$G$1, 0)</f>
        <v>0</v>
      </c>
      <c r="N26" s="3">
        <f>ROUNDUP('S27 Material Flow Matrix'!V977/$G$1, 0)</f>
        <v>0</v>
      </c>
      <c r="O26" s="3">
        <f>ROUNDUP('S27 Material Flow Matrix'!W977/$G$1, 0)</f>
        <v>0</v>
      </c>
      <c r="P26" s="3">
        <f>ROUNDUP('S27 Material Flow Matrix'!X977/$G$1, 0)</f>
        <v>0</v>
      </c>
      <c r="Q26" s="3">
        <f>ROUNDUP('S27 Material Flow Matrix'!Y977/$G$1, 0)</f>
        <v>0</v>
      </c>
      <c r="R26" s="3">
        <f>ROUNDUP('S27 Material Flow Matrix'!Z977/$G$1, 0)</f>
        <v>0</v>
      </c>
      <c r="S26" s="3">
        <f>ROUNDUP('S27 Material Flow Matrix'!AA977/$G$1, 0)</f>
        <v>0</v>
      </c>
      <c r="T26" s="3">
        <f>ROUNDUP('S27 Material Flow Matrix'!AB977/$G$1, 0)</f>
        <v>0</v>
      </c>
      <c r="U26" s="3">
        <f>ROUNDUP('S27 Material Flow Matrix'!AC977/$G$1, 0)</f>
        <v>0</v>
      </c>
      <c r="V26" s="3">
        <f>ROUNDUP('S27 Material Flow Matrix'!AD977/$G$1, 0)</f>
        <v>0</v>
      </c>
      <c r="W26" s="3">
        <f>ROUNDUP('S27 Material Flow Matrix'!AE977/$G$1, 0)</f>
        <v>0</v>
      </c>
      <c r="X26" s="3">
        <f>ROUNDUP('S27 Material Flow Matrix'!AF977/$G$1, 0)</f>
        <v>0</v>
      </c>
      <c r="Y26" s="3">
        <f>ROUNDUP('S27 Material Flow Matrix'!AG977/$G$1, 0)</f>
        <v>0</v>
      </c>
      <c r="Z26" s="3">
        <f>ROUNDUP('S27 Material Flow Matrix'!AH977/$G$1, 0)</f>
        <v>0</v>
      </c>
      <c r="AA26" s="3">
        <f>ROUNDUP('S27 Material Flow Matrix'!AI977/$G$1, 0)</f>
        <v>0</v>
      </c>
      <c r="AB26" s="3">
        <f>ROUNDUP('S27 Material Flow Matrix'!AJ977/$G$1, 0)</f>
        <v>0</v>
      </c>
      <c r="AC26" s="3">
        <f>ROUNDUP('S27 Material Flow Matrix'!AK977/$G$1, 0)</f>
        <v>0</v>
      </c>
      <c r="AD26" s="3">
        <f>ROUNDUP('S27 Material Flow Matrix'!AL977/$G$1, 0)</f>
        <v>0</v>
      </c>
      <c r="AE26" s="3">
        <f>ROUNDUP('S27 Material Flow Matrix'!AM977/$G$1, 0)</f>
        <v>0</v>
      </c>
      <c r="AF26" s="3">
        <f>ROUNDUP('S27 Material Flow Matrix'!AN977/$G$1, 0)</f>
        <v>71</v>
      </c>
      <c r="AG26" s="3">
        <f>ROUNDUP('S27 Material Flow Matrix'!AO977/$G$1, 0)</f>
        <v>0</v>
      </c>
      <c r="AH26" s="3">
        <f>ROUNDUP('S27 Material Flow Matrix'!AP977/$G$1, 0)</f>
        <v>0</v>
      </c>
      <c r="AI26" s="3">
        <f>ROUNDUP('S27 Material Flow Matrix'!AQ977/$G$1, 0)</f>
        <v>0</v>
      </c>
      <c r="AJ26" s="3">
        <f>ROUNDUP('S27 Material Flow Matrix'!AR977/$G$1, 0)</f>
        <v>0</v>
      </c>
      <c r="AK26" s="3">
        <f>ROUNDUP('S27 Material Flow Matrix'!AS977/$G$1, 0)</f>
        <v>0</v>
      </c>
      <c r="AL26" s="3">
        <f>ROUNDUP('S27 Material Flow Matrix'!AT977/$G$1, 0)</f>
        <v>0</v>
      </c>
      <c r="AM26" s="3">
        <f>ROUNDUP('S27 Material Flow Matrix'!AU977/$G$1, 0)</f>
        <v>0</v>
      </c>
      <c r="AN26" s="3">
        <f>ROUNDUP('S27 Material Flow Matrix'!AV977/$G$1, 0)</f>
        <v>0</v>
      </c>
      <c r="AO26" s="3">
        <f>ROUNDUP('S27 Material Flow Matrix'!AW977/$G$1, 0)</f>
        <v>0</v>
      </c>
      <c r="AP26" s="3">
        <f>ROUNDUP('S27 Material Flow Matrix'!AX977/$G$1, 0)</f>
        <v>0</v>
      </c>
      <c r="AQ26" s="3">
        <f>ROUNDUP('S27 Material Flow Matrix'!AY977/$G$1, 0)</f>
        <v>0</v>
      </c>
      <c r="AR26" s="3">
        <f>ROUNDUP('S27 Material Flow Matrix'!AZ977/$G$1, 0)</f>
        <v>0</v>
      </c>
      <c r="AS26" s="3">
        <f>ROUNDUP('S27 Material Flow Matrix'!BA977/$G$1, 0)</f>
        <v>0</v>
      </c>
    </row>
    <row r="27" spans="1:45">
      <c r="A27" s="392" t="s">
        <v>1078</v>
      </c>
      <c r="B27" s="3">
        <f>ROUNDUP('S27 Material Flow Matrix'!J978/$G$1, 0)</f>
        <v>0</v>
      </c>
      <c r="C27" s="3">
        <f>ROUNDUP('S27 Material Flow Matrix'!K978/$G$1, 0)</f>
        <v>0</v>
      </c>
      <c r="D27" s="3">
        <f>ROUNDUP('S27 Material Flow Matrix'!L978/$G$1, 0)</f>
        <v>0</v>
      </c>
      <c r="E27" s="3">
        <f>ROUNDUP('S27 Material Flow Matrix'!M978/$G$1, 0)</f>
        <v>0</v>
      </c>
      <c r="F27" s="3">
        <f>ROUNDUP('S27 Material Flow Matrix'!N978/$G$1, 0)</f>
        <v>0</v>
      </c>
      <c r="G27" s="3">
        <f>ROUNDUP('S27 Material Flow Matrix'!O978/$G$1, 0)</f>
        <v>0</v>
      </c>
      <c r="H27" s="3">
        <f>ROUNDUP('S27 Material Flow Matrix'!P978/$G$1, 0)</f>
        <v>0</v>
      </c>
      <c r="I27" s="3">
        <f>ROUNDUP('S27 Material Flow Matrix'!Q978/$G$1, 0)</f>
        <v>0</v>
      </c>
      <c r="J27" s="3">
        <f>ROUNDUP('S27 Material Flow Matrix'!R978/$G$1, 0)</f>
        <v>0</v>
      </c>
      <c r="K27" s="3">
        <f>ROUNDUP('S27 Material Flow Matrix'!S978/$G$1, 0)</f>
        <v>0</v>
      </c>
      <c r="L27" s="3">
        <f>ROUNDUP('S27 Material Flow Matrix'!T978/$G$1, 0)</f>
        <v>0</v>
      </c>
      <c r="M27" s="3">
        <f>ROUNDUP('S27 Material Flow Matrix'!U978/$G$1, 0)</f>
        <v>0</v>
      </c>
      <c r="N27" s="3">
        <f>ROUNDUP('S27 Material Flow Matrix'!V978/$G$1, 0)</f>
        <v>0</v>
      </c>
      <c r="O27" s="3">
        <f>ROUNDUP('S27 Material Flow Matrix'!W978/$G$1, 0)</f>
        <v>0</v>
      </c>
      <c r="P27" s="3">
        <f>ROUNDUP('S27 Material Flow Matrix'!X978/$G$1, 0)</f>
        <v>0</v>
      </c>
      <c r="Q27" s="3">
        <f>ROUNDUP('S27 Material Flow Matrix'!Y978/$G$1, 0)</f>
        <v>0</v>
      </c>
      <c r="R27" s="3">
        <f>ROUNDUP('S27 Material Flow Matrix'!Z978/$G$1, 0)</f>
        <v>0</v>
      </c>
      <c r="S27" s="3">
        <f>ROUNDUP('S27 Material Flow Matrix'!AA978/$G$1, 0)</f>
        <v>0</v>
      </c>
      <c r="T27" s="3">
        <f>ROUNDUP('S27 Material Flow Matrix'!AB978/$G$1, 0)</f>
        <v>0</v>
      </c>
      <c r="U27" s="3">
        <f>ROUNDUP('S27 Material Flow Matrix'!AC978/$G$1, 0)</f>
        <v>0</v>
      </c>
      <c r="V27" s="3">
        <f>ROUNDUP('S27 Material Flow Matrix'!AD978/$G$1, 0)</f>
        <v>0</v>
      </c>
      <c r="W27" s="3">
        <f>ROUNDUP('S27 Material Flow Matrix'!AE978/$G$1, 0)</f>
        <v>0</v>
      </c>
      <c r="X27" s="3">
        <f>ROUNDUP('S27 Material Flow Matrix'!AF978/$G$1, 0)</f>
        <v>0</v>
      </c>
      <c r="Y27" s="3">
        <f>ROUNDUP('S27 Material Flow Matrix'!AG978/$G$1, 0)</f>
        <v>0</v>
      </c>
      <c r="Z27" s="3">
        <f>ROUNDUP('S27 Material Flow Matrix'!AH978/$G$1, 0)</f>
        <v>0</v>
      </c>
      <c r="AA27" s="3">
        <f>ROUNDUP('S27 Material Flow Matrix'!AI978/$G$1, 0)</f>
        <v>0</v>
      </c>
      <c r="AB27" s="3">
        <f>ROUNDUP('S27 Material Flow Matrix'!AJ978/$G$1, 0)</f>
        <v>0</v>
      </c>
      <c r="AC27" s="3">
        <f>ROUNDUP('S27 Material Flow Matrix'!AK978/$G$1, 0)</f>
        <v>0</v>
      </c>
      <c r="AD27" s="3">
        <f>ROUNDUP('S27 Material Flow Matrix'!AL978/$G$1, 0)</f>
        <v>151</v>
      </c>
      <c r="AE27" s="3">
        <f>ROUNDUP('S27 Material Flow Matrix'!AM978/$G$1, 0)</f>
        <v>0</v>
      </c>
      <c r="AF27" s="3">
        <f>ROUNDUP('S27 Material Flow Matrix'!AN978/$G$1, 0)</f>
        <v>0</v>
      </c>
      <c r="AG27" s="3">
        <f>ROUNDUP('S27 Material Flow Matrix'!AO978/$G$1, 0)</f>
        <v>0</v>
      </c>
      <c r="AH27" s="3">
        <f>ROUNDUP('S27 Material Flow Matrix'!AP978/$G$1, 0)</f>
        <v>0</v>
      </c>
      <c r="AI27" s="3">
        <f>ROUNDUP('S27 Material Flow Matrix'!AQ978/$G$1, 0)</f>
        <v>0</v>
      </c>
      <c r="AJ27" s="3">
        <f>ROUNDUP('S27 Material Flow Matrix'!AR978/$G$1, 0)</f>
        <v>0</v>
      </c>
      <c r="AK27" s="3">
        <f>ROUNDUP('S27 Material Flow Matrix'!AS978/$G$1, 0)</f>
        <v>0</v>
      </c>
      <c r="AL27" s="3">
        <f>ROUNDUP('S27 Material Flow Matrix'!AT978/$G$1, 0)</f>
        <v>0</v>
      </c>
      <c r="AM27" s="3">
        <f>ROUNDUP('S27 Material Flow Matrix'!AU978/$G$1, 0)</f>
        <v>0</v>
      </c>
      <c r="AN27" s="3">
        <f>ROUNDUP('S27 Material Flow Matrix'!AV978/$G$1, 0)</f>
        <v>0</v>
      </c>
      <c r="AO27" s="3">
        <f>ROUNDUP('S27 Material Flow Matrix'!AW978/$G$1, 0)</f>
        <v>0</v>
      </c>
      <c r="AP27" s="3">
        <f>ROUNDUP('S27 Material Flow Matrix'!AX978/$G$1, 0)</f>
        <v>0</v>
      </c>
      <c r="AQ27" s="3">
        <f>ROUNDUP('S27 Material Flow Matrix'!AY978/$G$1, 0)</f>
        <v>0</v>
      </c>
      <c r="AR27" s="3">
        <f>ROUNDUP('S27 Material Flow Matrix'!AZ978/$G$1, 0)</f>
        <v>0</v>
      </c>
      <c r="AS27" s="3">
        <f>ROUNDUP('S27 Material Flow Matrix'!BA978/$G$1, 0)</f>
        <v>0</v>
      </c>
    </row>
    <row r="28" spans="1:45">
      <c r="A28" s="392" t="s">
        <v>1080</v>
      </c>
      <c r="B28" s="3">
        <f>ROUNDUP('S27 Material Flow Matrix'!J979/$G$1, 0)</f>
        <v>0</v>
      </c>
      <c r="C28" s="3">
        <f>ROUNDUP('S27 Material Flow Matrix'!K979/$G$1, 0)</f>
        <v>0</v>
      </c>
      <c r="D28" s="3">
        <f>ROUNDUP('S27 Material Flow Matrix'!L979/$G$1, 0)</f>
        <v>0</v>
      </c>
      <c r="E28" s="3">
        <f>ROUNDUP('S27 Material Flow Matrix'!M979/$G$1, 0)</f>
        <v>0</v>
      </c>
      <c r="F28" s="3">
        <f>ROUNDUP('S27 Material Flow Matrix'!N979/$G$1, 0)</f>
        <v>0</v>
      </c>
      <c r="G28" s="3">
        <f>ROUNDUP('S27 Material Flow Matrix'!O979/$G$1, 0)</f>
        <v>0</v>
      </c>
      <c r="H28" s="3">
        <f>ROUNDUP('S27 Material Flow Matrix'!P979/$G$1, 0)</f>
        <v>0</v>
      </c>
      <c r="I28" s="3">
        <f>ROUNDUP('S27 Material Flow Matrix'!Q979/$G$1, 0)</f>
        <v>0</v>
      </c>
      <c r="J28" s="3">
        <f>ROUNDUP('S27 Material Flow Matrix'!R979/$G$1, 0)</f>
        <v>0</v>
      </c>
      <c r="K28" s="3">
        <f>ROUNDUP('S27 Material Flow Matrix'!S979/$G$1, 0)</f>
        <v>0</v>
      </c>
      <c r="L28" s="3">
        <f>ROUNDUP('S27 Material Flow Matrix'!T979/$G$1, 0)</f>
        <v>0</v>
      </c>
      <c r="M28" s="3">
        <f>ROUNDUP('S27 Material Flow Matrix'!U979/$G$1, 0)</f>
        <v>0</v>
      </c>
      <c r="N28" s="3">
        <f>ROUNDUP('S27 Material Flow Matrix'!V979/$G$1, 0)</f>
        <v>0</v>
      </c>
      <c r="O28" s="3">
        <f>ROUNDUP('S27 Material Flow Matrix'!W979/$G$1, 0)</f>
        <v>0</v>
      </c>
      <c r="P28" s="3">
        <f>ROUNDUP('S27 Material Flow Matrix'!X979/$G$1, 0)</f>
        <v>0</v>
      </c>
      <c r="Q28" s="3">
        <f>ROUNDUP('S27 Material Flow Matrix'!Y979/$G$1, 0)</f>
        <v>0</v>
      </c>
      <c r="R28" s="3">
        <f>ROUNDUP('S27 Material Flow Matrix'!Z979/$G$1, 0)</f>
        <v>0</v>
      </c>
      <c r="S28" s="3">
        <f>ROUNDUP('S27 Material Flow Matrix'!AA979/$G$1, 0)</f>
        <v>0</v>
      </c>
      <c r="T28" s="3">
        <f>ROUNDUP('S27 Material Flow Matrix'!AB979/$G$1, 0)</f>
        <v>0</v>
      </c>
      <c r="U28" s="3">
        <f>ROUNDUP('S27 Material Flow Matrix'!AC979/$G$1, 0)</f>
        <v>0</v>
      </c>
      <c r="V28" s="3">
        <f>ROUNDUP('S27 Material Flow Matrix'!AD979/$G$1, 0)</f>
        <v>0</v>
      </c>
      <c r="W28" s="3">
        <f>ROUNDUP('S27 Material Flow Matrix'!AE979/$G$1, 0)</f>
        <v>0</v>
      </c>
      <c r="X28" s="3">
        <f>ROUNDUP('S27 Material Flow Matrix'!AF979/$G$1, 0)</f>
        <v>0</v>
      </c>
      <c r="Y28" s="3">
        <f>ROUNDUP('S27 Material Flow Matrix'!AG979/$G$1, 0)</f>
        <v>0</v>
      </c>
      <c r="Z28" s="3">
        <f>ROUNDUP('S27 Material Flow Matrix'!AH979/$G$1, 0)</f>
        <v>0</v>
      </c>
      <c r="AA28" s="3">
        <f>ROUNDUP('S27 Material Flow Matrix'!AI979/$G$1, 0)</f>
        <v>0</v>
      </c>
      <c r="AB28" s="3">
        <f>ROUNDUP('S27 Material Flow Matrix'!AJ979/$G$1, 0)</f>
        <v>0</v>
      </c>
      <c r="AC28" s="3">
        <f>ROUNDUP('S27 Material Flow Matrix'!AK979/$G$1, 0)</f>
        <v>0</v>
      </c>
      <c r="AD28" s="3">
        <f>ROUNDUP('S27 Material Flow Matrix'!AL979/$G$1, 0)</f>
        <v>0</v>
      </c>
      <c r="AE28" s="3">
        <f>ROUNDUP('S27 Material Flow Matrix'!AM979/$G$1, 0)</f>
        <v>0</v>
      </c>
      <c r="AF28" s="3">
        <f>ROUNDUP('S27 Material Flow Matrix'!AN979/$G$1, 0)</f>
        <v>0</v>
      </c>
      <c r="AG28" s="3">
        <f>ROUNDUP('S27 Material Flow Matrix'!AO979/$G$1, 0)</f>
        <v>0</v>
      </c>
      <c r="AH28" s="3">
        <f>ROUNDUP('S27 Material Flow Matrix'!AP979/$G$1, 0)</f>
        <v>0</v>
      </c>
      <c r="AI28" s="3">
        <f>ROUNDUP('S27 Material Flow Matrix'!AQ979/$G$1, 0)</f>
        <v>213</v>
      </c>
      <c r="AJ28" s="3">
        <f>ROUNDUP('S27 Material Flow Matrix'!AR979/$G$1, 0)</f>
        <v>0</v>
      </c>
      <c r="AK28" s="3">
        <f>ROUNDUP('S27 Material Flow Matrix'!AS979/$G$1, 0)</f>
        <v>0</v>
      </c>
      <c r="AL28" s="3">
        <f>ROUNDUP('S27 Material Flow Matrix'!AT979/$G$1, 0)</f>
        <v>0</v>
      </c>
      <c r="AM28" s="3">
        <f>ROUNDUP('S27 Material Flow Matrix'!AU979/$G$1, 0)</f>
        <v>0</v>
      </c>
      <c r="AN28" s="3">
        <f>ROUNDUP('S27 Material Flow Matrix'!AV979/$G$1, 0)</f>
        <v>0</v>
      </c>
      <c r="AO28" s="3">
        <f>ROUNDUP('S27 Material Flow Matrix'!AW979/$G$1, 0)</f>
        <v>0</v>
      </c>
      <c r="AP28" s="3">
        <f>ROUNDUP('S27 Material Flow Matrix'!AX979/$G$1, 0)</f>
        <v>0</v>
      </c>
      <c r="AQ28" s="3">
        <f>ROUNDUP('S27 Material Flow Matrix'!AY979/$G$1, 0)</f>
        <v>0</v>
      </c>
      <c r="AR28" s="3">
        <f>ROUNDUP('S27 Material Flow Matrix'!AZ979/$G$1, 0)</f>
        <v>0</v>
      </c>
      <c r="AS28" s="3">
        <f>ROUNDUP('S27 Material Flow Matrix'!BA979/$G$1, 0)</f>
        <v>0</v>
      </c>
    </row>
    <row r="29" spans="1:45">
      <c r="A29" s="392" t="s">
        <v>1082</v>
      </c>
      <c r="B29" s="3">
        <f>ROUNDUP('S27 Material Flow Matrix'!J980/$G$1, 0)</f>
        <v>0</v>
      </c>
      <c r="C29" s="3">
        <f>ROUNDUP('S27 Material Flow Matrix'!K980/$G$1, 0)</f>
        <v>0</v>
      </c>
      <c r="D29" s="3">
        <f>ROUNDUP('S27 Material Flow Matrix'!L980/$G$1, 0)</f>
        <v>0</v>
      </c>
      <c r="E29" s="3">
        <f>ROUNDUP('S27 Material Flow Matrix'!M980/$G$1, 0)</f>
        <v>0</v>
      </c>
      <c r="F29" s="3">
        <f>ROUNDUP('S27 Material Flow Matrix'!N980/$G$1, 0)</f>
        <v>0</v>
      </c>
      <c r="G29" s="3">
        <f>ROUNDUP('S27 Material Flow Matrix'!O980/$G$1, 0)</f>
        <v>0</v>
      </c>
      <c r="H29" s="3">
        <f>ROUNDUP('S27 Material Flow Matrix'!P980/$G$1, 0)</f>
        <v>0</v>
      </c>
      <c r="I29" s="3">
        <f>ROUNDUP('S27 Material Flow Matrix'!Q980/$G$1, 0)</f>
        <v>0</v>
      </c>
      <c r="J29" s="3">
        <f>ROUNDUP('S27 Material Flow Matrix'!R980/$G$1, 0)</f>
        <v>0</v>
      </c>
      <c r="K29" s="3">
        <f>ROUNDUP('S27 Material Flow Matrix'!S980/$G$1, 0)</f>
        <v>0</v>
      </c>
      <c r="L29" s="3">
        <f>ROUNDUP('S27 Material Flow Matrix'!T980/$G$1, 0)</f>
        <v>0</v>
      </c>
      <c r="M29" s="3">
        <f>ROUNDUP('S27 Material Flow Matrix'!U980/$G$1, 0)</f>
        <v>0</v>
      </c>
      <c r="N29" s="3">
        <f>ROUNDUP('S27 Material Flow Matrix'!V980/$G$1, 0)</f>
        <v>0</v>
      </c>
      <c r="O29" s="3">
        <f>ROUNDUP('S27 Material Flow Matrix'!W980/$G$1, 0)</f>
        <v>0</v>
      </c>
      <c r="P29" s="3">
        <f>ROUNDUP('S27 Material Flow Matrix'!X980/$G$1, 0)</f>
        <v>0</v>
      </c>
      <c r="Q29" s="3">
        <f>ROUNDUP('S27 Material Flow Matrix'!Y980/$G$1, 0)</f>
        <v>0</v>
      </c>
      <c r="R29" s="3">
        <f>ROUNDUP('S27 Material Flow Matrix'!Z980/$G$1, 0)</f>
        <v>0</v>
      </c>
      <c r="S29" s="3">
        <f>ROUNDUP('S27 Material Flow Matrix'!AA980/$G$1, 0)</f>
        <v>0</v>
      </c>
      <c r="T29" s="3">
        <f>ROUNDUP('S27 Material Flow Matrix'!AB980/$G$1, 0)</f>
        <v>0</v>
      </c>
      <c r="U29" s="3">
        <f>ROUNDUP('S27 Material Flow Matrix'!AC980/$G$1, 0)</f>
        <v>0</v>
      </c>
      <c r="V29" s="3">
        <f>ROUNDUP('S27 Material Flow Matrix'!AD980/$G$1, 0)</f>
        <v>0</v>
      </c>
      <c r="W29" s="3">
        <f>ROUNDUP('S27 Material Flow Matrix'!AE980/$G$1, 0)</f>
        <v>0</v>
      </c>
      <c r="X29" s="3">
        <f>ROUNDUP('S27 Material Flow Matrix'!AF980/$G$1, 0)</f>
        <v>0</v>
      </c>
      <c r="Y29" s="3">
        <f>ROUNDUP('S27 Material Flow Matrix'!AG980/$G$1, 0)</f>
        <v>0</v>
      </c>
      <c r="Z29" s="3">
        <f>ROUNDUP('S27 Material Flow Matrix'!AH980/$G$1, 0)</f>
        <v>0</v>
      </c>
      <c r="AA29" s="3">
        <f>ROUNDUP('S27 Material Flow Matrix'!AI980/$G$1, 0)</f>
        <v>0</v>
      </c>
      <c r="AB29" s="3">
        <f>ROUNDUP('S27 Material Flow Matrix'!AJ980/$G$1, 0)</f>
        <v>0</v>
      </c>
      <c r="AC29" s="3">
        <f>ROUNDUP('S27 Material Flow Matrix'!AK980/$G$1, 0)</f>
        <v>0</v>
      </c>
      <c r="AD29" s="3">
        <f>ROUNDUP('S27 Material Flow Matrix'!AL980/$G$1, 0)</f>
        <v>0</v>
      </c>
      <c r="AE29" s="3">
        <f>ROUNDUP('S27 Material Flow Matrix'!AM980/$G$1, 0)</f>
        <v>0</v>
      </c>
      <c r="AF29" s="3">
        <f>ROUNDUP('S27 Material Flow Matrix'!AN980/$G$1, 0)</f>
        <v>0</v>
      </c>
      <c r="AG29" s="3">
        <f>ROUNDUP('S27 Material Flow Matrix'!AO980/$G$1, 0)</f>
        <v>69</v>
      </c>
      <c r="AH29" s="3">
        <f>ROUNDUP('S27 Material Flow Matrix'!AP980/$G$1, 0)</f>
        <v>0</v>
      </c>
      <c r="AI29" s="3">
        <f>ROUNDUP('S27 Material Flow Matrix'!AQ980/$G$1, 0)</f>
        <v>0</v>
      </c>
      <c r="AJ29" s="3">
        <f>ROUNDUP('S27 Material Flow Matrix'!AR980/$G$1, 0)</f>
        <v>0</v>
      </c>
      <c r="AK29" s="3">
        <f>ROUNDUP('S27 Material Flow Matrix'!AS980/$G$1, 0)</f>
        <v>0</v>
      </c>
      <c r="AL29" s="3">
        <f>ROUNDUP('S27 Material Flow Matrix'!AT980/$G$1, 0)</f>
        <v>0</v>
      </c>
      <c r="AM29" s="3">
        <f>ROUNDUP('S27 Material Flow Matrix'!AU980/$G$1, 0)</f>
        <v>0</v>
      </c>
      <c r="AN29" s="3">
        <f>ROUNDUP('S27 Material Flow Matrix'!AV980/$G$1, 0)</f>
        <v>0</v>
      </c>
      <c r="AO29" s="3">
        <f>ROUNDUP('S27 Material Flow Matrix'!AW980/$G$1, 0)</f>
        <v>0</v>
      </c>
      <c r="AP29" s="3">
        <f>ROUNDUP('S27 Material Flow Matrix'!AX980/$G$1, 0)</f>
        <v>0</v>
      </c>
      <c r="AQ29" s="3">
        <f>ROUNDUP('S27 Material Flow Matrix'!AY980/$G$1, 0)</f>
        <v>0</v>
      </c>
      <c r="AR29" s="3">
        <f>ROUNDUP('S27 Material Flow Matrix'!AZ980/$G$1, 0)</f>
        <v>0</v>
      </c>
      <c r="AS29" s="3">
        <f>ROUNDUP('S27 Material Flow Matrix'!BA980/$G$1, 0)</f>
        <v>0</v>
      </c>
    </row>
    <row r="30" spans="1:45">
      <c r="A30" s="392" t="s">
        <v>1083</v>
      </c>
      <c r="B30" s="3">
        <f>ROUNDUP('S27 Material Flow Matrix'!J981/$G$1, 0)</f>
        <v>0</v>
      </c>
      <c r="C30" s="3">
        <f>ROUNDUP('S27 Material Flow Matrix'!K981/$G$1, 0)</f>
        <v>0</v>
      </c>
      <c r="D30" s="3">
        <f>ROUNDUP('S27 Material Flow Matrix'!L981/$G$1, 0)</f>
        <v>0</v>
      </c>
      <c r="E30" s="3">
        <f>ROUNDUP('S27 Material Flow Matrix'!M981/$G$1, 0)</f>
        <v>0</v>
      </c>
      <c r="F30" s="3">
        <f>ROUNDUP('S27 Material Flow Matrix'!N981/$G$1, 0)</f>
        <v>0</v>
      </c>
      <c r="G30" s="3">
        <f>ROUNDUP('S27 Material Flow Matrix'!O981/$G$1, 0)</f>
        <v>0</v>
      </c>
      <c r="H30" s="3">
        <f>ROUNDUP('S27 Material Flow Matrix'!P981/$G$1, 0)</f>
        <v>0</v>
      </c>
      <c r="I30" s="3">
        <f>ROUNDUP('S27 Material Flow Matrix'!Q981/$G$1, 0)</f>
        <v>0</v>
      </c>
      <c r="J30" s="3">
        <f>ROUNDUP('S27 Material Flow Matrix'!R981/$G$1, 0)</f>
        <v>0</v>
      </c>
      <c r="K30" s="3">
        <f>ROUNDUP('S27 Material Flow Matrix'!S981/$G$1, 0)</f>
        <v>0</v>
      </c>
      <c r="L30" s="3">
        <f>ROUNDUP('S27 Material Flow Matrix'!T981/$G$1, 0)</f>
        <v>0</v>
      </c>
      <c r="M30" s="3">
        <f>ROUNDUP('S27 Material Flow Matrix'!U981/$G$1, 0)</f>
        <v>0</v>
      </c>
      <c r="N30" s="3">
        <f>ROUNDUP('S27 Material Flow Matrix'!V981/$G$1, 0)</f>
        <v>0</v>
      </c>
      <c r="O30" s="3">
        <f>ROUNDUP('S27 Material Flow Matrix'!W981/$G$1, 0)</f>
        <v>0</v>
      </c>
      <c r="P30" s="3">
        <f>ROUNDUP('S27 Material Flow Matrix'!X981/$G$1, 0)</f>
        <v>0</v>
      </c>
      <c r="Q30" s="3">
        <f>ROUNDUP('S27 Material Flow Matrix'!Y981/$G$1, 0)</f>
        <v>0</v>
      </c>
      <c r="R30" s="3">
        <f>ROUNDUP('S27 Material Flow Matrix'!Z981/$G$1, 0)</f>
        <v>0</v>
      </c>
      <c r="S30" s="3">
        <f>ROUNDUP('S27 Material Flow Matrix'!AA981/$G$1, 0)</f>
        <v>0</v>
      </c>
      <c r="T30" s="3">
        <f>ROUNDUP('S27 Material Flow Matrix'!AB981/$G$1, 0)</f>
        <v>0</v>
      </c>
      <c r="U30" s="3">
        <f>ROUNDUP('S27 Material Flow Matrix'!AC981/$G$1, 0)</f>
        <v>0</v>
      </c>
      <c r="V30" s="3">
        <f>ROUNDUP('S27 Material Flow Matrix'!AD981/$G$1, 0)</f>
        <v>0</v>
      </c>
      <c r="W30" s="3">
        <f>ROUNDUP('S27 Material Flow Matrix'!AE981/$G$1, 0)</f>
        <v>0</v>
      </c>
      <c r="X30" s="3">
        <f>ROUNDUP('S27 Material Flow Matrix'!AF981/$G$1, 0)</f>
        <v>0</v>
      </c>
      <c r="Y30" s="3">
        <f>ROUNDUP('S27 Material Flow Matrix'!AG981/$G$1, 0)</f>
        <v>0</v>
      </c>
      <c r="Z30" s="3">
        <f>ROUNDUP('S27 Material Flow Matrix'!AH981/$G$1, 0)</f>
        <v>0</v>
      </c>
      <c r="AA30" s="3">
        <f>ROUNDUP('S27 Material Flow Matrix'!AI981/$G$1, 0)</f>
        <v>0</v>
      </c>
      <c r="AB30" s="3">
        <f>ROUNDUP('S27 Material Flow Matrix'!AJ981/$G$1, 0)</f>
        <v>0</v>
      </c>
      <c r="AC30" s="3">
        <f>ROUNDUP('S27 Material Flow Matrix'!AK981/$G$1, 0)</f>
        <v>0</v>
      </c>
      <c r="AD30" s="3">
        <f>ROUNDUP('S27 Material Flow Matrix'!AL981/$G$1, 0)</f>
        <v>0</v>
      </c>
      <c r="AE30" s="3">
        <f>ROUNDUP('S27 Material Flow Matrix'!AM981/$G$1, 0)</f>
        <v>0</v>
      </c>
      <c r="AF30" s="3">
        <f>ROUNDUP('S27 Material Flow Matrix'!AN981/$G$1, 0)</f>
        <v>0</v>
      </c>
      <c r="AG30" s="3">
        <f>ROUNDUP('S27 Material Flow Matrix'!AO981/$G$1, 0)</f>
        <v>89</v>
      </c>
      <c r="AH30" s="3">
        <f>ROUNDUP('S27 Material Flow Matrix'!AP981/$G$1, 0)</f>
        <v>0</v>
      </c>
      <c r="AI30" s="3">
        <f>ROUNDUP('S27 Material Flow Matrix'!AQ981/$G$1, 0)</f>
        <v>0</v>
      </c>
      <c r="AJ30" s="3">
        <f>ROUNDUP('S27 Material Flow Matrix'!AR981/$G$1, 0)</f>
        <v>0</v>
      </c>
      <c r="AK30" s="3">
        <f>ROUNDUP('S27 Material Flow Matrix'!AS981/$G$1, 0)</f>
        <v>0</v>
      </c>
      <c r="AL30" s="3">
        <f>ROUNDUP('S27 Material Flow Matrix'!AT981/$G$1, 0)</f>
        <v>0</v>
      </c>
      <c r="AM30" s="3">
        <f>ROUNDUP('S27 Material Flow Matrix'!AU981/$G$1, 0)</f>
        <v>0</v>
      </c>
      <c r="AN30" s="3">
        <f>ROUNDUP('S27 Material Flow Matrix'!AV981/$G$1, 0)</f>
        <v>0</v>
      </c>
      <c r="AO30" s="3">
        <f>ROUNDUP('S27 Material Flow Matrix'!AW981/$G$1, 0)</f>
        <v>0</v>
      </c>
      <c r="AP30" s="3">
        <f>ROUNDUP('S27 Material Flow Matrix'!AX981/$G$1, 0)</f>
        <v>0</v>
      </c>
      <c r="AQ30" s="3">
        <f>ROUNDUP('S27 Material Flow Matrix'!AY981/$G$1, 0)</f>
        <v>0</v>
      </c>
      <c r="AR30" s="3">
        <f>ROUNDUP('S27 Material Flow Matrix'!AZ981/$G$1, 0)</f>
        <v>0</v>
      </c>
      <c r="AS30" s="3">
        <f>ROUNDUP('S27 Material Flow Matrix'!BA981/$G$1, 0)</f>
        <v>0</v>
      </c>
    </row>
    <row r="31" spans="1:45">
      <c r="A31" s="392" t="s">
        <v>1085</v>
      </c>
      <c r="B31" s="3">
        <f>ROUNDUP('S27 Material Flow Matrix'!J982/$G$1, 0)</f>
        <v>0</v>
      </c>
      <c r="C31" s="3">
        <f>ROUNDUP('S27 Material Flow Matrix'!K982/$G$1, 0)</f>
        <v>0</v>
      </c>
      <c r="D31" s="3">
        <f>ROUNDUP('S27 Material Flow Matrix'!L982/$G$1, 0)</f>
        <v>0</v>
      </c>
      <c r="E31" s="3">
        <f>ROUNDUP('S27 Material Flow Matrix'!M982/$G$1, 0)</f>
        <v>0</v>
      </c>
      <c r="F31" s="3">
        <f>ROUNDUP('S27 Material Flow Matrix'!N982/$G$1, 0)</f>
        <v>0</v>
      </c>
      <c r="G31" s="3">
        <f>ROUNDUP('S27 Material Flow Matrix'!O982/$G$1, 0)</f>
        <v>0</v>
      </c>
      <c r="H31" s="3">
        <f>ROUNDUP('S27 Material Flow Matrix'!P982/$G$1, 0)</f>
        <v>0</v>
      </c>
      <c r="I31" s="3">
        <f>ROUNDUP('S27 Material Flow Matrix'!Q982/$G$1, 0)</f>
        <v>0</v>
      </c>
      <c r="J31" s="3">
        <f>ROUNDUP('S27 Material Flow Matrix'!R982/$G$1, 0)</f>
        <v>0</v>
      </c>
      <c r="K31" s="3">
        <f>ROUNDUP('S27 Material Flow Matrix'!S982/$G$1, 0)</f>
        <v>0</v>
      </c>
      <c r="L31" s="3">
        <f>ROUNDUP('S27 Material Flow Matrix'!T982/$G$1, 0)</f>
        <v>0</v>
      </c>
      <c r="M31" s="3">
        <f>ROUNDUP('S27 Material Flow Matrix'!U982/$G$1, 0)</f>
        <v>0</v>
      </c>
      <c r="N31" s="3">
        <f>ROUNDUP('S27 Material Flow Matrix'!V982/$G$1, 0)</f>
        <v>0</v>
      </c>
      <c r="O31" s="3">
        <f>ROUNDUP('S27 Material Flow Matrix'!W982/$G$1, 0)</f>
        <v>0</v>
      </c>
      <c r="P31" s="3">
        <f>ROUNDUP('S27 Material Flow Matrix'!X982/$G$1, 0)</f>
        <v>0</v>
      </c>
      <c r="Q31" s="3">
        <f>ROUNDUP('S27 Material Flow Matrix'!Y982/$G$1, 0)</f>
        <v>0</v>
      </c>
      <c r="R31" s="3">
        <f>ROUNDUP('S27 Material Flow Matrix'!Z982/$G$1, 0)</f>
        <v>0</v>
      </c>
      <c r="S31" s="3">
        <f>ROUNDUP('S27 Material Flow Matrix'!AA982/$G$1, 0)</f>
        <v>0</v>
      </c>
      <c r="T31" s="3">
        <f>ROUNDUP('S27 Material Flow Matrix'!AB982/$G$1, 0)</f>
        <v>0</v>
      </c>
      <c r="U31" s="3">
        <f>ROUNDUP('S27 Material Flow Matrix'!AC982/$G$1, 0)</f>
        <v>0</v>
      </c>
      <c r="V31" s="3">
        <f>ROUNDUP('S27 Material Flow Matrix'!AD982/$G$1, 0)</f>
        <v>0</v>
      </c>
      <c r="W31" s="3">
        <f>ROUNDUP('S27 Material Flow Matrix'!AE982/$G$1, 0)</f>
        <v>0</v>
      </c>
      <c r="X31" s="3">
        <f>ROUNDUP('S27 Material Flow Matrix'!AF982/$G$1, 0)</f>
        <v>0</v>
      </c>
      <c r="Y31" s="3">
        <f>ROUNDUP('S27 Material Flow Matrix'!AG982/$G$1, 0)</f>
        <v>0</v>
      </c>
      <c r="Z31" s="3">
        <f>ROUNDUP('S27 Material Flow Matrix'!AH982/$G$1, 0)</f>
        <v>0</v>
      </c>
      <c r="AA31" s="3">
        <f>ROUNDUP('S27 Material Flow Matrix'!AI982/$G$1, 0)</f>
        <v>0</v>
      </c>
      <c r="AB31" s="3">
        <f>ROUNDUP('S27 Material Flow Matrix'!AJ982/$G$1, 0)</f>
        <v>89</v>
      </c>
      <c r="AC31" s="3">
        <f>ROUNDUP('S27 Material Flow Matrix'!AK982/$G$1, 0)</f>
        <v>0</v>
      </c>
      <c r="AD31" s="3">
        <f>ROUNDUP('S27 Material Flow Matrix'!AL982/$G$1, 0)</f>
        <v>0</v>
      </c>
      <c r="AE31" s="3">
        <f>ROUNDUP('S27 Material Flow Matrix'!AM982/$G$1, 0)</f>
        <v>0</v>
      </c>
      <c r="AF31" s="3">
        <f>ROUNDUP('S27 Material Flow Matrix'!AN982/$G$1, 0)</f>
        <v>0</v>
      </c>
      <c r="AG31" s="3">
        <f>ROUNDUP('S27 Material Flow Matrix'!AO982/$G$1, 0)</f>
        <v>0</v>
      </c>
      <c r="AH31" s="3">
        <f>ROUNDUP('S27 Material Flow Matrix'!AP982/$G$1, 0)</f>
        <v>0</v>
      </c>
      <c r="AI31" s="3">
        <f>ROUNDUP('S27 Material Flow Matrix'!AQ982/$G$1, 0)</f>
        <v>0</v>
      </c>
      <c r="AJ31" s="3">
        <f>ROUNDUP('S27 Material Flow Matrix'!AR982/$G$1, 0)</f>
        <v>0</v>
      </c>
      <c r="AK31" s="3">
        <f>ROUNDUP('S27 Material Flow Matrix'!AS982/$G$1, 0)</f>
        <v>0</v>
      </c>
      <c r="AL31" s="3">
        <f>ROUNDUP('S27 Material Flow Matrix'!AT982/$G$1, 0)</f>
        <v>0</v>
      </c>
      <c r="AM31" s="3">
        <f>ROUNDUP('S27 Material Flow Matrix'!AU982/$G$1, 0)</f>
        <v>0</v>
      </c>
      <c r="AN31" s="3">
        <f>ROUNDUP('S27 Material Flow Matrix'!AV982/$G$1, 0)</f>
        <v>0</v>
      </c>
      <c r="AO31" s="3">
        <f>ROUNDUP('S27 Material Flow Matrix'!AW982/$G$1, 0)</f>
        <v>0</v>
      </c>
      <c r="AP31" s="3">
        <f>ROUNDUP('S27 Material Flow Matrix'!AX982/$G$1, 0)</f>
        <v>0</v>
      </c>
      <c r="AQ31" s="3">
        <f>ROUNDUP('S27 Material Flow Matrix'!AY982/$G$1, 0)</f>
        <v>0</v>
      </c>
      <c r="AR31" s="3">
        <f>ROUNDUP('S27 Material Flow Matrix'!AZ982/$G$1, 0)</f>
        <v>0</v>
      </c>
      <c r="AS31" s="3">
        <f>ROUNDUP('S27 Material Flow Matrix'!BA982/$G$1, 0)</f>
        <v>0</v>
      </c>
    </row>
    <row r="32" spans="1:45">
      <c r="A32" s="392" t="s">
        <v>1087</v>
      </c>
      <c r="B32" s="3">
        <f>ROUNDUP('S27 Material Flow Matrix'!J983/$G$1, 0)</f>
        <v>0</v>
      </c>
      <c r="C32" s="3">
        <f>ROUNDUP('S27 Material Flow Matrix'!K983/$G$1, 0)</f>
        <v>0</v>
      </c>
      <c r="D32" s="3">
        <f>ROUNDUP('S27 Material Flow Matrix'!L983/$G$1, 0)</f>
        <v>0</v>
      </c>
      <c r="E32" s="3">
        <f>ROUNDUP('S27 Material Flow Matrix'!M983/$G$1, 0)</f>
        <v>0</v>
      </c>
      <c r="F32" s="3">
        <f>ROUNDUP('S27 Material Flow Matrix'!N983/$G$1, 0)</f>
        <v>0</v>
      </c>
      <c r="G32" s="3">
        <f>ROUNDUP('S27 Material Flow Matrix'!O983/$G$1, 0)</f>
        <v>0</v>
      </c>
      <c r="H32" s="3">
        <f>ROUNDUP('S27 Material Flow Matrix'!P983/$G$1, 0)</f>
        <v>0</v>
      </c>
      <c r="I32" s="3">
        <f>ROUNDUP('S27 Material Flow Matrix'!Q983/$G$1, 0)</f>
        <v>0</v>
      </c>
      <c r="J32" s="3">
        <f>ROUNDUP('S27 Material Flow Matrix'!R983/$G$1, 0)</f>
        <v>0</v>
      </c>
      <c r="K32" s="3">
        <f>ROUNDUP('S27 Material Flow Matrix'!S983/$G$1, 0)</f>
        <v>0</v>
      </c>
      <c r="L32" s="3">
        <f>ROUNDUP('S27 Material Flow Matrix'!T983/$G$1, 0)</f>
        <v>0</v>
      </c>
      <c r="M32" s="3">
        <f>ROUNDUP('S27 Material Flow Matrix'!U983/$G$1, 0)</f>
        <v>0</v>
      </c>
      <c r="N32" s="3">
        <f>ROUNDUP('S27 Material Flow Matrix'!V983/$G$1, 0)</f>
        <v>0</v>
      </c>
      <c r="O32" s="3">
        <f>ROUNDUP('S27 Material Flow Matrix'!W983/$G$1, 0)</f>
        <v>0</v>
      </c>
      <c r="P32" s="3">
        <f>ROUNDUP('S27 Material Flow Matrix'!X983/$G$1, 0)</f>
        <v>0</v>
      </c>
      <c r="Q32" s="3">
        <f>ROUNDUP('S27 Material Flow Matrix'!Y983/$G$1, 0)</f>
        <v>0</v>
      </c>
      <c r="R32" s="3">
        <f>ROUNDUP('S27 Material Flow Matrix'!Z983/$G$1, 0)</f>
        <v>0</v>
      </c>
      <c r="S32" s="3">
        <f>ROUNDUP('S27 Material Flow Matrix'!AA983/$G$1, 0)</f>
        <v>0</v>
      </c>
      <c r="T32" s="3">
        <f>ROUNDUP('S27 Material Flow Matrix'!AB983/$G$1, 0)</f>
        <v>0</v>
      </c>
      <c r="U32" s="3">
        <f>ROUNDUP('S27 Material Flow Matrix'!AC983/$G$1, 0)</f>
        <v>0</v>
      </c>
      <c r="V32" s="3">
        <f>ROUNDUP('S27 Material Flow Matrix'!AD983/$G$1, 0)</f>
        <v>0</v>
      </c>
      <c r="W32" s="3">
        <f>ROUNDUP('S27 Material Flow Matrix'!AE983/$G$1, 0)</f>
        <v>0</v>
      </c>
      <c r="X32" s="3">
        <f>ROUNDUP('S27 Material Flow Matrix'!AF983/$G$1, 0)</f>
        <v>0</v>
      </c>
      <c r="Y32" s="3">
        <f>ROUNDUP('S27 Material Flow Matrix'!AG983/$G$1, 0)</f>
        <v>0</v>
      </c>
      <c r="Z32" s="3">
        <f>ROUNDUP('S27 Material Flow Matrix'!AH983/$G$1, 0)</f>
        <v>0</v>
      </c>
      <c r="AA32" s="3">
        <f>ROUNDUP('S27 Material Flow Matrix'!AI983/$G$1, 0)</f>
        <v>0</v>
      </c>
      <c r="AB32" s="3">
        <f>ROUNDUP('S27 Material Flow Matrix'!AJ983/$G$1, 0)</f>
        <v>0</v>
      </c>
      <c r="AC32" s="3">
        <f>ROUNDUP('S27 Material Flow Matrix'!AK983/$G$1, 0)</f>
        <v>0</v>
      </c>
      <c r="AD32" s="3">
        <f>ROUNDUP('S27 Material Flow Matrix'!AL983/$G$1, 0)</f>
        <v>0</v>
      </c>
      <c r="AE32" s="3">
        <f>ROUNDUP('S27 Material Flow Matrix'!AM983/$G$1, 0)</f>
        <v>0</v>
      </c>
      <c r="AF32" s="3">
        <f>ROUNDUP('S27 Material Flow Matrix'!AN983/$G$1, 0)</f>
        <v>0</v>
      </c>
      <c r="AG32" s="3">
        <f>ROUNDUP('S27 Material Flow Matrix'!AO983/$G$1, 0)</f>
        <v>0</v>
      </c>
      <c r="AH32" s="3">
        <f>ROUNDUP('S27 Material Flow Matrix'!AP983/$G$1, 0)</f>
        <v>151</v>
      </c>
      <c r="AI32" s="3">
        <f>ROUNDUP('S27 Material Flow Matrix'!AQ983/$G$1, 0)</f>
        <v>0</v>
      </c>
      <c r="AJ32" s="3">
        <f>ROUNDUP('S27 Material Flow Matrix'!AR983/$G$1, 0)</f>
        <v>0</v>
      </c>
      <c r="AK32" s="3">
        <f>ROUNDUP('S27 Material Flow Matrix'!AS983/$G$1, 0)</f>
        <v>0</v>
      </c>
      <c r="AL32" s="3">
        <f>ROUNDUP('S27 Material Flow Matrix'!AT983/$G$1, 0)</f>
        <v>0</v>
      </c>
      <c r="AM32" s="3">
        <f>ROUNDUP('S27 Material Flow Matrix'!AU983/$G$1, 0)</f>
        <v>0</v>
      </c>
      <c r="AN32" s="3">
        <f>ROUNDUP('S27 Material Flow Matrix'!AV983/$G$1, 0)</f>
        <v>0</v>
      </c>
      <c r="AO32" s="3">
        <f>ROUNDUP('S27 Material Flow Matrix'!AW983/$G$1, 0)</f>
        <v>0</v>
      </c>
      <c r="AP32" s="3">
        <f>ROUNDUP('S27 Material Flow Matrix'!AX983/$G$1, 0)</f>
        <v>0</v>
      </c>
      <c r="AQ32" s="3">
        <f>ROUNDUP('S27 Material Flow Matrix'!AY983/$G$1, 0)</f>
        <v>0</v>
      </c>
      <c r="AR32" s="3">
        <f>ROUNDUP('S27 Material Flow Matrix'!AZ983/$G$1, 0)</f>
        <v>0</v>
      </c>
      <c r="AS32" s="3">
        <f>ROUNDUP('S27 Material Flow Matrix'!BA983/$G$1, 0)</f>
        <v>0</v>
      </c>
    </row>
    <row r="33" spans="1:45">
      <c r="A33" s="392" t="s">
        <v>1089</v>
      </c>
      <c r="B33" s="3">
        <f>ROUNDUP('S27 Material Flow Matrix'!J984/$G$1, 0)</f>
        <v>0</v>
      </c>
      <c r="C33" s="3">
        <f>ROUNDUP('S27 Material Flow Matrix'!K984/$G$1, 0)</f>
        <v>0</v>
      </c>
      <c r="D33" s="3">
        <f>ROUNDUP('S27 Material Flow Matrix'!L984/$G$1, 0)</f>
        <v>0</v>
      </c>
      <c r="E33" s="3">
        <f>ROUNDUP('S27 Material Flow Matrix'!M984/$G$1, 0)</f>
        <v>0</v>
      </c>
      <c r="F33" s="3">
        <f>ROUNDUP('S27 Material Flow Matrix'!N984/$G$1, 0)</f>
        <v>0</v>
      </c>
      <c r="G33" s="3">
        <f>ROUNDUP('S27 Material Flow Matrix'!O984/$G$1, 0)</f>
        <v>0</v>
      </c>
      <c r="H33" s="3">
        <f>ROUNDUP('S27 Material Flow Matrix'!P984/$G$1, 0)</f>
        <v>0</v>
      </c>
      <c r="I33" s="3">
        <f>ROUNDUP('S27 Material Flow Matrix'!Q984/$G$1, 0)</f>
        <v>0</v>
      </c>
      <c r="J33" s="3">
        <f>ROUNDUP('S27 Material Flow Matrix'!R984/$G$1, 0)</f>
        <v>0</v>
      </c>
      <c r="K33" s="3">
        <f>ROUNDUP('S27 Material Flow Matrix'!S984/$G$1, 0)</f>
        <v>0</v>
      </c>
      <c r="L33" s="3">
        <f>ROUNDUP('S27 Material Flow Matrix'!T984/$G$1, 0)</f>
        <v>0</v>
      </c>
      <c r="M33" s="3">
        <f>ROUNDUP('S27 Material Flow Matrix'!U984/$G$1, 0)</f>
        <v>0</v>
      </c>
      <c r="N33" s="3">
        <f>ROUNDUP('S27 Material Flow Matrix'!V984/$G$1, 0)</f>
        <v>0</v>
      </c>
      <c r="O33" s="3">
        <f>ROUNDUP('S27 Material Flow Matrix'!W984/$G$1, 0)</f>
        <v>0</v>
      </c>
      <c r="P33" s="3">
        <f>ROUNDUP('S27 Material Flow Matrix'!X984/$G$1, 0)</f>
        <v>0</v>
      </c>
      <c r="Q33" s="3">
        <f>ROUNDUP('S27 Material Flow Matrix'!Y984/$G$1, 0)</f>
        <v>0</v>
      </c>
      <c r="R33" s="3">
        <f>ROUNDUP('S27 Material Flow Matrix'!Z984/$G$1, 0)</f>
        <v>0</v>
      </c>
      <c r="S33" s="3">
        <f>ROUNDUP('S27 Material Flow Matrix'!AA984/$G$1, 0)</f>
        <v>0</v>
      </c>
      <c r="T33" s="3">
        <f>ROUNDUP('S27 Material Flow Matrix'!AB984/$G$1, 0)</f>
        <v>0</v>
      </c>
      <c r="U33" s="3">
        <f>ROUNDUP('S27 Material Flow Matrix'!AC984/$G$1, 0)</f>
        <v>0</v>
      </c>
      <c r="V33" s="3">
        <f>ROUNDUP('S27 Material Flow Matrix'!AD984/$G$1, 0)</f>
        <v>0</v>
      </c>
      <c r="W33" s="3">
        <f>ROUNDUP('S27 Material Flow Matrix'!AE984/$G$1, 0)</f>
        <v>0</v>
      </c>
      <c r="X33" s="3">
        <f>ROUNDUP('S27 Material Flow Matrix'!AF984/$G$1, 0)</f>
        <v>0</v>
      </c>
      <c r="Y33" s="3">
        <f>ROUNDUP('S27 Material Flow Matrix'!AG984/$G$1, 0)</f>
        <v>0</v>
      </c>
      <c r="Z33" s="3">
        <f>ROUNDUP('S27 Material Flow Matrix'!AH984/$G$1, 0)</f>
        <v>0</v>
      </c>
      <c r="AA33" s="3">
        <f>ROUNDUP('S27 Material Flow Matrix'!AI984/$G$1, 0)</f>
        <v>0</v>
      </c>
      <c r="AB33" s="3">
        <f>ROUNDUP('S27 Material Flow Matrix'!AJ984/$G$1, 0)</f>
        <v>0</v>
      </c>
      <c r="AC33" s="3">
        <f>ROUNDUP('S27 Material Flow Matrix'!AK984/$G$1, 0)</f>
        <v>0</v>
      </c>
      <c r="AD33" s="3">
        <f>ROUNDUP('S27 Material Flow Matrix'!AL984/$G$1, 0)</f>
        <v>0</v>
      </c>
      <c r="AE33" s="3">
        <f>ROUNDUP('S27 Material Flow Matrix'!AM984/$G$1, 0)</f>
        <v>0</v>
      </c>
      <c r="AF33" s="3">
        <f>ROUNDUP('S27 Material Flow Matrix'!AN984/$G$1, 0)</f>
        <v>0</v>
      </c>
      <c r="AG33" s="3">
        <f>ROUNDUP('S27 Material Flow Matrix'!AO984/$G$1, 0)</f>
        <v>0</v>
      </c>
      <c r="AH33" s="3">
        <f>ROUNDUP('S27 Material Flow Matrix'!AP984/$G$1, 0)</f>
        <v>0</v>
      </c>
      <c r="AI33" s="3">
        <f>ROUNDUP('S27 Material Flow Matrix'!AQ984/$G$1, 0)</f>
        <v>0</v>
      </c>
      <c r="AJ33" s="3">
        <f>ROUNDUP('S27 Material Flow Matrix'!AR984/$G$1, 0)</f>
        <v>0</v>
      </c>
      <c r="AK33" s="3">
        <f>ROUNDUP('S27 Material Flow Matrix'!AS984/$G$1, 0)</f>
        <v>0</v>
      </c>
      <c r="AL33" s="3">
        <f>ROUNDUP('S27 Material Flow Matrix'!AT984/$G$1, 0)</f>
        <v>0</v>
      </c>
      <c r="AM33" s="3">
        <f>ROUNDUP('S27 Material Flow Matrix'!AU984/$G$1, 0)</f>
        <v>0</v>
      </c>
      <c r="AN33" s="3">
        <f>ROUNDUP('S27 Material Flow Matrix'!AV984/$G$1, 0)</f>
        <v>0</v>
      </c>
      <c r="AO33" s="3">
        <f>ROUNDUP('S27 Material Flow Matrix'!AW984/$G$1, 0)</f>
        <v>0</v>
      </c>
      <c r="AP33" s="3">
        <f>ROUNDUP('S27 Material Flow Matrix'!AX984/$G$1, 0)</f>
        <v>0</v>
      </c>
      <c r="AQ33" s="3">
        <f>ROUNDUP('S27 Material Flow Matrix'!AY984/$G$1, 0)</f>
        <v>0</v>
      </c>
      <c r="AR33" s="3">
        <f>ROUNDUP('S27 Material Flow Matrix'!AZ984/$G$1, 0)</f>
        <v>0</v>
      </c>
      <c r="AS33" s="3">
        <f>ROUNDUP('S27 Material Flow Matrix'!BA984/$G$1, 0)</f>
        <v>0</v>
      </c>
    </row>
    <row r="34" spans="1:45">
      <c r="A34" s="392" t="s">
        <v>1091</v>
      </c>
      <c r="B34" s="3">
        <f>ROUNDUP('S27 Material Flow Matrix'!J985/$G$1, 0)</f>
        <v>0</v>
      </c>
      <c r="C34" s="3">
        <f>ROUNDUP('S27 Material Flow Matrix'!K985/$G$1, 0)</f>
        <v>0</v>
      </c>
      <c r="D34" s="3">
        <f>ROUNDUP('S27 Material Flow Matrix'!L985/$G$1, 0)</f>
        <v>0</v>
      </c>
      <c r="E34" s="3">
        <f>ROUNDUP('S27 Material Flow Matrix'!M985/$G$1, 0)</f>
        <v>0</v>
      </c>
      <c r="F34" s="3">
        <f>ROUNDUP('S27 Material Flow Matrix'!N985/$G$1, 0)</f>
        <v>0</v>
      </c>
      <c r="G34" s="3">
        <f>ROUNDUP('S27 Material Flow Matrix'!O985/$G$1, 0)</f>
        <v>0</v>
      </c>
      <c r="H34" s="3">
        <f>ROUNDUP('S27 Material Flow Matrix'!P985/$G$1, 0)</f>
        <v>0</v>
      </c>
      <c r="I34" s="3">
        <f>ROUNDUP('S27 Material Flow Matrix'!Q985/$G$1, 0)</f>
        <v>0</v>
      </c>
      <c r="J34" s="3">
        <f>ROUNDUP('S27 Material Flow Matrix'!R985/$G$1, 0)</f>
        <v>0</v>
      </c>
      <c r="K34" s="3">
        <f>ROUNDUP('S27 Material Flow Matrix'!S985/$G$1, 0)</f>
        <v>0</v>
      </c>
      <c r="L34" s="3">
        <f>ROUNDUP('S27 Material Flow Matrix'!T985/$G$1, 0)</f>
        <v>0</v>
      </c>
      <c r="M34" s="3">
        <f>ROUNDUP('S27 Material Flow Matrix'!U985/$G$1, 0)</f>
        <v>0</v>
      </c>
      <c r="N34" s="3">
        <f>ROUNDUP('S27 Material Flow Matrix'!V985/$G$1, 0)</f>
        <v>0</v>
      </c>
      <c r="O34" s="3">
        <f>ROUNDUP('S27 Material Flow Matrix'!W985/$G$1, 0)</f>
        <v>0</v>
      </c>
      <c r="P34" s="3">
        <f>ROUNDUP('S27 Material Flow Matrix'!X985/$G$1, 0)</f>
        <v>0</v>
      </c>
      <c r="Q34" s="3">
        <f>ROUNDUP('S27 Material Flow Matrix'!Y985/$G$1, 0)</f>
        <v>0</v>
      </c>
      <c r="R34" s="3">
        <f>ROUNDUP('S27 Material Flow Matrix'!Z985/$G$1, 0)</f>
        <v>0</v>
      </c>
      <c r="S34" s="3">
        <f>ROUNDUP('S27 Material Flow Matrix'!AA985/$G$1, 0)</f>
        <v>0</v>
      </c>
      <c r="T34" s="3">
        <f>ROUNDUP('S27 Material Flow Matrix'!AB985/$G$1, 0)</f>
        <v>0</v>
      </c>
      <c r="U34" s="3">
        <f>ROUNDUP('S27 Material Flow Matrix'!AC985/$G$1, 0)</f>
        <v>0</v>
      </c>
      <c r="V34" s="3">
        <f>ROUNDUP('S27 Material Flow Matrix'!AD985/$G$1, 0)</f>
        <v>0</v>
      </c>
      <c r="W34" s="3">
        <f>ROUNDUP('S27 Material Flow Matrix'!AE985/$G$1, 0)</f>
        <v>0</v>
      </c>
      <c r="X34" s="3">
        <f>ROUNDUP('S27 Material Flow Matrix'!AF985/$G$1, 0)</f>
        <v>0</v>
      </c>
      <c r="Y34" s="3">
        <f>ROUNDUP('S27 Material Flow Matrix'!AG985/$G$1, 0)</f>
        <v>0</v>
      </c>
      <c r="Z34" s="3">
        <f>ROUNDUP('S27 Material Flow Matrix'!AH985/$G$1, 0)</f>
        <v>0</v>
      </c>
      <c r="AA34" s="3">
        <f>ROUNDUP('S27 Material Flow Matrix'!AI985/$G$1, 0)</f>
        <v>0</v>
      </c>
      <c r="AB34" s="3">
        <f>ROUNDUP('S27 Material Flow Matrix'!AJ985/$G$1, 0)</f>
        <v>0</v>
      </c>
      <c r="AC34" s="3">
        <f>ROUNDUP('S27 Material Flow Matrix'!AK985/$G$1, 0)</f>
        <v>0</v>
      </c>
      <c r="AD34" s="3">
        <f>ROUNDUP('S27 Material Flow Matrix'!AL985/$G$1, 0)</f>
        <v>0</v>
      </c>
      <c r="AE34" s="3">
        <f>ROUNDUP('S27 Material Flow Matrix'!AM985/$G$1, 0)</f>
        <v>0</v>
      </c>
      <c r="AF34" s="3">
        <f>ROUNDUP('S27 Material Flow Matrix'!AN985/$G$1, 0)</f>
        <v>0</v>
      </c>
      <c r="AG34" s="3">
        <f>ROUNDUP('S27 Material Flow Matrix'!AO985/$G$1, 0)</f>
        <v>71</v>
      </c>
      <c r="AH34" s="3">
        <f>ROUNDUP('S27 Material Flow Matrix'!AP985/$G$1, 0)</f>
        <v>0</v>
      </c>
      <c r="AI34" s="3">
        <f>ROUNDUP('S27 Material Flow Matrix'!AQ985/$G$1, 0)</f>
        <v>0</v>
      </c>
      <c r="AJ34" s="3">
        <f>ROUNDUP('S27 Material Flow Matrix'!AR985/$G$1, 0)</f>
        <v>0</v>
      </c>
      <c r="AK34" s="3">
        <f>ROUNDUP('S27 Material Flow Matrix'!AS985/$G$1, 0)</f>
        <v>0</v>
      </c>
      <c r="AL34" s="3">
        <f>ROUNDUP('S27 Material Flow Matrix'!AT985/$G$1, 0)</f>
        <v>0</v>
      </c>
      <c r="AM34" s="3">
        <f>ROUNDUP('S27 Material Flow Matrix'!AU985/$G$1, 0)</f>
        <v>0</v>
      </c>
      <c r="AN34" s="3">
        <f>ROUNDUP('S27 Material Flow Matrix'!AV985/$G$1, 0)</f>
        <v>0</v>
      </c>
      <c r="AO34" s="3">
        <f>ROUNDUP('S27 Material Flow Matrix'!AW985/$G$1, 0)</f>
        <v>0</v>
      </c>
      <c r="AP34" s="3">
        <f>ROUNDUP('S27 Material Flow Matrix'!AX985/$G$1, 0)</f>
        <v>0</v>
      </c>
      <c r="AQ34" s="3">
        <f>ROUNDUP('S27 Material Flow Matrix'!AY985/$G$1, 0)</f>
        <v>0</v>
      </c>
      <c r="AR34" s="3">
        <f>ROUNDUP('S27 Material Flow Matrix'!AZ985/$G$1, 0)</f>
        <v>0</v>
      </c>
      <c r="AS34" s="3">
        <f>ROUNDUP('S27 Material Flow Matrix'!BA985/$G$1, 0)</f>
        <v>0</v>
      </c>
    </row>
    <row r="35" spans="1:45">
      <c r="A35" s="392" t="s">
        <v>1093</v>
      </c>
      <c r="B35" s="3">
        <f>ROUNDUP('S27 Material Flow Matrix'!J986/$G$1, 0)</f>
        <v>0</v>
      </c>
      <c r="C35" s="3">
        <f>ROUNDUP('S27 Material Flow Matrix'!K986/$G$1, 0)</f>
        <v>0</v>
      </c>
      <c r="D35" s="3">
        <f>ROUNDUP('S27 Material Flow Matrix'!L986/$G$1, 0)</f>
        <v>0</v>
      </c>
      <c r="E35" s="3">
        <f>ROUNDUP('S27 Material Flow Matrix'!M986/$G$1, 0)</f>
        <v>0</v>
      </c>
      <c r="F35" s="3">
        <f>ROUNDUP('S27 Material Flow Matrix'!N986/$G$1, 0)</f>
        <v>0</v>
      </c>
      <c r="G35" s="3">
        <f>ROUNDUP('S27 Material Flow Matrix'!O986/$G$1, 0)</f>
        <v>0</v>
      </c>
      <c r="H35" s="3">
        <f>ROUNDUP('S27 Material Flow Matrix'!P986/$G$1, 0)</f>
        <v>0</v>
      </c>
      <c r="I35" s="3">
        <f>ROUNDUP('S27 Material Flow Matrix'!Q986/$G$1, 0)</f>
        <v>0</v>
      </c>
      <c r="J35" s="3">
        <f>ROUNDUP('S27 Material Flow Matrix'!R986/$G$1, 0)</f>
        <v>0</v>
      </c>
      <c r="K35" s="3">
        <f>ROUNDUP('S27 Material Flow Matrix'!S986/$G$1, 0)</f>
        <v>0</v>
      </c>
      <c r="L35" s="3">
        <f>ROUNDUP('S27 Material Flow Matrix'!T986/$G$1, 0)</f>
        <v>0</v>
      </c>
      <c r="M35" s="3">
        <f>ROUNDUP('S27 Material Flow Matrix'!U986/$G$1, 0)</f>
        <v>0</v>
      </c>
      <c r="N35" s="3">
        <f>ROUNDUP('S27 Material Flow Matrix'!V986/$G$1, 0)</f>
        <v>0</v>
      </c>
      <c r="O35" s="3">
        <f>ROUNDUP('S27 Material Flow Matrix'!W986/$G$1, 0)</f>
        <v>0</v>
      </c>
      <c r="P35" s="3">
        <f>ROUNDUP('S27 Material Flow Matrix'!X986/$G$1, 0)</f>
        <v>0</v>
      </c>
      <c r="Q35" s="3">
        <f>ROUNDUP('S27 Material Flow Matrix'!Y986/$G$1, 0)</f>
        <v>0</v>
      </c>
      <c r="R35" s="3">
        <f>ROUNDUP('S27 Material Flow Matrix'!Z986/$G$1, 0)</f>
        <v>0</v>
      </c>
      <c r="S35" s="3">
        <f>ROUNDUP('S27 Material Flow Matrix'!AA986/$G$1, 0)</f>
        <v>0</v>
      </c>
      <c r="T35" s="3">
        <f>ROUNDUP('S27 Material Flow Matrix'!AB986/$G$1, 0)</f>
        <v>0</v>
      </c>
      <c r="U35" s="3">
        <f>ROUNDUP('S27 Material Flow Matrix'!AC986/$G$1, 0)</f>
        <v>0</v>
      </c>
      <c r="V35" s="3">
        <f>ROUNDUP('S27 Material Flow Matrix'!AD986/$G$1, 0)</f>
        <v>0</v>
      </c>
      <c r="W35" s="3">
        <f>ROUNDUP('S27 Material Flow Matrix'!AE986/$G$1, 0)</f>
        <v>0</v>
      </c>
      <c r="X35" s="3">
        <f>ROUNDUP('S27 Material Flow Matrix'!AF986/$G$1, 0)</f>
        <v>0</v>
      </c>
      <c r="Y35" s="3">
        <f>ROUNDUP('S27 Material Flow Matrix'!AG986/$G$1, 0)</f>
        <v>0</v>
      </c>
      <c r="Z35" s="3">
        <f>ROUNDUP('S27 Material Flow Matrix'!AH986/$G$1, 0)</f>
        <v>0</v>
      </c>
      <c r="AA35" s="3">
        <f>ROUNDUP('S27 Material Flow Matrix'!AI986/$G$1, 0)</f>
        <v>0</v>
      </c>
      <c r="AB35" s="3">
        <f>ROUNDUP('S27 Material Flow Matrix'!AJ986/$G$1, 0)</f>
        <v>0</v>
      </c>
      <c r="AC35" s="3">
        <f>ROUNDUP('S27 Material Flow Matrix'!AK986/$G$1, 0)</f>
        <v>0</v>
      </c>
      <c r="AD35" s="3">
        <f>ROUNDUP('S27 Material Flow Matrix'!AL986/$G$1, 0)</f>
        <v>0</v>
      </c>
      <c r="AE35" s="3">
        <f>ROUNDUP('S27 Material Flow Matrix'!AM986/$G$1, 0)</f>
        <v>0</v>
      </c>
      <c r="AF35" s="3">
        <f>ROUNDUP('S27 Material Flow Matrix'!AN986/$G$1, 0)</f>
        <v>0</v>
      </c>
      <c r="AG35" s="3">
        <f>ROUNDUP('S27 Material Flow Matrix'!AO986/$G$1, 0)</f>
        <v>0</v>
      </c>
      <c r="AH35" s="3">
        <f>ROUNDUP('S27 Material Flow Matrix'!AP986/$G$1, 0)</f>
        <v>0</v>
      </c>
      <c r="AI35" s="3">
        <f>ROUNDUP('S27 Material Flow Matrix'!AQ986/$G$1, 0)</f>
        <v>0</v>
      </c>
      <c r="AJ35" s="3">
        <f>ROUNDUP('S27 Material Flow Matrix'!AR986/$G$1, 0)</f>
        <v>0</v>
      </c>
      <c r="AK35" s="3">
        <f>ROUNDUP('S27 Material Flow Matrix'!AS986/$G$1, 0)</f>
        <v>0</v>
      </c>
      <c r="AL35" s="3">
        <f>ROUNDUP('S27 Material Flow Matrix'!AT986/$G$1, 0)</f>
        <v>0</v>
      </c>
      <c r="AM35" s="3">
        <f>ROUNDUP('S27 Material Flow Matrix'!AU986/$G$1, 0)</f>
        <v>0</v>
      </c>
      <c r="AN35" s="3">
        <f>ROUNDUP('S27 Material Flow Matrix'!AV986/$G$1, 0)</f>
        <v>0</v>
      </c>
      <c r="AO35" s="3">
        <f>ROUNDUP('S27 Material Flow Matrix'!AW986/$G$1, 0)</f>
        <v>0</v>
      </c>
      <c r="AP35" s="3">
        <f>ROUNDUP('S27 Material Flow Matrix'!AX986/$G$1, 0)</f>
        <v>0</v>
      </c>
      <c r="AQ35" s="3">
        <f>ROUNDUP('S27 Material Flow Matrix'!AY986/$G$1, 0)</f>
        <v>44</v>
      </c>
      <c r="AR35" s="3">
        <f>ROUNDUP('S27 Material Flow Matrix'!AZ986/$G$1, 0)</f>
        <v>0</v>
      </c>
      <c r="AS35" s="3">
        <f>ROUNDUP('S27 Material Flow Matrix'!BA986/$G$1, 0)</f>
        <v>184</v>
      </c>
    </row>
    <row r="36" spans="1:45">
      <c r="A36" s="392" t="s">
        <v>1094</v>
      </c>
      <c r="B36" s="3">
        <f>ROUNDUP('S27 Material Flow Matrix'!J987/$G$1, 0)</f>
        <v>0</v>
      </c>
      <c r="C36" s="3">
        <f>ROUNDUP('S27 Material Flow Matrix'!K987/$G$1, 0)</f>
        <v>0</v>
      </c>
      <c r="D36" s="3">
        <f>ROUNDUP('S27 Material Flow Matrix'!L987/$G$1, 0)</f>
        <v>0</v>
      </c>
      <c r="E36" s="3">
        <f>ROUNDUP('S27 Material Flow Matrix'!M987/$G$1, 0)</f>
        <v>0</v>
      </c>
      <c r="F36" s="3">
        <f>ROUNDUP('S27 Material Flow Matrix'!N987/$G$1, 0)</f>
        <v>0</v>
      </c>
      <c r="G36" s="3">
        <f>ROUNDUP('S27 Material Flow Matrix'!O987/$G$1, 0)</f>
        <v>0</v>
      </c>
      <c r="H36" s="3">
        <f>ROUNDUP('S27 Material Flow Matrix'!P987/$G$1, 0)</f>
        <v>0</v>
      </c>
      <c r="I36" s="3">
        <f>ROUNDUP('S27 Material Flow Matrix'!Q987/$G$1, 0)</f>
        <v>0</v>
      </c>
      <c r="J36" s="3">
        <f>ROUNDUP('S27 Material Flow Matrix'!R987/$G$1, 0)</f>
        <v>0</v>
      </c>
      <c r="K36" s="3">
        <f>ROUNDUP('S27 Material Flow Matrix'!S987/$G$1, 0)</f>
        <v>0</v>
      </c>
      <c r="L36" s="3">
        <f>ROUNDUP('S27 Material Flow Matrix'!T987/$G$1, 0)</f>
        <v>0</v>
      </c>
      <c r="M36" s="3">
        <f>ROUNDUP('S27 Material Flow Matrix'!U987/$G$1, 0)</f>
        <v>0</v>
      </c>
      <c r="N36" s="3">
        <f>ROUNDUP('S27 Material Flow Matrix'!V987/$G$1, 0)</f>
        <v>0</v>
      </c>
      <c r="O36" s="3">
        <f>ROUNDUP('S27 Material Flow Matrix'!W987/$G$1, 0)</f>
        <v>0</v>
      </c>
      <c r="P36" s="3">
        <f>ROUNDUP('S27 Material Flow Matrix'!X987/$G$1, 0)</f>
        <v>0</v>
      </c>
      <c r="Q36" s="3">
        <f>ROUNDUP('S27 Material Flow Matrix'!Y987/$G$1, 0)</f>
        <v>0</v>
      </c>
      <c r="R36" s="3">
        <f>ROUNDUP('S27 Material Flow Matrix'!Z987/$G$1, 0)</f>
        <v>0</v>
      </c>
      <c r="S36" s="3">
        <f>ROUNDUP('S27 Material Flow Matrix'!AA987/$G$1, 0)</f>
        <v>0</v>
      </c>
      <c r="T36" s="3">
        <f>ROUNDUP('S27 Material Flow Matrix'!AB987/$G$1, 0)</f>
        <v>0</v>
      </c>
      <c r="U36" s="3">
        <f>ROUNDUP('S27 Material Flow Matrix'!AC987/$G$1, 0)</f>
        <v>0</v>
      </c>
      <c r="V36" s="3">
        <f>ROUNDUP('S27 Material Flow Matrix'!AD987/$G$1, 0)</f>
        <v>0</v>
      </c>
      <c r="W36" s="3">
        <f>ROUNDUP('S27 Material Flow Matrix'!AE987/$G$1, 0)</f>
        <v>0</v>
      </c>
      <c r="X36" s="3">
        <f>ROUNDUP('S27 Material Flow Matrix'!AF987/$G$1, 0)</f>
        <v>0</v>
      </c>
      <c r="Y36" s="3">
        <f>ROUNDUP('S27 Material Flow Matrix'!AG987/$G$1, 0)</f>
        <v>0</v>
      </c>
      <c r="Z36" s="3">
        <f>ROUNDUP('S27 Material Flow Matrix'!AH987/$G$1, 0)</f>
        <v>0</v>
      </c>
      <c r="AA36" s="3">
        <f>ROUNDUP('S27 Material Flow Matrix'!AI987/$G$1, 0)</f>
        <v>0</v>
      </c>
      <c r="AB36" s="3">
        <f>ROUNDUP('S27 Material Flow Matrix'!AJ987/$G$1, 0)</f>
        <v>0</v>
      </c>
      <c r="AC36" s="3">
        <f>ROUNDUP('S27 Material Flow Matrix'!AK987/$G$1, 0)</f>
        <v>0</v>
      </c>
      <c r="AD36" s="3">
        <f>ROUNDUP('S27 Material Flow Matrix'!AL987/$G$1, 0)</f>
        <v>0</v>
      </c>
      <c r="AE36" s="3">
        <f>ROUNDUP('S27 Material Flow Matrix'!AM987/$G$1, 0)</f>
        <v>0</v>
      </c>
      <c r="AF36" s="3">
        <f>ROUNDUP('S27 Material Flow Matrix'!AN987/$G$1, 0)</f>
        <v>0</v>
      </c>
      <c r="AG36" s="3">
        <f>ROUNDUP('S27 Material Flow Matrix'!AO987/$G$1, 0)</f>
        <v>0</v>
      </c>
      <c r="AH36" s="3">
        <f>ROUNDUP('S27 Material Flow Matrix'!AP987/$G$1, 0)</f>
        <v>0</v>
      </c>
      <c r="AI36" s="3">
        <f>ROUNDUP('S27 Material Flow Matrix'!AQ987/$G$1, 0)</f>
        <v>0</v>
      </c>
      <c r="AJ36" s="3">
        <f>ROUNDUP('S27 Material Flow Matrix'!AR987/$G$1, 0)</f>
        <v>0</v>
      </c>
      <c r="AK36" s="3">
        <f>ROUNDUP('S27 Material Flow Matrix'!AS987/$G$1, 0)</f>
        <v>0</v>
      </c>
      <c r="AL36" s="3">
        <f>ROUNDUP('S27 Material Flow Matrix'!AT987/$G$1, 0)</f>
        <v>0</v>
      </c>
      <c r="AM36" s="3">
        <f>ROUNDUP('S27 Material Flow Matrix'!AU987/$G$1, 0)</f>
        <v>0</v>
      </c>
      <c r="AN36" s="3">
        <f>ROUNDUP('S27 Material Flow Matrix'!AV987/$G$1, 0)</f>
        <v>0</v>
      </c>
      <c r="AO36" s="3">
        <f>ROUNDUP('S27 Material Flow Matrix'!AW987/$G$1, 0)</f>
        <v>0</v>
      </c>
      <c r="AP36" s="3">
        <f>ROUNDUP('S27 Material Flow Matrix'!AX987/$G$1, 0)</f>
        <v>0</v>
      </c>
      <c r="AQ36" s="3">
        <f>ROUNDUP('S27 Material Flow Matrix'!AY987/$G$1, 0)</f>
        <v>0</v>
      </c>
      <c r="AR36" s="3">
        <f>ROUNDUP('S27 Material Flow Matrix'!AZ987/$G$1, 0)</f>
        <v>0</v>
      </c>
      <c r="AS36" s="3">
        <f>ROUNDUP('S27 Material Flow Matrix'!BA987/$G$1, 0)</f>
        <v>151</v>
      </c>
    </row>
    <row r="37" spans="1:45">
      <c r="A37" s="392" t="s">
        <v>1096</v>
      </c>
      <c r="B37" s="3">
        <f>ROUNDUP('S27 Material Flow Matrix'!J988/$G$1, 0)</f>
        <v>0</v>
      </c>
      <c r="C37" s="3">
        <f>ROUNDUP('S27 Material Flow Matrix'!K988/$G$1, 0)</f>
        <v>0</v>
      </c>
      <c r="D37" s="3">
        <f>ROUNDUP('S27 Material Flow Matrix'!L988/$G$1, 0)</f>
        <v>0</v>
      </c>
      <c r="E37" s="3">
        <f>ROUNDUP('S27 Material Flow Matrix'!M988/$G$1, 0)</f>
        <v>0</v>
      </c>
      <c r="F37" s="3">
        <f>ROUNDUP('S27 Material Flow Matrix'!N988/$G$1, 0)</f>
        <v>0</v>
      </c>
      <c r="G37" s="3">
        <f>ROUNDUP('S27 Material Flow Matrix'!O988/$G$1, 0)</f>
        <v>0</v>
      </c>
      <c r="H37" s="3">
        <f>ROUNDUP('S27 Material Flow Matrix'!P988/$G$1, 0)</f>
        <v>0</v>
      </c>
      <c r="I37" s="3">
        <f>ROUNDUP('S27 Material Flow Matrix'!Q988/$G$1, 0)</f>
        <v>0</v>
      </c>
      <c r="J37" s="3">
        <f>ROUNDUP('S27 Material Flow Matrix'!R988/$G$1, 0)</f>
        <v>0</v>
      </c>
      <c r="K37" s="3">
        <f>ROUNDUP('S27 Material Flow Matrix'!S988/$G$1, 0)</f>
        <v>0</v>
      </c>
      <c r="L37" s="3">
        <f>ROUNDUP('S27 Material Flow Matrix'!T988/$G$1, 0)</f>
        <v>0</v>
      </c>
      <c r="M37" s="3">
        <f>ROUNDUP('S27 Material Flow Matrix'!U988/$G$1, 0)</f>
        <v>0</v>
      </c>
      <c r="N37" s="3">
        <f>ROUNDUP('S27 Material Flow Matrix'!V988/$G$1, 0)</f>
        <v>0</v>
      </c>
      <c r="O37" s="3">
        <f>ROUNDUP('S27 Material Flow Matrix'!W988/$G$1, 0)</f>
        <v>0</v>
      </c>
      <c r="P37" s="3">
        <f>ROUNDUP('S27 Material Flow Matrix'!X988/$G$1, 0)</f>
        <v>0</v>
      </c>
      <c r="Q37" s="3">
        <f>ROUNDUP('S27 Material Flow Matrix'!Y988/$G$1, 0)</f>
        <v>0</v>
      </c>
      <c r="R37" s="3">
        <f>ROUNDUP('S27 Material Flow Matrix'!Z988/$G$1, 0)</f>
        <v>0</v>
      </c>
      <c r="S37" s="3">
        <f>ROUNDUP('S27 Material Flow Matrix'!AA988/$G$1, 0)</f>
        <v>0</v>
      </c>
      <c r="T37" s="3">
        <f>ROUNDUP('S27 Material Flow Matrix'!AB988/$G$1, 0)</f>
        <v>0</v>
      </c>
      <c r="U37" s="3">
        <f>ROUNDUP('S27 Material Flow Matrix'!AC988/$G$1, 0)</f>
        <v>0</v>
      </c>
      <c r="V37" s="3">
        <f>ROUNDUP('S27 Material Flow Matrix'!AD988/$G$1, 0)</f>
        <v>0</v>
      </c>
      <c r="W37" s="3">
        <f>ROUNDUP('S27 Material Flow Matrix'!AE988/$G$1, 0)</f>
        <v>0</v>
      </c>
      <c r="X37" s="3">
        <f>ROUNDUP('S27 Material Flow Matrix'!AF988/$G$1, 0)</f>
        <v>0</v>
      </c>
      <c r="Y37" s="3">
        <f>ROUNDUP('S27 Material Flow Matrix'!AG988/$G$1, 0)</f>
        <v>0</v>
      </c>
      <c r="Z37" s="3">
        <f>ROUNDUP('S27 Material Flow Matrix'!AH988/$G$1, 0)</f>
        <v>0</v>
      </c>
      <c r="AA37" s="3">
        <f>ROUNDUP('S27 Material Flow Matrix'!AI988/$G$1, 0)</f>
        <v>0</v>
      </c>
      <c r="AB37" s="3">
        <f>ROUNDUP('S27 Material Flow Matrix'!AJ988/$G$1, 0)</f>
        <v>0</v>
      </c>
      <c r="AC37" s="3">
        <f>ROUNDUP('S27 Material Flow Matrix'!AK988/$G$1, 0)</f>
        <v>0</v>
      </c>
      <c r="AD37" s="3">
        <f>ROUNDUP('S27 Material Flow Matrix'!AL988/$G$1, 0)</f>
        <v>0</v>
      </c>
      <c r="AE37" s="3">
        <f>ROUNDUP('S27 Material Flow Matrix'!AM988/$G$1, 0)</f>
        <v>0</v>
      </c>
      <c r="AF37" s="3">
        <f>ROUNDUP('S27 Material Flow Matrix'!AN988/$G$1, 0)</f>
        <v>0</v>
      </c>
      <c r="AG37" s="3">
        <f>ROUNDUP('S27 Material Flow Matrix'!AO988/$G$1, 0)</f>
        <v>0</v>
      </c>
      <c r="AH37" s="3">
        <f>ROUNDUP('S27 Material Flow Matrix'!AP988/$G$1, 0)</f>
        <v>0</v>
      </c>
      <c r="AI37" s="3">
        <f>ROUNDUP('S27 Material Flow Matrix'!AQ988/$G$1, 0)</f>
        <v>0</v>
      </c>
      <c r="AJ37" s="3">
        <f>ROUNDUP('S27 Material Flow Matrix'!AR988/$G$1, 0)</f>
        <v>0</v>
      </c>
      <c r="AK37" s="3">
        <f>ROUNDUP('S27 Material Flow Matrix'!AS988/$G$1, 0)</f>
        <v>0</v>
      </c>
      <c r="AL37" s="3">
        <f>ROUNDUP('S27 Material Flow Matrix'!AT988/$G$1, 0)</f>
        <v>0</v>
      </c>
      <c r="AM37" s="3">
        <f>ROUNDUP('S27 Material Flow Matrix'!AU988/$G$1, 0)</f>
        <v>0</v>
      </c>
      <c r="AN37" s="3">
        <f>ROUNDUP('S27 Material Flow Matrix'!AV988/$G$1, 0)</f>
        <v>0</v>
      </c>
      <c r="AO37" s="3">
        <f>ROUNDUP('S27 Material Flow Matrix'!AW988/$G$1, 0)</f>
        <v>0</v>
      </c>
      <c r="AP37" s="3">
        <f>ROUNDUP('S27 Material Flow Matrix'!AX988/$G$1, 0)</f>
        <v>0</v>
      </c>
      <c r="AQ37" s="3">
        <f>ROUNDUP('S27 Material Flow Matrix'!AY988/$G$1, 0)</f>
        <v>0</v>
      </c>
      <c r="AR37" s="3">
        <f>ROUNDUP('S27 Material Flow Matrix'!AZ988/$G$1, 0)</f>
        <v>0</v>
      </c>
      <c r="AS37" s="3">
        <f>ROUNDUP('S27 Material Flow Matrix'!BA988/$G$1, 0)</f>
        <v>213</v>
      </c>
    </row>
    <row r="38" spans="1:45">
      <c r="A38" s="392" t="s">
        <v>1098</v>
      </c>
      <c r="B38" s="3">
        <f>ROUNDUP('S27 Material Flow Matrix'!J989/$G$1, 0)</f>
        <v>0</v>
      </c>
      <c r="C38" s="3">
        <f>ROUNDUP('S27 Material Flow Matrix'!K989/$G$1, 0)</f>
        <v>0</v>
      </c>
      <c r="D38" s="3">
        <f>ROUNDUP('S27 Material Flow Matrix'!L989/$G$1, 0)</f>
        <v>0</v>
      </c>
      <c r="E38" s="3">
        <f>ROUNDUP('S27 Material Flow Matrix'!M989/$G$1, 0)</f>
        <v>0</v>
      </c>
      <c r="F38" s="3">
        <f>ROUNDUP('S27 Material Flow Matrix'!N989/$G$1, 0)</f>
        <v>0</v>
      </c>
      <c r="G38" s="3">
        <f>ROUNDUP('S27 Material Flow Matrix'!O989/$G$1, 0)</f>
        <v>0</v>
      </c>
      <c r="H38" s="3">
        <f>ROUNDUP('S27 Material Flow Matrix'!P989/$G$1, 0)</f>
        <v>0</v>
      </c>
      <c r="I38" s="3">
        <f>ROUNDUP('S27 Material Flow Matrix'!Q989/$G$1, 0)</f>
        <v>0</v>
      </c>
      <c r="J38" s="3">
        <f>ROUNDUP('S27 Material Flow Matrix'!R989/$G$1, 0)</f>
        <v>0</v>
      </c>
      <c r="K38" s="3">
        <f>ROUNDUP('S27 Material Flow Matrix'!S989/$G$1, 0)</f>
        <v>0</v>
      </c>
      <c r="L38" s="3">
        <f>ROUNDUP('S27 Material Flow Matrix'!T989/$G$1, 0)</f>
        <v>0</v>
      </c>
      <c r="M38" s="3">
        <f>ROUNDUP('S27 Material Flow Matrix'!U989/$G$1, 0)</f>
        <v>0</v>
      </c>
      <c r="N38" s="3">
        <f>ROUNDUP('S27 Material Flow Matrix'!V989/$G$1, 0)</f>
        <v>0</v>
      </c>
      <c r="O38" s="3">
        <f>ROUNDUP('S27 Material Flow Matrix'!W989/$G$1, 0)</f>
        <v>0</v>
      </c>
      <c r="P38" s="3">
        <f>ROUNDUP('S27 Material Flow Matrix'!X989/$G$1, 0)</f>
        <v>0</v>
      </c>
      <c r="Q38" s="3">
        <f>ROUNDUP('S27 Material Flow Matrix'!Y989/$G$1, 0)</f>
        <v>0</v>
      </c>
      <c r="R38" s="3">
        <f>ROUNDUP('S27 Material Flow Matrix'!Z989/$G$1, 0)</f>
        <v>0</v>
      </c>
      <c r="S38" s="3">
        <f>ROUNDUP('S27 Material Flow Matrix'!AA989/$G$1, 0)</f>
        <v>0</v>
      </c>
      <c r="T38" s="3">
        <f>ROUNDUP('S27 Material Flow Matrix'!AB989/$G$1, 0)</f>
        <v>0</v>
      </c>
      <c r="U38" s="3">
        <f>ROUNDUP('S27 Material Flow Matrix'!AC989/$G$1, 0)</f>
        <v>0</v>
      </c>
      <c r="V38" s="3">
        <f>ROUNDUP('S27 Material Flow Matrix'!AD989/$G$1, 0)</f>
        <v>0</v>
      </c>
      <c r="W38" s="3">
        <f>ROUNDUP('S27 Material Flow Matrix'!AE989/$G$1, 0)</f>
        <v>0</v>
      </c>
      <c r="X38" s="3">
        <f>ROUNDUP('S27 Material Flow Matrix'!AF989/$G$1, 0)</f>
        <v>0</v>
      </c>
      <c r="Y38" s="3">
        <f>ROUNDUP('S27 Material Flow Matrix'!AG989/$G$1, 0)</f>
        <v>0</v>
      </c>
      <c r="Z38" s="3">
        <f>ROUNDUP('S27 Material Flow Matrix'!AH989/$G$1, 0)</f>
        <v>0</v>
      </c>
      <c r="AA38" s="3">
        <f>ROUNDUP('S27 Material Flow Matrix'!AI989/$G$1, 0)</f>
        <v>0</v>
      </c>
      <c r="AB38" s="3">
        <f>ROUNDUP('S27 Material Flow Matrix'!AJ989/$G$1, 0)</f>
        <v>0</v>
      </c>
      <c r="AC38" s="3">
        <f>ROUNDUP('S27 Material Flow Matrix'!AK989/$G$1, 0)</f>
        <v>0</v>
      </c>
      <c r="AD38" s="3">
        <f>ROUNDUP('S27 Material Flow Matrix'!AL989/$G$1, 0)</f>
        <v>0</v>
      </c>
      <c r="AE38" s="3">
        <f>ROUNDUP('S27 Material Flow Matrix'!AM989/$G$1, 0)</f>
        <v>0</v>
      </c>
      <c r="AF38" s="3">
        <f>ROUNDUP('S27 Material Flow Matrix'!AN989/$G$1, 0)</f>
        <v>0</v>
      </c>
      <c r="AG38" s="3">
        <f>ROUNDUP('S27 Material Flow Matrix'!AO989/$G$1, 0)</f>
        <v>0</v>
      </c>
      <c r="AH38" s="3">
        <f>ROUNDUP('S27 Material Flow Matrix'!AP989/$G$1, 0)</f>
        <v>0</v>
      </c>
      <c r="AI38" s="3">
        <f>ROUNDUP('S27 Material Flow Matrix'!AQ989/$G$1, 0)</f>
        <v>0</v>
      </c>
      <c r="AJ38" s="3">
        <f>ROUNDUP('S27 Material Flow Matrix'!AR989/$G$1, 0)</f>
        <v>0</v>
      </c>
      <c r="AK38" s="3">
        <f>ROUNDUP('S27 Material Flow Matrix'!AS989/$G$1, 0)</f>
        <v>0</v>
      </c>
      <c r="AL38" s="3">
        <f>ROUNDUP('S27 Material Flow Matrix'!AT989/$G$1, 0)</f>
        <v>0</v>
      </c>
      <c r="AM38" s="3">
        <f>ROUNDUP('S27 Material Flow Matrix'!AU989/$G$1, 0)</f>
        <v>0</v>
      </c>
      <c r="AN38" s="3">
        <f>ROUNDUP('S27 Material Flow Matrix'!AV989/$G$1, 0)</f>
        <v>0</v>
      </c>
      <c r="AO38" s="3">
        <f>ROUNDUP('S27 Material Flow Matrix'!AW989/$G$1, 0)</f>
        <v>0</v>
      </c>
      <c r="AP38" s="3">
        <f>ROUNDUP('S27 Material Flow Matrix'!AX989/$G$1, 0)</f>
        <v>0</v>
      </c>
      <c r="AQ38" s="3">
        <f>ROUNDUP('S27 Material Flow Matrix'!AY989/$G$1, 0)</f>
        <v>0</v>
      </c>
      <c r="AR38" s="3">
        <f>ROUNDUP('S27 Material Flow Matrix'!AZ989/$G$1, 0)</f>
        <v>0</v>
      </c>
      <c r="AS38" s="3">
        <f>ROUNDUP('S27 Material Flow Matrix'!BA989/$G$1, 0)</f>
        <v>0</v>
      </c>
    </row>
    <row r="39" spans="1:45">
      <c r="A39" s="392" t="s">
        <v>1100</v>
      </c>
      <c r="B39" s="3">
        <f>ROUNDUP('S27 Material Flow Matrix'!J990/$G$1, 0)</f>
        <v>0</v>
      </c>
      <c r="C39" s="3">
        <f>ROUNDUP('S27 Material Flow Matrix'!K990/$G$1, 0)</f>
        <v>0</v>
      </c>
      <c r="D39" s="3">
        <f>ROUNDUP('S27 Material Flow Matrix'!L990/$G$1, 0)</f>
        <v>0</v>
      </c>
      <c r="E39" s="3">
        <f>ROUNDUP('S27 Material Flow Matrix'!M990/$G$1, 0)</f>
        <v>0</v>
      </c>
      <c r="F39" s="3">
        <f>ROUNDUP('S27 Material Flow Matrix'!N990/$G$1, 0)</f>
        <v>213</v>
      </c>
      <c r="G39" s="3">
        <f>ROUNDUP('S27 Material Flow Matrix'!O990/$G$1, 0)</f>
        <v>0</v>
      </c>
      <c r="H39" s="3">
        <f>ROUNDUP('S27 Material Flow Matrix'!P990/$G$1, 0)</f>
        <v>0</v>
      </c>
      <c r="I39" s="3">
        <f>ROUNDUP('S27 Material Flow Matrix'!Q990/$G$1, 0)</f>
        <v>0</v>
      </c>
      <c r="J39" s="3">
        <f>ROUNDUP('S27 Material Flow Matrix'!R990/$G$1, 0)</f>
        <v>0</v>
      </c>
      <c r="K39" s="3">
        <f>ROUNDUP('S27 Material Flow Matrix'!S990/$G$1, 0)</f>
        <v>0</v>
      </c>
      <c r="L39" s="3">
        <f>ROUNDUP('S27 Material Flow Matrix'!T990/$G$1, 0)</f>
        <v>0</v>
      </c>
      <c r="M39" s="3">
        <f>ROUNDUP('S27 Material Flow Matrix'!U990/$G$1, 0)</f>
        <v>0</v>
      </c>
      <c r="N39" s="3">
        <f>ROUNDUP('S27 Material Flow Matrix'!V990/$G$1, 0)</f>
        <v>0</v>
      </c>
      <c r="O39" s="3">
        <f>ROUNDUP('S27 Material Flow Matrix'!W990/$G$1, 0)</f>
        <v>0</v>
      </c>
      <c r="P39" s="3">
        <f>ROUNDUP('S27 Material Flow Matrix'!X990/$G$1, 0)</f>
        <v>0</v>
      </c>
      <c r="Q39" s="3">
        <f>ROUNDUP('S27 Material Flow Matrix'!Y990/$G$1, 0)</f>
        <v>0</v>
      </c>
      <c r="R39" s="3">
        <f>ROUNDUP('S27 Material Flow Matrix'!Z990/$G$1, 0)</f>
        <v>0</v>
      </c>
      <c r="S39" s="3">
        <f>ROUNDUP('S27 Material Flow Matrix'!AA990/$G$1, 0)</f>
        <v>0</v>
      </c>
      <c r="T39" s="3">
        <f>ROUNDUP('S27 Material Flow Matrix'!AB990/$G$1, 0)</f>
        <v>0</v>
      </c>
      <c r="U39" s="3">
        <f>ROUNDUP('S27 Material Flow Matrix'!AC990/$G$1, 0)</f>
        <v>0</v>
      </c>
      <c r="V39" s="3">
        <f>ROUNDUP('S27 Material Flow Matrix'!AD990/$G$1, 0)</f>
        <v>0</v>
      </c>
      <c r="W39" s="3">
        <f>ROUNDUP('S27 Material Flow Matrix'!AE990/$G$1, 0)</f>
        <v>0</v>
      </c>
      <c r="X39" s="3">
        <f>ROUNDUP('S27 Material Flow Matrix'!AF990/$G$1, 0)</f>
        <v>0</v>
      </c>
      <c r="Y39" s="3">
        <f>ROUNDUP('S27 Material Flow Matrix'!AG990/$G$1, 0)</f>
        <v>0</v>
      </c>
      <c r="Z39" s="3">
        <f>ROUNDUP('S27 Material Flow Matrix'!AH990/$G$1, 0)</f>
        <v>0</v>
      </c>
      <c r="AA39" s="3">
        <f>ROUNDUP('S27 Material Flow Matrix'!AI990/$G$1, 0)</f>
        <v>0</v>
      </c>
      <c r="AB39" s="3">
        <f>ROUNDUP('S27 Material Flow Matrix'!AJ990/$G$1, 0)</f>
        <v>0</v>
      </c>
      <c r="AC39" s="3">
        <f>ROUNDUP('S27 Material Flow Matrix'!AK990/$G$1, 0)</f>
        <v>0</v>
      </c>
      <c r="AD39" s="3">
        <f>ROUNDUP('S27 Material Flow Matrix'!AL990/$G$1, 0)</f>
        <v>0</v>
      </c>
      <c r="AE39" s="3">
        <f>ROUNDUP('S27 Material Flow Matrix'!AM990/$G$1, 0)</f>
        <v>0</v>
      </c>
      <c r="AF39" s="3">
        <f>ROUNDUP('S27 Material Flow Matrix'!AN990/$G$1, 0)</f>
        <v>0</v>
      </c>
      <c r="AG39" s="3">
        <f>ROUNDUP('S27 Material Flow Matrix'!AO990/$G$1, 0)</f>
        <v>0</v>
      </c>
      <c r="AH39" s="3">
        <f>ROUNDUP('S27 Material Flow Matrix'!AP990/$G$1, 0)</f>
        <v>0</v>
      </c>
      <c r="AI39" s="3">
        <f>ROUNDUP('S27 Material Flow Matrix'!AQ990/$G$1, 0)</f>
        <v>0</v>
      </c>
      <c r="AJ39" s="3">
        <f>ROUNDUP('S27 Material Flow Matrix'!AR990/$G$1, 0)</f>
        <v>0</v>
      </c>
      <c r="AK39" s="3">
        <f>ROUNDUP('S27 Material Flow Matrix'!AS990/$G$1, 0)</f>
        <v>0</v>
      </c>
      <c r="AL39" s="3">
        <f>ROUNDUP('S27 Material Flow Matrix'!AT990/$G$1, 0)</f>
        <v>0</v>
      </c>
      <c r="AM39" s="3">
        <f>ROUNDUP('S27 Material Flow Matrix'!AU990/$G$1, 0)</f>
        <v>0</v>
      </c>
      <c r="AN39" s="3">
        <f>ROUNDUP('S27 Material Flow Matrix'!AV990/$G$1, 0)</f>
        <v>0</v>
      </c>
      <c r="AO39" s="3">
        <f>ROUNDUP('S27 Material Flow Matrix'!AW990/$G$1, 0)</f>
        <v>0</v>
      </c>
      <c r="AP39" s="3">
        <f>ROUNDUP('S27 Material Flow Matrix'!AX990/$G$1, 0)</f>
        <v>0</v>
      </c>
      <c r="AQ39" s="3">
        <f>ROUNDUP('S27 Material Flow Matrix'!AY990/$G$1, 0)</f>
        <v>0</v>
      </c>
      <c r="AR39" s="3">
        <f>ROUNDUP('S27 Material Flow Matrix'!AZ990/$G$1, 0)</f>
        <v>0</v>
      </c>
      <c r="AS39" s="3">
        <f>ROUNDUP('S27 Material Flow Matrix'!BA990/$G$1, 0)</f>
        <v>0</v>
      </c>
    </row>
    <row r="40" spans="1:45">
      <c r="A40" s="392" t="s">
        <v>1101</v>
      </c>
      <c r="B40" s="3">
        <f>ROUNDUP('S27 Material Flow Matrix'!J991/$G$1, 0)</f>
        <v>0</v>
      </c>
      <c r="C40" s="3">
        <f>ROUNDUP('S27 Material Flow Matrix'!K991/$G$1, 0)</f>
        <v>0</v>
      </c>
      <c r="D40" s="3">
        <f>ROUNDUP('S27 Material Flow Matrix'!L991/$G$1, 0)</f>
        <v>0</v>
      </c>
      <c r="E40" s="3">
        <f>ROUNDUP('S27 Material Flow Matrix'!M991/$G$1, 0)</f>
        <v>0</v>
      </c>
      <c r="F40" s="3">
        <f>ROUNDUP('S27 Material Flow Matrix'!N991/$G$1, 0)</f>
        <v>0</v>
      </c>
      <c r="G40" s="3">
        <f>ROUNDUP('S27 Material Flow Matrix'!O991/$G$1, 0)</f>
        <v>0</v>
      </c>
      <c r="H40" s="3">
        <f>ROUNDUP('S27 Material Flow Matrix'!P991/$G$1, 0)</f>
        <v>0</v>
      </c>
      <c r="I40" s="3">
        <f>ROUNDUP('S27 Material Flow Matrix'!Q991/$G$1, 0)</f>
        <v>0</v>
      </c>
      <c r="J40" s="3">
        <f>ROUNDUP('S27 Material Flow Matrix'!R991/$G$1, 0)</f>
        <v>0</v>
      </c>
      <c r="K40" s="3">
        <f>ROUNDUP('S27 Material Flow Matrix'!S991/$G$1, 0)</f>
        <v>0</v>
      </c>
      <c r="L40" s="3">
        <f>ROUNDUP('S27 Material Flow Matrix'!T991/$G$1, 0)</f>
        <v>0</v>
      </c>
      <c r="M40" s="3">
        <f>ROUNDUP('S27 Material Flow Matrix'!U991/$G$1, 0)</f>
        <v>0</v>
      </c>
      <c r="N40" s="3">
        <f>ROUNDUP('S27 Material Flow Matrix'!V991/$G$1, 0)</f>
        <v>0</v>
      </c>
      <c r="O40" s="3">
        <f>ROUNDUP('S27 Material Flow Matrix'!W991/$G$1, 0)</f>
        <v>0</v>
      </c>
      <c r="P40" s="3">
        <f>ROUNDUP('S27 Material Flow Matrix'!X991/$G$1, 0)</f>
        <v>0</v>
      </c>
      <c r="Q40" s="3">
        <f>ROUNDUP('S27 Material Flow Matrix'!Y991/$G$1, 0)</f>
        <v>0</v>
      </c>
      <c r="R40" s="3">
        <f>ROUNDUP('S27 Material Flow Matrix'!Z991/$G$1, 0)</f>
        <v>0</v>
      </c>
      <c r="S40" s="3">
        <f>ROUNDUP('S27 Material Flow Matrix'!AA991/$G$1, 0)</f>
        <v>0</v>
      </c>
      <c r="T40" s="3">
        <f>ROUNDUP('S27 Material Flow Matrix'!AB991/$G$1, 0)</f>
        <v>0</v>
      </c>
      <c r="U40" s="3">
        <f>ROUNDUP('S27 Material Flow Matrix'!AC991/$G$1, 0)</f>
        <v>0</v>
      </c>
      <c r="V40" s="3">
        <f>ROUNDUP('S27 Material Flow Matrix'!AD991/$G$1, 0)</f>
        <v>0</v>
      </c>
      <c r="W40" s="3">
        <f>ROUNDUP('S27 Material Flow Matrix'!AE991/$G$1, 0)</f>
        <v>0</v>
      </c>
      <c r="X40" s="3">
        <f>ROUNDUP('S27 Material Flow Matrix'!AF991/$G$1, 0)</f>
        <v>0</v>
      </c>
      <c r="Y40" s="3">
        <f>ROUNDUP('S27 Material Flow Matrix'!AG991/$G$1, 0)</f>
        <v>0</v>
      </c>
      <c r="Z40" s="3">
        <f>ROUNDUP('S27 Material Flow Matrix'!AH991/$G$1, 0)</f>
        <v>0</v>
      </c>
      <c r="AA40" s="3">
        <f>ROUNDUP('S27 Material Flow Matrix'!AI991/$G$1, 0)</f>
        <v>0</v>
      </c>
      <c r="AB40" s="3">
        <f>ROUNDUP('S27 Material Flow Matrix'!AJ991/$G$1, 0)</f>
        <v>0</v>
      </c>
      <c r="AC40" s="3">
        <f>ROUNDUP('S27 Material Flow Matrix'!AK991/$G$1, 0)</f>
        <v>0</v>
      </c>
      <c r="AD40" s="3">
        <f>ROUNDUP('S27 Material Flow Matrix'!AL991/$G$1, 0)</f>
        <v>0</v>
      </c>
      <c r="AE40" s="3">
        <f>ROUNDUP('S27 Material Flow Matrix'!AM991/$G$1, 0)</f>
        <v>0</v>
      </c>
      <c r="AF40" s="3">
        <f>ROUNDUP('S27 Material Flow Matrix'!AN991/$G$1, 0)</f>
        <v>0</v>
      </c>
      <c r="AG40" s="3">
        <f>ROUNDUP('S27 Material Flow Matrix'!AO991/$G$1, 0)</f>
        <v>0</v>
      </c>
      <c r="AH40" s="3">
        <f>ROUNDUP('S27 Material Flow Matrix'!AP991/$G$1, 0)</f>
        <v>0</v>
      </c>
      <c r="AI40" s="3">
        <f>ROUNDUP('S27 Material Flow Matrix'!AQ991/$G$1, 0)</f>
        <v>0</v>
      </c>
      <c r="AJ40" s="3">
        <f>ROUNDUP('S27 Material Flow Matrix'!AR991/$G$1, 0)</f>
        <v>0</v>
      </c>
      <c r="AK40" s="3">
        <f>ROUNDUP('S27 Material Flow Matrix'!AS991/$G$1, 0)</f>
        <v>0</v>
      </c>
      <c r="AL40" s="3">
        <f>ROUNDUP('S27 Material Flow Matrix'!AT991/$G$1, 0)</f>
        <v>0</v>
      </c>
      <c r="AM40" s="3">
        <f>ROUNDUP('S27 Material Flow Matrix'!AU991/$G$1, 0)</f>
        <v>0</v>
      </c>
      <c r="AN40" s="3">
        <f>ROUNDUP('S27 Material Flow Matrix'!AV991/$G$1, 0)</f>
        <v>0</v>
      </c>
      <c r="AO40" s="3">
        <f>ROUNDUP('S27 Material Flow Matrix'!AW991/$G$1, 0)</f>
        <v>0</v>
      </c>
      <c r="AP40" s="3">
        <f>ROUNDUP('S27 Material Flow Matrix'!AX991/$G$1, 0)</f>
        <v>0</v>
      </c>
      <c r="AQ40" s="3">
        <f>ROUNDUP('S27 Material Flow Matrix'!AY991/$G$1, 0)</f>
        <v>0</v>
      </c>
      <c r="AR40" s="3">
        <f>ROUNDUP('S27 Material Flow Matrix'!AZ991/$G$1, 0)</f>
        <v>0</v>
      </c>
      <c r="AS40" s="3">
        <f>ROUNDUP('S27 Material Flow Matrix'!BA991/$G$1, 0)</f>
        <v>0</v>
      </c>
    </row>
    <row r="41" spans="1:45">
      <c r="A41" s="392" t="s">
        <v>1103</v>
      </c>
      <c r="B41" s="3">
        <f>ROUNDUP('S27 Material Flow Matrix'!J992/$G$1, 0)</f>
        <v>0</v>
      </c>
      <c r="C41" s="3">
        <f>ROUNDUP('S27 Material Flow Matrix'!K992/$G$1, 0)</f>
        <v>0</v>
      </c>
      <c r="D41" s="3">
        <f>ROUNDUP('S27 Material Flow Matrix'!L992/$G$1, 0)</f>
        <v>0</v>
      </c>
      <c r="E41" s="3">
        <f>ROUNDUP('S27 Material Flow Matrix'!M992/$G$1, 0)</f>
        <v>0</v>
      </c>
      <c r="F41" s="3">
        <f>ROUNDUP('S27 Material Flow Matrix'!N992/$G$1, 0)</f>
        <v>0</v>
      </c>
      <c r="G41" s="3">
        <f>ROUNDUP('S27 Material Flow Matrix'!O992/$G$1, 0)</f>
        <v>0</v>
      </c>
      <c r="H41" s="3">
        <f>ROUNDUP('S27 Material Flow Matrix'!P992/$G$1, 0)</f>
        <v>89</v>
      </c>
      <c r="I41" s="3">
        <f>ROUNDUP('S27 Material Flow Matrix'!Q992/$G$1, 0)</f>
        <v>0</v>
      </c>
      <c r="J41" s="3">
        <f>ROUNDUP('S27 Material Flow Matrix'!R992/$G$1, 0)</f>
        <v>0</v>
      </c>
      <c r="K41" s="3">
        <f>ROUNDUP('S27 Material Flow Matrix'!S992/$G$1, 0)</f>
        <v>0</v>
      </c>
      <c r="L41" s="3">
        <f>ROUNDUP('S27 Material Flow Matrix'!T992/$G$1, 0)</f>
        <v>0</v>
      </c>
      <c r="M41" s="3">
        <f>ROUNDUP('S27 Material Flow Matrix'!U992/$G$1, 0)</f>
        <v>0</v>
      </c>
      <c r="N41" s="3">
        <f>ROUNDUP('S27 Material Flow Matrix'!V992/$G$1, 0)</f>
        <v>0</v>
      </c>
      <c r="O41" s="3">
        <f>ROUNDUP('S27 Material Flow Matrix'!W992/$G$1, 0)</f>
        <v>0</v>
      </c>
      <c r="P41" s="3">
        <f>ROUNDUP('S27 Material Flow Matrix'!X992/$G$1, 0)</f>
        <v>0</v>
      </c>
      <c r="Q41" s="3">
        <f>ROUNDUP('S27 Material Flow Matrix'!Y992/$G$1, 0)</f>
        <v>0</v>
      </c>
      <c r="R41" s="3">
        <f>ROUNDUP('S27 Material Flow Matrix'!Z992/$G$1, 0)</f>
        <v>0</v>
      </c>
      <c r="S41" s="3">
        <f>ROUNDUP('S27 Material Flow Matrix'!AA992/$G$1, 0)</f>
        <v>0</v>
      </c>
      <c r="T41" s="3">
        <f>ROUNDUP('S27 Material Flow Matrix'!AB992/$G$1, 0)</f>
        <v>0</v>
      </c>
      <c r="U41" s="3">
        <f>ROUNDUP('S27 Material Flow Matrix'!AC992/$G$1, 0)</f>
        <v>0</v>
      </c>
      <c r="V41" s="3">
        <f>ROUNDUP('S27 Material Flow Matrix'!AD992/$G$1, 0)</f>
        <v>0</v>
      </c>
      <c r="W41" s="3">
        <f>ROUNDUP('S27 Material Flow Matrix'!AE992/$G$1, 0)</f>
        <v>0</v>
      </c>
      <c r="X41" s="3">
        <f>ROUNDUP('S27 Material Flow Matrix'!AF992/$G$1, 0)</f>
        <v>0</v>
      </c>
      <c r="Y41" s="3">
        <f>ROUNDUP('S27 Material Flow Matrix'!AG992/$G$1, 0)</f>
        <v>0</v>
      </c>
      <c r="Z41" s="3">
        <f>ROUNDUP('S27 Material Flow Matrix'!AH992/$G$1, 0)</f>
        <v>0</v>
      </c>
      <c r="AA41" s="3">
        <f>ROUNDUP('S27 Material Flow Matrix'!AI992/$G$1, 0)</f>
        <v>0</v>
      </c>
      <c r="AB41" s="3">
        <f>ROUNDUP('S27 Material Flow Matrix'!AJ992/$G$1, 0)</f>
        <v>0</v>
      </c>
      <c r="AC41" s="3">
        <f>ROUNDUP('S27 Material Flow Matrix'!AK992/$G$1, 0)</f>
        <v>0</v>
      </c>
      <c r="AD41" s="3">
        <f>ROUNDUP('S27 Material Flow Matrix'!AL992/$G$1, 0)</f>
        <v>0</v>
      </c>
      <c r="AE41" s="3">
        <f>ROUNDUP('S27 Material Flow Matrix'!AM992/$G$1, 0)</f>
        <v>0</v>
      </c>
      <c r="AF41" s="3">
        <f>ROUNDUP('S27 Material Flow Matrix'!AN992/$G$1, 0)</f>
        <v>0</v>
      </c>
      <c r="AG41" s="3">
        <f>ROUNDUP('S27 Material Flow Matrix'!AO992/$G$1, 0)</f>
        <v>0</v>
      </c>
      <c r="AH41" s="3">
        <f>ROUNDUP('S27 Material Flow Matrix'!AP992/$G$1, 0)</f>
        <v>0</v>
      </c>
      <c r="AI41" s="3">
        <f>ROUNDUP('S27 Material Flow Matrix'!AQ992/$G$1, 0)</f>
        <v>0</v>
      </c>
      <c r="AJ41" s="3">
        <f>ROUNDUP('S27 Material Flow Matrix'!AR992/$G$1, 0)</f>
        <v>0</v>
      </c>
      <c r="AK41" s="3">
        <f>ROUNDUP('S27 Material Flow Matrix'!AS992/$G$1, 0)</f>
        <v>0</v>
      </c>
      <c r="AL41" s="3">
        <f>ROUNDUP('S27 Material Flow Matrix'!AT992/$G$1, 0)</f>
        <v>0</v>
      </c>
      <c r="AM41" s="3">
        <f>ROUNDUP('S27 Material Flow Matrix'!AU992/$G$1, 0)</f>
        <v>0</v>
      </c>
      <c r="AN41" s="3">
        <f>ROUNDUP('S27 Material Flow Matrix'!AV992/$G$1, 0)</f>
        <v>0</v>
      </c>
      <c r="AO41" s="3">
        <f>ROUNDUP('S27 Material Flow Matrix'!AW992/$G$1, 0)</f>
        <v>0</v>
      </c>
      <c r="AP41" s="3">
        <f>ROUNDUP('S27 Material Flow Matrix'!AX992/$G$1, 0)</f>
        <v>0</v>
      </c>
      <c r="AQ41" s="3">
        <f>ROUNDUP('S27 Material Flow Matrix'!AY992/$G$1, 0)</f>
        <v>0</v>
      </c>
      <c r="AR41" s="3">
        <f>ROUNDUP('S27 Material Flow Matrix'!AZ992/$G$1, 0)</f>
        <v>0</v>
      </c>
      <c r="AS41" s="3">
        <f>ROUNDUP('S27 Material Flow Matrix'!BA992/$G$1, 0)</f>
        <v>0</v>
      </c>
    </row>
    <row r="42" spans="1:45">
      <c r="A42" s="392" t="s">
        <v>1105</v>
      </c>
      <c r="B42" s="3">
        <f>ROUNDUP('S27 Material Flow Matrix'!J993/$G$1, 0)</f>
        <v>0</v>
      </c>
      <c r="C42" s="3">
        <f>ROUNDUP('S27 Material Flow Matrix'!K993/$G$1, 0)</f>
        <v>0</v>
      </c>
      <c r="D42" s="3">
        <f>ROUNDUP('S27 Material Flow Matrix'!L993/$G$1, 0)</f>
        <v>0</v>
      </c>
      <c r="E42" s="3">
        <f>ROUNDUP('S27 Material Flow Matrix'!M993/$G$1, 0)</f>
        <v>0</v>
      </c>
      <c r="F42" s="3">
        <f>ROUNDUP('S27 Material Flow Matrix'!N993/$G$1, 0)</f>
        <v>0</v>
      </c>
      <c r="G42" s="3">
        <f>ROUNDUP('S27 Material Flow Matrix'!O993/$G$1, 0)</f>
        <v>0</v>
      </c>
      <c r="H42" s="3">
        <f>ROUNDUP('S27 Material Flow Matrix'!P993/$G$1, 0)</f>
        <v>0</v>
      </c>
      <c r="I42" s="3">
        <f>ROUNDUP('S27 Material Flow Matrix'!Q993/$G$1, 0)</f>
        <v>0</v>
      </c>
      <c r="J42" s="3">
        <f>ROUNDUP('S27 Material Flow Matrix'!R993/$G$1, 0)</f>
        <v>0</v>
      </c>
      <c r="K42" s="3">
        <f>ROUNDUP('S27 Material Flow Matrix'!S993/$G$1, 0)</f>
        <v>0</v>
      </c>
      <c r="L42" s="3">
        <f>ROUNDUP('S27 Material Flow Matrix'!T993/$G$1, 0)</f>
        <v>0</v>
      </c>
      <c r="M42" s="3">
        <f>ROUNDUP('S27 Material Flow Matrix'!U993/$G$1, 0)</f>
        <v>0</v>
      </c>
      <c r="N42" s="3">
        <f>ROUNDUP('S27 Material Flow Matrix'!V993/$G$1, 0)</f>
        <v>0</v>
      </c>
      <c r="O42" s="3">
        <f>ROUNDUP('S27 Material Flow Matrix'!W993/$G$1, 0)</f>
        <v>0</v>
      </c>
      <c r="P42" s="3">
        <f>ROUNDUP('S27 Material Flow Matrix'!X993/$G$1, 0)</f>
        <v>0</v>
      </c>
      <c r="Q42" s="3">
        <f>ROUNDUP('S27 Material Flow Matrix'!Y993/$G$1, 0)</f>
        <v>0</v>
      </c>
      <c r="R42" s="3">
        <f>ROUNDUP('S27 Material Flow Matrix'!Z993/$G$1, 0)</f>
        <v>0</v>
      </c>
      <c r="S42" s="3">
        <f>ROUNDUP('S27 Material Flow Matrix'!AA993/$G$1, 0)</f>
        <v>0</v>
      </c>
      <c r="T42" s="3">
        <f>ROUNDUP('S27 Material Flow Matrix'!AB993/$G$1, 0)</f>
        <v>0</v>
      </c>
      <c r="U42" s="3">
        <f>ROUNDUP('S27 Material Flow Matrix'!AC993/$G$1, 0)</f>
        <v>0</v>
      </c>
      <c r="V42" s="3">
        <f>ROUNDUP('S27 Material Flow Matrix'!AD993/$G$1, 0)</f>
        <v>0</v>
      </c>
      <c r="W42" s="3">
        <f>ROUNDUP('S27 Material Flow Matrix'!AE993/$G$1, 0)</f>
        <v>0</v>
      </c>
      <c r="X42" s="3">
        <f>ROUNDUP('S27 Material Flow Matrix'!AF993/$G$1, 0)</f>
        <v>0</v>
      </c>
      <c r="Y42" s="3">
        <f>ROUNDUP('S27 Material Flow Matrix'!AG993/$G$1, 0)</f>
        <v>0</v>
      </c>
      <c r="Z42" s="3">
        <f>ROUNDUP('S27 Material Flow Matrix'!AH993/$G$1, 0)</f>
        <v>0</v>
      </c>
      <c r="AA42" s="3">
        <f>ROUNDUP('S27 Material Flow Matrix'!AI993/$G$1, 0)</f>
        <v>0</v>
      </c>
      <c r="AB42" s="3">
        <f>ROUNDUP('S27 Material Flow Matrix'!AJ993/$G$1, 0)</f>
        <v>0</v>
      </c>
      <c r="AC42" s="3">
        <f>ROUNDUP('S27 Material Flow Matrix'!AK993/$G$1, 0)</f>
        <v>0</v>
      </c>
      <c r="AD42" s="3">
        <f>ROUNDUP('S27 Material Flow Matrix'!AL993/$G$1, 0)</f>
        <v>0</v>
      </c>
      <c r="AE42" s="3">
        <f>ROUNDUP('S27 Material Flow Matrix'!AM993/$G$1, 0)</f>
        <v>0</v>
      </c>
      <c r="AF42" s="3">
        <f>ROUNDUP('S27 Material Flow Matrix'!AN993/$G$1, 0)</f>
        <v>0</v>
      </c>
      <c r="AG42" s="3">
        <f>ROUNDUP('S27 Material Flow Matrix'!AO993/$G$1, 0)</f>
        <v>0</v>
      </c>
      <c r="AH42" s="3">
        <f>ROUNDUP('S27 Material Flow Matrix'!AP993/$G$1, 0)</f>
        <v>0</v>
      </c>
      <c r="AI42" s="3">
        <f>ROUNDUP('S27 Material Flow Matrix'!AQ993/$G$1, 0)</f>
        <v>0</v>
      </c>
      <c r="AJ42" s="3">
        <f>ROUNDUP('S27 Material Flow Matrix'!AR993/$G$1, 0)</f>
        <v>0</v>
      </c>
      <c r="AK42" s="3">
        <f>ROUNDUP('S27 Material Flow Matrix'!AS993/$G$1, 0)</f>
        <v>0</v>
      </c>
      <c r="AL42" s="3">
        <f>ROUNDUP('S27 Material Flow Matrix'!AT993/$G$1, 0)</f>
        <v>0</v>
      </c>
      <c r="AM42" s="3">
        <f>ROUNDUP('S27 Material Flow Matrix'!AU993/$G$1, 0)</f>
        <v>0</v>
      </c>
      <c r="AN42" s="3">
        <f>ROUNDUP('S27 Material Flow Matrix'!AV993/$G$1, 0)</f>
        <v>0</v>
      </c>
      <c r="AO42" s="3">
        <f>ROUNDUP('S27 Material Flow Matrix'!AW993/$G$1, 0)</f>
        <v>0</v>
      </c>
      <c r="AP42" s="3">
        <f>ROUNDUP('S27 Material Flow Matrix'!AX993/$G$1, 0)</f>
        <v>0</v>
      </c>
      <c r="AQ42" s="3">
        <f>ROUNDUP('S27 Material Flow Matrix'!AY993/$G$1, 0)</f>
        <v>0</v>
      </c>
      <c r="AR42" s="3">
        <f>ROUNDUP('S27 Material Flow Matrix'!AZ993/$G$1, 0)</f>
        <v>0</v>
      </c>
      <c r="AS42" s="3">
        <f>ROUNDUP('S27 Material Flow Matrix'!BA993/$G$1, 0)</f>
        <v>0</v>
      </c>
    </row>
    <row r="43" spans="1:45">
      <c r="A43" s="392" t="s">
        <v>1107</v>
      </c>
      <c r="B43" s="3">
        <f>ROUNDUP('S27 Material Flow Matrix'!J994/$G$1, 0)</f>
        <v>0</v>
      </c>
      <c r="C43" s="3">
        <f>ROUNDUP('S27 Material Flow Matrix'!K994/$G$1, 0)</f>
        <v>151</v>
      </c>
      <c r="D43" s="3">
        <f>ROUNDUP('S27 Material Flow Matrix'!L994/$G$1, 0)</f>
        <v>0</v>
      </c>
      <c r="E43" s="3">
        <f>ROUNDUP('S27 Material Flow Matrix'!M994/$G$1, 0)</f>
        <v>71</v>
      </c>
      <c r="F43" s="3">
        <f>ROUNDUP('S27 Material Flow Matrix'!N994/$G$1, 0)</f>
        <v>0</v>
      </c>
      <c r="G43" s="3">
        <f>ROUNDUP('S27 Material Flow Matrix'!O994/$G$1, 0)</f>
        <v>0</v>
      </c>
      <c r="H43" s="3">
        <f>ROUNDUP('S27 Material Flow Matrix'!P994/$G$1, 0)</f>
        <v>69</v>
      </c>
      <c r="I43" s="3">
        <f>ROUNDUP('S27 Material Flow Matrix'!Q994/$G$1, 0)</f>
        <v>0</v>
      </c>
      <c r="J43" s="3">
        <f>ROUNDUP('S27 Material Flow Matrix'!R994/$G$1, 0)</f>
        <v>0</v>
      </c>
      <c r="K43" s="3">
        <f>ROUNDUP('S27 Material Flow Matrix'!S994/$G$1, 0)</f>
        <v>0</v>
      </c>
      <c r="L43" s="3">
        <f>ROUNDUP('S27 Material Flow Matrix'!T994/$G$1, 0)</f>
        <v>0</v>
      </c>
      <c r="M43" s="3">
        <f>ROUNDUP('S27 Material Flow Matrix'!U994/$G$1, 0)</f>
        <v>0</v>
      </c>
      <c r="N43" s="3">
        <f>ROUNDUP('S27 Material Flow Matrix'!V994/$G$1, 0)</f>
        <v>0</v>
      </c>
      <c r="O43" s="3">
        <f>ROUNDUP('S27 Material Flow Matrix'!W994/$G$1, 0)</f>
        <v>0</v>
      </c>
      <c r="P43" s="3">
        <f>ROUNDUP('S27 Material Flow Matrix'!X994/$G$1, 0)</f>
        <v>0</v>
      </c>
      <c r="Q43" s="3">
        <f>ROUNDUP('S27 Material Flow Matrix'!Y994/$G$1, 0)</f>
        <v>0</v>
      </c>
      <c r="R43" s="3">
        <f>ROUNDUP('S27 Material Flow Matrix'!Z994/$G$1, 0)</f>
        <v>0</v>
      </c>
      <c r="S43" s="3">
        <f>ROUNDUP('S27 Material Flow Matrix'!AA994/$G$1, 0)</f>
        <v>0</v>
      </c>
      <c r="T43" s="3">
        <f>ROUNDUP('S27 Material Flow Matrix'!AB994/$G$1, 0)</f>
        <v>0</v>
      </c>
      <c r="U43" s="3">
        <f>ROUNDUP('S27 Material Flow Matrix'!AC994/$G$1, 0)</f>
        <v>0</v>
      </c>
      <c r="V43" s="3">
        <f>ROUNDUP('S27 Material Flow Matrix'!AD994/$G$1, 0)</f>
        <v>0</v>
      </c>
      <c r="W43" s="3">
        <f>ROUNDUP('S27 Material Flow Matrix'!AE994/$G$1, 0)</f>
        <v>0</v>
      </c>
      <c r="X43" s="3">
        <f>ROUNDUP('S27 Material Flow Matrix'!AF994/$G$1, 0)</f>
        <v>0</v>
      </c>
      <c r="Y43" s="3">
        <f>ROUNDUP('S27 Material Flow Matrix'!AG994/$G$1, 0)</f>
        <v>0</v>
      </c>
      <c r="Z43" s="3">
        <f>ROUNDUP('S27 Material Flow Matrix'!AH994/$G$1, 0)</f>
        <v>0</v>
      </c>
      <c r="AA43" s="3">
        <f>ROUNDUP('S27 Material Flow Matrix'!AI994/$G$1, 0)</f>
        <v>0</v>
      </c>
      <c r="AB43" s="3">
        <f>ROUNDUP('S27 Material Flow Matrix'!AJ994/$G$1, 0)</f>
        <v>0</v>
      </c>
      <c r="AC43" s="3">
        <f>ROUNDUP('S27 Material Flow Matrix'!AK994/$G$1, 0)</f>
        <v>0</v>
      </c>
      <c r="AD43" s="3">
        <f>ROUNDUP('S27 Material Flow Matrix'!AL994/$G$1, 0)</f>
        <v>0</v>
      </c>
      <c r="AE43" s="3">
        <f>ROUNDUP('S27 Material Flow Matrix'!AM994/$G$1, 0)</f>
        <v>0</v>
      </c>
      <c r="AF43" s="3">
        <f>ROUNDUP('S27 Material Flow Matrix'!AN994/$G$1, 0)</f>
        <v>0</v>
      </c>
      <c r="AG43" s="3">
        <f>ROUNDUP('S27 Material Flow Matrix'!AO994/$G$1, 0)</f>
        <v>0</v>
      </c>
      <c r="AH43" s="3">
        <f>ROUNDUP('S27 Material Flow Matrix'!AP994/$G$1, 0)</f>
        <v>0</v>
      </c>
      <c r="AI43" s="3">
        <f>ROUNDUP('S27 Material Flow Matrix'!AQ994/$G$1, 0)</f>
        <v>0</v>
      </c>
      <c r="AJ43" s="3">
        <f>ROUNDUP('S27 Material Flow Matrix'!AR994/$G$1, 0)</f>
        <v>0</v>
      </c>
      <c r="AK43" s="3">
        <f>ROUNDUP('S27 Material Flow Matrix'!AS994/$G$1, 0)</f>
        <v>0</v>
      </c>
      <c r="AL43" s="3">
        <f>ROUNDUP('S27 Material Flow Matrix'!AT994/$G$1, 0)</f>
        <v>0</v>
      </c>
      <c r="AM43" s="3">
        <f>ROUNDUP('S27 Material Flow Matrix'!AU994/$G$1, 0)</f>
        <v>0</v>
      </c>
      <c r="AN43" s="3">
        <f>ROUNDUP('S27 Material Flow Matrix'!AV994/$G$1, 0)</f>
        <v>0</v>
      </c>
      <c r="AO43" s="3">
        <f>ROUNDUP('S27 Material Flow Matrix'!AW994/$G$1, 0)</f>
        <v>0</v>
      </c>
      <c r="AP43" s="3">
        <f>ROUNDUP('S27 Material Flow Matrix'!AX994/$G$1, 0)</f>
        <v>0</v>
      </c>
      <c r="AQ43" s="3">
        <f>ROUNDUP('S27 Material Flow Matrix'!AY994/$G$1, 0)</f>
        <v>0</v>
      </c>
      <c r="AR43" s="3">
        <f>ROUNDUP('S27 Material Flow Matrix'!AZ994/$G$1, 0)</f>
        <v>0</v>
      </c>
      <c r="AS43" s="3">
        <f>ROUNDUP('S27 Material Flow Matrix'!BA994/$G$1, 0)</f>
        <v>0</v>
      </c>
    </row>
    <row r="44" spans="1:45">
      <c r="A44" s="392" t="s">
        <v>1109</v>
      </c>
      <c r="B44" s="3">
        <f>ROUNDUP('S27 Material Flow Matrix'!J995/$G$1, 0)</f>
        <v>0</v>
      </c>
      <c r="C44" s="3">
        <f>ROUNDUP('S27 Material Flow Matrix'!K995/$G$1, 0)</f>
        <v>0</v>
      </c>
      <c r="D44" s="3">
        <f>ROUNDUP('S27 Material Flow Matrix'!L995/$G$1, 0)</f>
        <v>0</v>
      </c>
      <c r="E44" s="3">
        <f>ROUNDUP('S27 Material Flow Matrix'!M995/$G$1, 0)</f>
        <v>0</v>
      </c>
      <c r="F44" s="3">
        <f>ROUNDUP('S27 Material Flow Matrix'!N995/$G$1, 0)</f>
        <v>0</v>
      </c>
      <c r="G44" s="3">
        <f>ROUNDUP('S27 Material Flow Matrix'!O995/$G$1, 0)</f>
        <v>0</v>
      </c>
      <c r="H44" s="3">
        <f>ROUNDUP('S27 Material Flow Matrix'!P995/$G$1, 0)</f>
        <v>0</v>
      </c>
      <c r="I44" s="3">
        <f>ROUNDUP('S27 Material Flow Matrix'!Q995/$G$1, 0)</f>
        <v>0</v>
      </c>
      <c r="J44" s="3">
        <f>ROUNDUP('S27 Material Flow Matrix'!R995/$G$1, 0)</f>
        <v>0</v>
      </c>
      <c r="K44" s="3">
        <f>ROUNDUP('S27 Material Flow Matrix'!S995/$G$1, 0)</f>
        <v>0</v>
      </c>
      <c r="L44" s="3">
        <f>ROUNDUP('S27 Material Flow Matrix'!T995/$G$1, 0)</f>
        <v>0</v>
      </c>
      <c r="M44" s="3">
        <f>ROUNDUP('S27 Material Flow Matrix'!U995/$G$1, 0)</f>
        <v>0</v>
      </c>
      <c r="N44" s="3">
        <f>ROUNDUP('S27 Material Flow Matrix'!V995/$G$1, 0)</f>
        <v>0</v>
      </c>
      <c r="O44" s="3">
        <f>ROUNDUP('S27 Material Flow Matrix'!W995/$G$1, 0)</f>
        <v>0</v>
      </c>
      <c r="P44" s="3">
        <f>ROUNDUP('S27 Material Flow Matrix'!X995/$G$1, 0)</f>
        <v>0</v>
      </c>
      <c r="Q44" s="3">
        <f>ROUNDUP('S27 Material Flow Matrix'!Y995/$G$1, 0)</f>
        <v>0</v>
      </c>
      <c r="R44" s="3">
        <f>ROUNDUP('S27 Material Flow Matrix'!Z995/$G$1, 0)</f>
        <v>0</v>
      </c>
      <c r="S44" s="3">
        <f>ROUNDUP('S27 Material Flow Matrix'!AA995/$G$1, 0)</f>
        <v>0</v>
      </c>
      <c r="T44" s="3">
        <f>ROUNDUP('S27 Material Flow Matrix'!AB995/$G$1, 0)</f>
        <v>0</v>
      </c>
      <c r="U44" s="3">
        <f>ROUNDUP('S27 Material Flow Matrix'!AC995/$G$1, 0)</f>
        <v>0</v>
      </c>
      <c r="V44" s="3">
        <f>ROUNDUP('S27 Material Flow Matrix'!AD995/$G$1, 0)</f>
        <v>0</v>
      </c>
      <c r="W44" s="3">
        <f>ROUNDUP('S27 Material Flow Matrix'!AE995/$G$1, 0)</f>
        <v>0</v>
      </c>
      <c r="X44" s="3">
        <f>ROUNDUP('S27 Material Flow Matrix'!AF995/$G$1, 0)</f>
        <v>0</v>
      </c>
      <c r="Y44" s="3">
        <f>ROUNDUP('S27 Material Flow Matrix'!AG995/$G$1, 0)</f>
        <v>0</v>
      </c>
      <c r="Z44" s="3">
        <f>ROUNDUP('S27 Material Flow Matrix'!AH995/$G$1, 0)</f>
        <v>0</v>
      </c>
      <c r="AA44" s="3">
        <f>ROUNDUP('S27 Material Flow Matrix'!AI995/$G$1, 0)</f>
        <v>0</v>
      </c>
      <c r="AB44" s="3">
        <f>ROUNDUP('S27 Material Flow Matrix'!AJ995/$G$1, 0)</f>
        <v>0</v>
      </c>
      <c r="AC44" s="3">
        <f>ROUNDUP('S27 Material Flow Matrix'!AK995/$G$1, 0)</f>
        <v>0</v>
      </c>
      <c r="AD44" s="3">
        <f>ROUNDUP('S27 Material Flow Matrix'!AL995/$G$1, 0)</f>
        <v>0</v>
      </c>
      <c r="AE44" s="3">
        <f>ROUNDUP('S27 Material Flow Matrix'!AM995/$G$1, 0)</f>
        <v>0</v>
      </c>
      <c r="AF44" s="3">
        <f>ROUNDUP('S27 Material Flow Matrix'!AN995/$G$1, 0)</f>
        <v>0</v>
      </c>
      <c r="AG44" s="3">
        <f>ROUNDUP('S27 Material Flow Matrix'!AO995/$G$1, 0)</f>
        <v>0</v>
      </c>
      <c r="AH44" s="3">
        <f>ROUNDUP('S27 Material Flow Matrix'!AP995/$G$1, 0)</f>
        <v>0</v>
      </c>
      <c r="AI44" s="3">
        <f>ROUNDUP('S27 Material Flow Matrix'!AQ995/$G$1, 0)</f>
        <v>0</v>
      </c>
      <c r="AJ44" s="3">
        <f>ROUNDUP('S27 Material Flow Matrix'!AR995/$G$1, 0)</f>
        <v>0</v>
      </c>
      <c r="AK44" s="3">
        <f>ROUNDUP('S27 Material Flow Matrix'!AS995/$G$1, 0)</f>
        <v>0</v>
      </c>
      <c r="AL44" s="3">
        <f>ROUNDUP('S27 Material Flow Matrix'!AT995/$G$1, 0)</f>
        <v>0</v>
      </c>
      <c r="AM44" s="3">
        <f>ROUNDUP('S27 Material Flow Matrix'!AU995/$G$1, 0)</f>
        <v>0</v>
      </c>
      <c r="AN44" s="3">
        <f>ROUNDUP('S27 Material Flow Matrix'!AV995/$G$1, 0)</f>
        <v>0</v>
      </c>
      <c r="AO44" s="3">
        <f>ROUNDUP('S27 Material Flow Matrix'!AW995/$G$1, 0)</f>
        <v>0</v>
      </c>
      <c r="AP44" s="3">
        <f>ROUNDUP('S27 Material Flow Matrix'!AX995/$G$1, 0)</f>
        <v>0</v>
      </c>
      <c r="AQ44" s="3">
        <f>ROUNDUP('S27 Material Flow Matrix'!AY995/$G$1, 0)</f>
        <v>0</v>
      </c>
      <c r="AR44" s="3">
        <f>ROUNDUP('S27 Material Flow Matrix'!AZ995/$G$1, 0)</f>
        <v>0</v>
      </c>
      <c r="AS44" s="3">
        <f>ROUNDUP('S27 Material Flow Matrix'!BA995/$G$1, 0)</f>
        <v>0</v>
      </c>
    </row>
    <row r="45" spans="1:45">
      <c r="A45" s="392" t="s">
        <v>1111</v>
      </c>
      <c r="B45" s="3">
        <f>ROUNDUP('S27 Material Flow Matrix'!J996/$G$1, 0)</f>
        <v>0</v>
      </c>
      <c r="C45" s="3">
        <f>ROUNDUP('S27 Material Flow Matrix'!K996/$G$1, 0)</f>
        <v>0</v>
      </c>
      <c r="D45" s="3">
        <f>ROUNDUP('S27 Material Flow Matrix'!L996/$G$1, 0)</f>
        <v>0</v>
      </c>
      <c r="E45" s="3">
        <f>ROUNDUP('S27 Material Flow Matrix'!M996/$G$1, 0)</f>
        <v>0</v>
      </c>
      <c r="F45" s="3">
        <f>ROUNDUP('S27 Material Flow Matrix'!N996/$G$1, 0)</f>
        <v>0</v>
      </c>
      <c r="G45" s="3">
        <f>ROUNDUP('S27 Material Flow Matrix'!O996/$G$1, 0)</f>
        <v>0</v>
      </c>
      <c r="H45" s="3">
        <f>ROUNDUP('S27 Material Flow Matrix'!P996/$G$1, 0)</f>
        <v>0</v>
      </c>
      <c r="I45" s="3">
        <f>ROUNDUP('S27 Material Flow Matrix'!Q996/$G$1, 0)</f>
        <v>0</v>
      </c>
      <c r="J45" s="3">
        <f>ROUNDUP('S27 Material Flow Matrix'!R996/$G$1, 0)</f>
        <v>0</v>
      </c>
      <c r="K45" s="3">
        <f>ROUNDUP('S27 Material Flow Matrix'!S996/$G$1, 0)</f>
        <v>0</v>
      </c>
      <c r="L45" s="3">
        <f>ROUNDUP('S27 Material Flow Matrix'!T996/$G$1, 0)</f>
        <v>0</v>
      </c>
      <c r="M45" s="3">
        <f>ROUNDUP('S27 Material Flow Matrix'!U996/$G$1, 0)</f>
        <v>0</v>
      </c>
      <c r="N45" s="3">
        <f>ROUNDUP('S27 Material Flow Matrix'!V996/$G$1, 0)</f>
        <v>0</v>
      </c>
      <c r="O45" s="3">
        <f>ROUNDUP('S27 Material Flow Matrix'!W996/$G$1, 0)</f>
        <v>0</v>
      </c>
      <c r="P45" s="3">
        <f>ROUNDUP('S27 Material Flow Matrix'!X996/$G$1, 0)</f>
        <v>0</v>
      </c>
      <c r="Q45" s="3">
        <f>ROUNDUP('S27 Material Flow Matrix'!Y996/$G$1, 0)</f>
        <v>0</v>
      </c>
      <c r="R45" s="3">
        <f>ROUNDUP('S27 Material Flow Matrix'!Z996/$G$1, 0)</f>
        <v>0</v>
      </c>
      <c r="S45" s="3">
        <f>ROUNDUP('S27 Material Flow Matrix'!AA996/$G$1, 0)</f>
        <v>0</v>
      </c>
      <c r="T45" s="3">
        <f>ROUNDUP('S27 Material Flow Matrix'!AB996/$G$1, 0)</f>
        <v>0</v>
      </c>
      <c r="U45" s="3">
        <f>ROUNDUP('S27 Material Flow Matrix'!AC996/$G$1, 0)</f>
        <v>0</v>
      </c>
      <c r="V45" s="3">
        <f>ROUNDUP('S27 Material Flow Matrix'!AD996/$G$1, 0)</f>
        <v>0</v>
      </c>
      <c r="W45" s="3">
        <f>ROUNDUP('S27 Material Flow Matrix'!AE996/$G$1, 0)</f>
        <v>0</v>
      </c>
      <c r="X45" s="3">
        <f>ROUNDUP('S27 Material Flow Matrix'!AF996/$G$1, 0)</f>
        <v>0</v>
      </c>
      <c r="Y45" s="3">
        <f>ROUNDUP('S27 Material Flow Matrix'!AG996/$G$1, 0)</f>
        <v>0</v>
      </c>
      <c r="Z45" s="3">
        <f>ROUNDUP('S27 Material Flow Matrix'!AH996/$G$1, 0)</f>
        <v>0</v>
      </c>
      <c r="AA45" s="3">
        <f>ROUNDUP('S27 Material Flow Matrix'!AI996/$G$1, 0)</f>
        <v>0</v>
      </c>
      <c r="AB45" s="3">
        <f>ROUNDUP('S27 Material Flow Matrix'!AJ996/$G$1, 0)</f>
        <v>0</v>
      </c>
      <c r="AC45" s="3">
        <f>ROUNDUP('S27 Material Flow Matrix'!AK996/$G$1, 0)</f>
        <v>0</v>
      </c>
      <c r="AD45" s="3">
        <f>ROUNDUP('S27 Material Flow Matrix'!AL996/$G$1, 0)</f>
        <v>0</v>
      </c>
      <c r="AE45" s="3">
        <f>ROUNDUP('S27 Material Flow Matrix'!AM996/$G$1, 0)</f>
        <v>0</v>
      </c>
      <c r="AF45" s="3">
        <f>ROUNDUP('S27 Material Flow Matrix'!AN996/$G$1, 0)</f>
        <v>0</v>
      </c>
      <c r="AG45" s="3">
        <f>ROUNDUP('S27 Material Flow Matrix'!AO996/$G$1, 0)</f>
        <v>0</v>
      </c>
      <c r="AH45" s="3">
        <f>ROUNDUP('S27 Material Flow Matrix'!AP996/$G$1, 0)</f>
        <v>0</v>
      </c>
      <c r="AI45" s="3">
        <f>ROUNDUP('S27 Material Flow Matrix'!AQ996/$G$1, 0)</f>
        <v>0</v>
      </c>
      <c r="AJ45" s="3">
        <f>ROUNDUP('S27 Material Flow Matrix'!AR996/$G$1, 0)</f>
        <v>0</v>
      </c>
      <c r="AK45" s="3">
        <f>ROUNDUP('S27 Material Flow Matrix'!AS996/$G$1, 0)</f>
        <v>0</v>
      </c>
      <c r="AL45" s="3">
        <f>ROUNDUP('S27 Material Flow Matrix'!AT996/$G$1, 0)</f>
        <v>0</v>
      </c>
      <c r="AM45" s="3">
        <f>ROUNDUP('S27 Material Flow Matrix'!AU996/$G$1, 0)</f>
        <v>0</v>
      </c>
      <c r="AN45" s="3">
        <f>ROUNDUP('S27 Material Flow Matrix'!AV996/$G$1, 0)</f>
        <v>0</v>
      </c>
      <c r="AO45" s="3">
        <f>ROUNDUP('S27 Material Flow Matrix'!AW996/$G$1, 0)</f>
        <v>0</v>
      </c>
      <c r="AP45" s="3">
        <f>ROUNDUP('S27 Material Flow Matrix'!AX996/$G$1, 0)</f>
        <v>0</v>
      </c>
      <c r="AQ45" s="3">
        <f>ROUNDUP('S27 Material Flow Matrix'!AY996/$G$1, 0)</f>
        <v>0</v>
      </c>
      <c r="AR45" s="3">
        <f>ROUNDUP('S27 Material Flow Matrix'!AZ996/$G$1, 0)</f>
        <v>0</v>
      </c>
      <c r="AS45" s="3">
        <f>ROUNDUP('S27 Material Flow Matrix'!BA996/$G$1, 0)</f>
        <v>0</v>
      </c>
    </row>
    <row r="46" spans="1:45">
      <c r="A46" s="392" t="s">
        <v>1112</v>
      </c>
      <c r="B46" s="3">
        <f>ROUNDUP('S27 Material Flow Matrix'!J997/$G$1, 0)</f>
        <v>0</v>
      </c>
      <c r="C46" s="3">
        <f>ROUNDUP('S27 Material Flow Matrix'!K997/$G$1, 0)</f>
        <v>0</v>
      </c>
      <c r="D46" s="3">
        <f>ROUNDUP('S27 Material Flow Matrix'!L997/$G$1, 0)</f>
        <v>0</v>
      </c>
      <c r="E46" s="3">
        <f>ROUNDUP('S27 Material Flow Matrix'!M997/$G$1, 0)</f>
        <v>0</v>
      </c>
      <c r="F46" s="3">
        <f>ROUNDUP('S27 Material Flow Matrix'!N997/$G$1, 0)</f>
        <v>0</v>
      </c>
      <c r="G46" s="3">
        <f>ROUNDUP('S27 Material Flow Matrix'!O997/$G$1, 0)</f>
        <v>0</v>
      </c>
      <c r="H46" s="3">
        <f>ROUNDUP('S27 Material Flow Matrix'!P997/$G$1, 0)</f>
        <v>0</v>
      </c>
      <c r="I46" s="3">
        <f>ROUNDUP('S27 Material Flow Matrix'!Q997/$G$1, 0)</f>
        <v>0</v>
      </c>
      <c r="J46" s="3">
        <f>ROUNDUP('S27 Material Flow Matrix'!R997/$G$1, 0)</f>
        <v>0</v>
      </c>
      <c r="K46" s="3">
        <f>ROUNDUP('S27 Material Flow Matrix'!S997/$G$1, 0)</f>
        <v>0</v>
      </c>
      <c r="L46" s="3">
        <f>ROUNDUP('S27 Material Flow Matrix'!T997/$G$1, 0)</f>
        <v>0</v>
      </c>
      <c r="M46" s="3">
        <f>ROUNDUP('S27 Material Flow Matrix'!U997/$G$1, 0)</f>
        <v>0</v>
      </c>
      <c r="N46" s="3">
        <f>ROUNDUP('S27 Material Flow Matrix'!V997/$G$1, 0)</f>
        <v>0</v>
      </c>
      <c r="O46" s="3">
        <f>ROUNDUP('S27 Material Flow Matrix'!W997/$G$1, 0)</f>
        <v>0</v>
      </c>
      <c r="P46" s="3">
        <f>ROUNDUP('S27 Material Flow Matrix'!X997/$G$1, 0)</f>
        <v>0</v>
      </c>
      <c r="Q46" s="3">
        <f>ROUNDUP('S27 Material Flow Matrix'!Y997/$G$1, 0)</f>
        <v>0</v>
      </c>
      <c r="R46" s="3">
        <f>ROUNDUP('S27 Material Flow Matrix'!Z997/$G$1, 0)</f>
        <v>0</v>
      </c>
      <c r="S46" s="3">
        <f>ROUNDUP('S27 Material Flow Matrix'!AA997/$G$1, 0)</f>
        <v>0</v>
      </c>
      <c r="T46" s="3">
        <f>ROUNDUP('S27 Material Flow Matrix'!AB997/$G$1, 0)</f>
        <v>0</v>
      </c>
      <c r="U46" s="3">
        <f>ROUNDUP('S27 Material Flow Matrix'!AC997/$G$1, 0)</f>
        <v>0</v>
      </c>
      <c r="V46" s="3">
        <f>ROUNDUP('S27 Material Flow Matrix'!AD997/$G$1, 0)</f>
        <v>0</v>
      </c>
      <c r="W46" s="3">
        <f>ROUNDUP('S27 Material Flow Matrix'!AE997/$G$1, 0)</f>
        <v>0</v>
      </c>
      <c r="X46" s="3">
        <f>ROUNDUP('S27 Material Flow Matrix'!AF997/$G$1, 0)</f>
        <v>0</v>
      </c>
      <c r="Y46" s="3">
        <f>ROUNDUP('S27 Material Flow Matrix'!AG997/$G$1, 0)</f>
        <v>0</v>
      </c>
      <c r="Z46" s="3">
        <f>ROUNDUP('S27 Material Flow Matrix'!AH997/$G$1, 0)</f>
        <v>0</v>
      </c>
      <c r="AA46" s="3">
        <f>ROUNDUP('S27 Material Flow Matrix'!AI997/$G$1, 0)</f>
        <v>0</v>
      </c>
      <c r="AB46" s="3">
        <f>ROUNDUP('S27 Material Flow Matrix'!AJ997/$G$1, 0)</f>
        <v>0</v>
      </c>
      <c r="AC46" s="3">
        <f>ROUNDUP('S27 Material Flow Matrix'!AK997/$G$1, 0)</f>
        <v>0</v>
      </c>
      <c r="AD46" s="3">
        <f>ROUNDUP('S27 Material Flow Matrix'!AL997/$G$1, 0)</f>
        <v>0</v>
      </c>
      <c r="AE46" s="3">
        <f>ROUNDUP('S27 Material Flow Matrix'!AM997/$G$1, 0)</f>
        <v>0</v>
      </c>
      <c r="AF46" s="3">
        <f>ROUNDUP('S27 Material Flow Matrix'!AN997/$G$1, 0)</f>
        <v>0</v>
      </c>
      <c r="AG46" s="3">
        <f>ROUNDUP('S27 Material Flow Matrix'!AO997/$G$1, 0)</f>
        <v>0</v>
      </c>
      <c r="AH46" s="3">
        <f>ROUNDUP('S27 Material Flow Matrix'!AP997/$G$1, 0)</f>
        <v>0</v>
      </c>
      <c r="AI46" s="3">
        <f>ROUNDUP('S27 Material Flow Matrix'!AQ997/$G$1, 0)</f>
        <v>0</v>
      </c>
      <c r="AJ46" s="3">
        <f>ROUNDUP('S27 Material Flow Matrix'!AR997/$G$1, 0)</f>
        <v>0</v>
      </c>
      <c r="AK46" s="3">
        <f>ROUNDUP('S27 Material Flow Matrix'!AS997/$G$1, 0)</f>
        <v>213</v>
      </c>
      <c r="AL46" s="3">
        <f>ROUNDUP('S27 Material Flow Matrix'!AT997/$G$1, 0)</f>
        <v>0</v>
      </c>
      <c r="AM46" s="3">
        <f>ROUNDUP('S27 Material Flow Matrix'!AU997/$G$1, 0)</f>
        <v>89</v>
      </c>
      <c r="AN46" s="3">
        <f>ROUNDUP('S27 Material Flow Matrix'!AV997/$G$1, 0)</f>
        <v>0</v>
      </c>
      <c r="AO46" s="3">
        <f>ROUNDUP('S27 Material Flow Matrix'!AW997/$G$1, 0)</f>
        <v>290</v>
      </c>
      <c r="AP46" s="3">
        <f>ROUNDUP('S27 Material Flow Matrix'!AX997/$G$1, 0)</f>
        <v>0</v>
      </c>
      <c r="AQ46" s="3">
        <f>ROUNDUP('S27 Material Flow Matrix'!AY997/$G$1, 0)</f>
        <v>0</v>
      </c>
      <c r="AR46" s="3">
        <f>ROUNDUP('S27 Material Flow Matrix'!AZ997/$G$1, 0)</f>
        <v>0</v>
      </c>
      <c r="AS46" s="3">
        <f>ROUNDUP('S27 Material Flow Matrix'!BA997/$G$1, 0)</f>
        <v>0</v>
      </c>
    </row>
    <row r="47" spans="1:45">
      <c r="A47" s="392" t="s">
        <v>1113</v>
      </c>
      <c r="B47" s="3">
        <f>ROUNDUP('S27 Material Flow Matrix'!J998/$G$1, 0)</f>
        <v>0</v>
      </c>
      <c r="C47" s="3">
        <f>ROUNDUP('S27 Material Flow Matrix'!K998/$G$1, 0)</f>
        <v>0</v>
      </c>
      <c r="D47" s="3">
        <f>ROUNDUP('S27 Material Flow Matrix'!L998/$G$1, 0)</f>
        <v>0</v>
      </c>
      <c r="E47" s="3">
        <f>ROUNDUP('S27 Material Flow Matrix'!M998/$G$1, 0)</f>
        <v>0</v>
      </c>
      <c r="F47" s="3">
        <f>ROUNDUP('S27 Material Flow Matrix'!N998/$G$1, 0)</f>
        <v>0</v>
      </c>
      <c r="G47" s="3">
        <f>ROUNDUP('S27 Material Flow Matrix'!O998/$G$1, 0)</f>
        <v>0</v>
      </c>
      <c r="H47" s="3">
        <f>ROUNDUP('S27 Material Flow Matrix'!P998/$G$1, 0)</f>
        <v>0</v>
      </c>
      <c r="I47" s="3">
        <f>ROUNDUP('S27 Material Flow Matrix'!Q998/$G$1, 0)</f>
        <v>0</v>
      </c>
      <c r="J47" s="3">
        <f>ROUNDUP('S27 Material Flow Matrix'!R998/$G$1, 0)</f>
        <v>0</v>
      </c>
      <c r="K47" s="3">
        <f>ROUNDUP('S27 Material Flow Matrix'!S998/$G$1, 0)</f>
        <v>0</v>
      </c>
      <c r="L47" s="3">
        <f>ROUNDUP('S27 Material Flow Matrix'!T998/$G$1, 0)</f>
        <v>0</v>
      </c>
      <c r="M47" s="3">
        <f>ROUNDUP('S27 Material Flow Matrix'!U998/$G$1, 0)</f>
        <v>0</v>
      </c>
      <c r="N47" s="3">
        <f>ROUNDUP('S27 Material Flow Matrix'!V998/$G$1, 0)</f>
        <v>0</v>
      </c>
      <c r="O47" s="3">
        <f>ROUNDUP('S27 Material Flow Matrix'!W998/$G$1, 0)</f>
        <v>0</v>
      </c>
      <c r="P47" s="3">
        <f>ROUNDUP('S27 Material Flow Matrix'!X998/$G$1, 0)</f>
        <v>0</v>
      </c>
      <c r="Q47" s="3">
        <f>ROUNDUP('S27 Material Flow Matrix'!Y998/$G$1, 0)</f>
        <v>0</v>
      </c>
      <c r="R47" s="3">
        <f>ROUNDUP('S27 Material Flow Matrix'!Z998/$G$1, 0)</f>
        <v>0</v>
      </c>
      <c r="S47" s="3">
        <f>ROUNDUP('S27 Material Flow Matrix'!AA998/$G$1, 0)</f>
        <v>0</v>
      </c>
      <c r="T47" s="3">
        <f>ROUNDUP('S27 Material Flow Matrix'!AB998/$G$1, 0)</f>
        <v>0</v>
      </c>
      <c r="U47" s="3">
        <f>ROUNDUP('S27 Material Flow Matrix'!AC998/$G$1, 0)</f>
        <v>0</v>
      </c>
      <c r="V47" s="3">
        <f>ROUNDUP('S27 Material Flow Matrix'!AD998/$G$1, 0)</f>
        <v>0</v>
      </c>
      <c r="W47" s="3">
        <f>ROUNDUP('S27 Material Flow Matrix'!AE998/$G$1, 0)</f>
        <v>0</v>
      </c>
      <c r="X47" s="3">
        <f>ROUNDUP('S27 Material Flow Matrix'!AF998/$G$1, 0)</f>
        <v>0</v>
      </c>
      <c r="Y47" s="3">
        <f>ROUNDUP('S27 Material Flow Matrix'!AG998/$G$1, 0)</f>
        <v>0</v>
      </c>
      <c r="Z47" s="3">
        <f>ROUNDUP('S27 Material Flow Matrix'!AH998/$G$1, 0)</f>
        <v>0</v>
      </c>
      <c r="AA47" s="3">
        <f>ROUNDUP('S27 Material Flow Matrix'!AI998/$G$1, 0)</f>
        <v>0</v>
      </c>
      <c r="AB47" s="3">
        <f>ROUNDUP('S27 Material Flow Matrix'!AJ998/$G$1, 0)</f>
        <v>0</v>
      </c>
      <c r="AC47" s="3">
        <f>ROUNDUP('S27 Material Flow Matrix'!AK998/$G$1, 0)</f>
        <v>0</v>
      </c>
      <c r="AD47" s="3">
        <f>ROUNDUP('S27 Material Flow Matrix'!AL998/$G$1, 0)</f>
        <v>0</v>
      </c>
      <c r="AE47" s="3">
        <f>ROUNDUP('S27 Material Flow Matrix'!AM998/$G$1, 0)</f>
        <v>0</v>
      </c>
      <c r="AF47" s="3">
        <f>ROUNDUP('S27 Material Flow Matrix'!AN998/$G$1, 0)</f>
        <v>0</v>
      </c>
      <c r="AG47" s="3">
        <f>ROUNDUP('S27 Material Flow Matrix'!AO998/$G$1, 0)</f>
        <v>0</v>
      </c>
      <c r="AH47" s="3">
        <f>ROUNDUP('S27 Material Flow Matrix'!AP998/$G$1, 0)</f>
        <v>0</v>
      </c>
      <c r="AI47" s="3">
        <f>ROUNDUP('S27 Material Flow Matrix'!AQ998/$G$1, 0)</f>
        <v>0</v>
      </c>
      <c r="AJ47" s="3">
        <f>ROUNDUP('S27 Material Flow Matrix'!AR998/$G$1, 0)</f>
        <v>0</v>
      </c>
      <c r="AK47" s="3">
        <f>ROUNDUP('S27 Material Flow Matrix'!AS998/$G$1, 0)</f>
        <v>0</v>
      </c>
      <c r="AL47" s="3">
        <f>ROUNDUP('S27 Material Flow Matrix'!AT998/$G$1, 0)</f>
        <v>0</v>
      </c>
      <c r="AM47" s="3">
        <f>ROUNDUP('S27 Material Flow Matrix'!AU998/$G$1, 0)</f>
        <v>0</v>
      </c>
      <c r="AN47" s="3">
        <f>ROUNDUP('S27 Material Flow Matrix'!AV998/$G$1, 0)</f>
        <v>0</v>
      </c>
      <c r="AO47" s="3">
        <f>ROUNDUP('S27 Material Flow Matrix'!AW998/$G$1, 0)</f>
        <v>0</v>
      </c>
      <c r="AP47" s="3">
        <f>ROUNDUP('S27 Material Flow Matrix'!AX998/$G$1, 0)</f>
        <v>0</v>
      </c>
      <c r="AQ47" s="3">
        <f>ROUNDUP('S27 Material Flow Matrix'!AY998/$G$1, 0)</f>
        <v>0</v>
      </c>
      <c r="AR47" s="3">
        <f>ROUNDUP('S27 Material Flow Matrix'!AZ998/$G$1, 0)</f>
        <v>0</v>
      </c>
      <c r="AS47" s="3">
        <f>ROUNDUP('S27 Material Flow Matrix'!BA998/$G$1, 0)</f>
        <v>0</v>
      </c>
    </row>
  </sheetData>
  <conditionalFormatting sqref="B4:AS47">
    <cfRule type="cellIs" dxfId="2" priority="1" operator="equal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F6320-400C-2942-A18D-F3E3E0768C2B}">
  <sheetPr codeName="Sheet29"/>
  <dimension ref="A1:AS48"/>
  <sheetViews>
    <sheetView workbookViewId="0">
      <selection activeCell="AG51" sqref="AG51"/>
    </sheetView>
  </sheetViews>
  <sheetFormatPr defaultColWidth="11" defaultRowHeight="15.5"/>
  <cols>
    <col min="2" max="26" width="6.1640625" bestFit="1" customWidth="1"/>
    <col min="27" max="28" width="6.1640625" customWidth="1"/>
    <col min="29" max="45" width="6.1640625" bestFit="1" customWidth="1"/>
  </cols>
  <sheetData>
    <row r="1" spans="1:45">
      <c r="A1" t="s">
        <v>1220</v>
      </c>
      <c r="B1" t="s">
        <v>1221</v>
      </c>
    </row>
    <row r="3" spans="1:45">
      <c r="A3" s="394"/>
      <c r="B3" s="392" t="str">
        <f t="array" ref="B3:AS3">TRANSPOSE(A4:A47)</f>
        <v>WS-01</v>
      </c>
      <c r="C3" s="392" t="str">
        <v>WS-02</v>
      </c>
      <c r="D3" s="392" t="str">
        <v>WS-03</v>
      </c>
      <c r="E3" s="392" t="str">
        <v>WS-04</v>
      </c>
      <c r="F3" s="392" t="str">
        <v>WS-05</v>
      </c>
      <c r="G3" s="392" t="str">
        <v>WS-06</v>
      </c>
      <c r="H3" s="392" t="str">
        <v>WS-07</v>
      </c>
      <c r="I3" s="392" t="str">
        <v>WS-08</v>
      </c>
      <c r="J3" s="392" t="str">
        <v>WS-09</v>
      </c>
      <c r="K3" s="392" t="str">
        <v>WS-10</v>
      </c>
      <c r="L3" s="392" t="str">
        <v>WS-11</v>
      </c>
      <c r="M3" s="392" t="str">
        <v>WS-12</v>
      </c>
      <c r="N3" s="392" t="str">
        <v>WS-13</v>
      </c>
      <c r="O3" s="392" t="str">
        <v>WS-14</v>
      </c>
      <c r="P3" s="392" t="str">
        <v>WS-15</v>
      </c>
      <c r="Q3" s="392" t="str">
        <v>WS-16</v>
      </c>
      <c r="R3" s="392" t="str">
        <v>WS-17</v>
      </c>
      <c r="S3" s="392" t="str">
        <v>WS-18</v>
      </c>
      <c r="T3" s="392" t="str">
        <v>WS-19</v>
      </c>
      <c r="U3" s="392" t="str">
        <v>WS-20</v>
      </c>
      <c r="V3" s="392" t="str">
        <v>WS-21</v>
      </c>
      <c r="W3" s="392" t="str">
        <v>WS-22</v>
      </c>
      <c r="X3" s="392" t="str">
        <v>WS-23</v>
      </c>
      <c r="Y3" s="392" t="str">
        <v>WS-24</v>
      </c>
      <c r="Z3" s="392" t="str">
        <v>WS-25</v>
      </c>
      <c r="AA3" s="392" t="str">
        <v>WS-26</v>
      </c>
      <c r="AB3" s="392" t="str">
        <v>WS-27</v>
      </c>
      <c r="AC3" s="392" t="str">
        <v>WS-28</v>
      </c>
      <c r="AD3" s="392" t="str">
        <v>WS-29</v>
      </c>
      <c r="AE3" s="392" t="str">
        <v>WS-30</v>
      </c>
      <c r="AF3" s="392" t="str">
        <v>WS-31</v>
      </c>
      <c r="AG3" s="392" t="str">
        <v>WS-32</v>
      </c>
      <c r="AH3" s="392" t="str">
        <v>WS-33</v>
      </c>
      <c r="AI3" s="392" t="str">
        <v>WS-34</v>
      </c>
      <c r="AJ3" s="392" t="str">
        <v>WS-35</v>
      </c>
      <c r="AK3" s="392" t="str">
        <v>WS-36</v>
      </c>
      <c r="AL3" s="392" t="str">
        <v>WS-37</v>
      </c>
      <c r="AM3" s="392" t="str">
        <v>WS-38</v>
      </c>
      <c r="AN3" s="392" t="str">
        <v>WS-39</v>
      </c>
      <c r="AO3" s="392" t="str">
        <v>WS-40</v>
      </c>
      <c r="AP3" s="392" t="str">
        <v>WS-41</v>
      </c>
      <c r="AQ3" s="392" t="str">
        <v>WS-42</v>
      </c>
      <c r="AR3" s="392" t="str">
        <v>WS-43</v>
      </c>
      <c r="AS3" s="392" t="str">
        <v>WS-44</v>
      </c>
    </row>
    <row r="4" spans="1:45">
      <c r="A4" s="392" t="s">
        <v>1034</v>
      </c>
      <c r="B4" s="395"/>
      <c r="C4" s="3">
        <v>30</v>
      </c>
      <c r="D4" s="3">
        <v>21</v>
      </c>
      <c r="E4" s="3">
        <v>28</v>
      </c>
      <c r="F4" s="3">
        <v>18</v>
      </c>
      <c r="G4" s="3">
        <v>35</v>
      </c>
      <c r="H4" s="3">
        <v>44</v>
      </c>
      <c r="I4" s="3">
        <v>40</v>
      </c>
      <c r="J4" s="3">
        <v>39</v>
      </c>
      <c r="K4" s="3">
        <v>0</v>
      </c>
      <c r="L4" s="3">
        <v>40</v>
      </c>
      <c r="M4" s="3">
        <v>40</v>
      </c>
      <c r="N4" s="3">
        <v>41</v>
      </c>
      <c r="O4" s="3">
        <v>24</v>
      </c>
      <c r="P4" s="3">
        <v>23</v>
      </c>
      <c r="Q4" s="3">
        <v>49</v>
      </c>
      <c r="R4" s="3">
        <v>9</v>
      </c>
      <c r="S4" s="3">
        <v>43</v>
      </c>
      <c r="T4" s="3">
        <v>54</v>
      </c>
      <c r="U4" s="3">
        <v>41</v>
      </c>
      <c r="V4" s="3">
        <v>16</v>
      </c>
      <c r="W4" s="3">
        <v>41</v>
      </c>
      <c r="X4" s="3">
        <v>32</v>
      </c>
      <c r="Y4" s="3">
        <v>15</v>
      </c>
      <c r="Z4" s="3">
        <v>24</v>
      </c>
      <c r="AA4" s="3">
        <v>8</v>
      </c>
      <c r="AB4" s="3">
        <v>25</v>
      </c>
      <c r="AC4" s="3">
        <v>37</v>
      </c>
      <c r="AD4" s="3">
        <v>49</v>
      </c>
      <c r="AE4" s="3">
        <v>52</v>
      </c>
      <c r="AF4" s="3">
        <v>14</v>
      </c>
      <c r="AG4" s="3">
        <v>2</v>
      </c>
      <c r="AH4" s="3">
        <v>51</v>
      </c>
      <c r="AI4" s="3">
        <v>45</v>
      </c>
      <c r="AJ4" s="3">
        <v>36</v>
      </c>
      <c r="AK4" s="3">
        <v>19</v>
      </c>
      <c r="AL4" s="3">
        <v>22</v>
      </c>
      <c r="AM4" s="3">
        <v>34</v>
      </c>
      <c r="AN4" s="3">
        <v>11</v>
      </c>
      <c r="AO4" s="3">
        <v>27</v>
      </c>
      <c r="AP4" s="3">
        <v>26</v>
      </c>
      <c r="AQ4" s="3">
        <v>49</v>
      </c>
      <c r="AR4" s="3">
        <v>38</v>
      </c>
      <c r="AS4" s="3">
        <v>20</v>
      </c>
    </row>
    <row r="5" spans="1:45">
      <c r="A5" s="392" t="s">
        <v>1036</v>
      </c>
      <c r="B5" s="3">
        <v>30</v>
      </c>
      <c r="C5" s="395"/>
      <c r="D5" s="3">
        <v>30</v>
      </c>
      <c r="E5" s="3">
        <v>17</v>
      </c>
      <c r="F5" s="3">
        <v>8</v>
      </c>
      <c r="G5" s="3">
        <v>55</v>
      </c>
      <c r="H5" s="3">
        <v>13</v>
      </c>
      <c r="I5" s="3">
        <v>42</v>
      </c>
      <c r="J5" s="3">
        <v>21</v>
      </c>
      <c r="K5" s="3">
        <v>26</v>
      </c>
      <c r="L5" s="3">
        <v>17</v>
      </c>
      <c r="M5" s="3">
        <v>44</v>
      </c>
      <c r="N5" s="3">
        <v>11</v>
      </c>
      <c r="O5" s="3">
        <v>50</v>
      </c>
      <c r="P5" s="3">
        <v>25</v>
      </c>
      <c r="Q5" s="3">
        <v>44</v>
      </c>
      <c r="R5" s="3">
        <v>42</v>
      </c>
      <c r="S5" s="3">
        <v>16</v>
      </c>
      <c r="T5" s="3">
        <v>14</v>
      </c>
      <c r="U5" s="3">
        <v>14</v>
      </c>
      <c r="V5" s="3">
        <v>49</v>
      </c>
      <c r="W5" s="3">
        <v>15</v>
      </c>
      <c r="X5" s="3">
        <v>52</v>
      </c>
      <c r="Y5" s="3">
        <v>49</v>
      </c>
      <c r="Z5" s="3">
        <v>36</v>
      </c>
      <c r="AA5" s="3">
        <v>15</v>
      </c>
      <c r="AB5" s="3">
        <v>17</v>
      </c>
      <c r="AC5" s="3">
        <v>8</v>
      </c>
      <c r="AD5" s="3">
        <v>26</v>
      </c>
      <c r="AE5" s="3">
        <v>41</v>
      </c>
      <c r="AF5" s="3">
        <v>39</v>
      </c>
      <c r="AG5" s="3">
        <v>20</v>
      </c>
      <c r="AH5" s="3">
        <v>26</v>
      </c>
      <c r="AI5" s="3">
        <v>49</v>
      </c>
      <c r="AJ5" s="3">
        <v>11</v>
      </c>
      <c r="AK5" s="3">
        <v>50</v>
      </c>
      <c r="AL5" s="3">
        <v>56</v>
      </c>
      <c r="AM5" s="3">
        <v>48</v>
      </c>
      <c r="AN5" s="3">
        <v>50</v>
      </c>
      <c r="AO5" s="3">
        <v>16</v>
      </c>
      <c r="AP5" s="3">
        <v>24</v>
      </c>
      <c r="AQ5" s="3">
        <v>37</v>
      </c>
      <c r="AR5" s="3">
        <v>18</v>
      </c>
      <c r="AS5" s="3">
        <v>2</v>
      </c>
    </row>
    <row r="6" spans="1:45">
      <c r="A6" s="392" t="s">
        <v>1038</v>
      </c>
      <c r="B6" s="3">
        <v>21</v>
      </c>
      <c r="C6" s="3">
        <v>30</v>
      </c>
      <c r="D6" s="395"/>
      <c r="E6" s="3">
        <v>49</v>
      </c>
      <c r="F6" s="3">
        <v>9</v>
      </c>
      <c r="G6" s="3">
        <v>53</v>
      </c>
      <c r="H6" s="3">
        <v>26</v>
      </c>
      <c r="I6" s="3">
        <v>53</v>
      </c>
      <c r="J6" s="3">
        <v>28</v>
      </c>
      <c r="K6" s="3">
        <v>9</v>
      </c>
      <c r="L6" s="3">
        <v>39</v>
      </c>
      <c r="M6" s="3">
        <v>26</v>
      </c>
      <c r="N6" s="3">
        <v>11</v>
      </c>
      <c r="O6" s="3">
        <v>19</v>
      </c>
      <c r="P6" s="3">
        <v>20</v>
      </c>
      <c r="Q6" s="3">
        <v>44</v>
      </c>
      <c r="R6" s="3">
        <v>54</v>
      </c>
      <c r="S6" s="3">
        <v>18</v>
      </c>
      <c r="T6" s="3">
        <v>53</v>
      </c>
      <c r="U6" s="3">
        <v>44</v>
      </c>
      <c r="V6" s="3">
        <v>16</v>
      </c>
      <c r="W6" s="3">
        <v>30</v>
      </c>
      <c r="X6" s="3">
        <v>20</v>
      </c>
      <c r="Y6" s="3">
        <v>15</v>
      </c>
      <c r="Z6" s="3">
        <v>16</v>
      </c>
      <c r="AA6" s="3">
        <v>34</v>
      </c>
      <c r="AB6" s="3">
        <v>28</v>
      </c>
      <c r="AC6" s="3">
        <v>19</v>
      </c>
      <c r="AD6" s="3">
        <v>7</v>
      </c>
      <c r="AE6" s="3">
        <v>25</v>
      </c>
      <c r="AF6" s="3">
        <v>37</v>
      </c>
      <c r="AG6" s="3">
        <v>46</v>
      </c>
      <c r="AH6" s="3">
        <v>52</v>
      </c>
      <c r="AI6" s="3">
        <v>56</v>
      </c>
      <c r="AJ6" s="3">
        <v>48</v>
      </c>
      <c r="AK6" s="3">
        <v>4</v>
      </c>
      <c r="AL6" s="3">
        <v>12</v>
      </c>
      <c r="AM6" s="3">
        <v>40</v>
      </c>
      <c r="AN6" s="3">
        <v>59</v>
      </c>
      <c r="AO6" s="3">
        <v>24</v>
      </c>
      <c r="AP6" s="3">
        <v>35</v>
      </c>
      <c r="AQ6" s="3">
        <v>17</v>
      </c>
      <c r="AR6" s="3">
        <v>16</v>
      </c>
      <c r="AS6" s="3">
        <v>28</v>
      </c>
    </row>
    <row r="7" spans="1:45">
      <c r="A7" s="392" t="s">
        <v>1040</v>
      </c>
      <c r="B7" s="3">
        <v>28</v>
      </c>
      <c r="C7" s="3">
        <v>17</v>
      </c>
      <c r="D7" s="3">
        <v>49</v>
      </c>
      <c r="E7" s="395"/>
      <c r="F7" s="3">
        <v>20</v>
      </c>
      <c r="G7" s="3">
        <v>50</v>
      </c>
      <c r="H7" s="3">
        <v>20</v>
      </c>
      <c r="I7" s="3">
        <v>39</v>
      </c>
      <c r="J7" s="3">
        <v>24</v>
      </c>
      <c r="K7" s="3">
        <v>7</v>
      </c>
      <c r="L7" s="3">
        <v>45</v>
      </c>
      <c r="M7" s="3">
        <v>32</v>
      </c>
      <c r="N7" s="3">
        <v>14</v>
      </c>
      <c r="O7" s="3">
        <v>13</v>
      </c>
      <c r="P7" s="3">
        <v>9</v>
      </c>
      <c r="Q7" s="3">
        <v>8</v>
      </c>
      <c r="R7" s="3">
        <v>3</v>
      </c>
      <c r="S7" s="3">
        <v>46</v>
      </c>
      <c r="T7" s="3">
        <v>5</v>
      </c>
      <c r="U7" s="3">
        <v>18</v>
      </c>
      <c r="V7" s="3">
        <v>7</v>
      </c>
      <c r="W7" s="3">
        <v>43</v>
      </c>
      <c r="X7" s="3">
        <v>40</v>
      </c>
      <c r="Y7" s="3">
        <v>16</v>
      </c>
      <c r="Z7" s="3">
        <v>25</v>
      </c>
      <c r="AA7" s="3">
        <v>18</v>
      </c>
      <c r="AB7" s="3">
        <v>3</v>
      </c>
      <c r="AC7" s="3">
        <v>45</v>
      </c>
      <c r="AD7" s="3">
        <v>4</v>
      </c>
      <c r="AE7" s="3">
        <v>48</v>
      </c>
      <c r="AF7" s="3">
        <v>18</v>
      </c>
      <c r="AG7" s="3">
        <v>56</v>
      </c>
      <c r="AH7" s="3">
        <v>51</v>
      </c>
      <c r="AI7" s="3">
        <v>42</v>
      </c>
      <c r="AJ7" s="3">
        <v>53</v>
      </c>
      <c r="AK7" s="3">
        <v>16</v>
      </c>
      <c r="AL7" s="3">
        <v>49</v>
      </c>
      <c r="AM7" s="3">
        <v>15</v>
      </c>
      <c r="AN7" s="3">
        <v>27</v>
      </c>
      <c r="AO7" s="3">
        <v>36</v>
      </c>
      <c r="AP7" s="3">
        <v>10</v>
      </c>
      <c r="AQ7" s="3">
        <v>40</v>
      </c>
      <c r="AR7" s="3">
        <v>5</v>
      </c>
      <c r="AS7" s="3">
        <v>14</v>
      </c>
    </row>
    <row r="8" spans="1:45">
      <c r="A8" s="392" t="s">
        <v>1042</v>
      </c>
      <c r="B8" s="3">
        <v>18</v>
      </c>
      <c r="C8" s="3">
        <v>8</v>
      </c>
      <c r="D8" s="3">
        <v>9</v>
      </c>
      <c r="E8" s="3">
        <v>20</v>
      </c>
      <c r="F8" s="395"/>
      <c r="G8" s="3">
        <v>11</v>
      </c>
      <c r="H8" s="3">
        <v>0</v>
      </c>
      <c r="I8" s="3">
        <v>47</v>
      </c>
      <c r="J8" s="3">
        <v>52</v>
      </c>
      <c r="K8" s="3">
        <v>12</v>
      </c>
      <c r="L8" s="3">
        <v>25</v>
      </c>
      <c r="M8" s="3">
        <v>30</v>
      </c>
      <c r="N8" s="3">
        <v>1</v>
      </c>
      <c r="O8" s="3">
        <v>49</v>
      </c>
      <c r="P8" s="3">
        <v>42</v>
      </c>
      <c r="Q8" s="3">
        <v>47</v>
      </c>
      <c r="R8" s="3">
        <v>2</v>
      </c>
      <c r="S8" s="3">
        <v>23</v>
      </c>
      <c r="T8" s="3">
        <v>20</v>
      </c>
      <c r="U8" s="3">
        <v>9</v>
      </c>
      <c r="V8" s="3">
        <v>11</v>
      </c>
      <c r="W8" s="3">
        <v>15</v>
      </c>
      <c r="X8" s="3">
        <v>25</v>
      </c>
      <c r="Y8" s="3">
        <v>36</v>
      </c>
      <c r="Z8" s="3">
        <v>19</v>
      </c>
      <c r="AA8" s="3">
        <v>48</v>
      </c>
      <c r="AB8" s="3">
        <v>7</v>
      </c>
      <c r="AC8" s="3">
        <v>12</v>
      </c>
      <c r="AD8" s="3">
        <v>35</v>
      </c>
      <c r="AE8" s="3">
        <v>43</v>
      </c>
      <c r="AF8" s="3">
        <v>19</v>
      </c>
      <c r="AG8" s="3">
        <v>20</v>
      </c>
      <c r="AH8" s="3">
        <v>15</v>
      </c>
      <c r="AI8" s="3">
        <v>46</v>
      </c>
      <c r="AJ8" s="3">
        <v>20</v>
      </c>
      <c r="AK8" s="3">
        <v>16</v>
      </c>
      <c r="AL8" s="3">
        <v>5</v>
      </c>
      <c r="AM8" s="3">
        <v>37</v>
      </c>
      <c r="AN8" s="3">
        <v>46</v>
      </c>
      <c r="AO8" s="3">
        <v>16</v>
      </c>
      <c r="AP8" s="3">
        <v>11</v>
      </c>
      <c r="AQ8" s="3">
        <v>23</v>
      </c>
      <c r="AR8" s="3">
        <v>40</v>
      </c>
      <c r="AS8" s="3">
        <v>52</v>
      </c>
    </row>
    <row r="9" spans="1:45">
      <c r="A9" s="392" t="s">
        <v>1044</v>
      </c>
      <c r="B9" s="3">
        <v>35</v>
      </c>
      <c r="C9" s="3">
        <v>55</v>
      </c>
      <c r="D9" s="3">
        <v>53</v>
      </c>
      <c r="E9" s="3">
        <v>50</v>
      </c>
      <c r="F9" s="3">
        <v>11</v>
      </c>
      <c r="G9" s="395"/>
      <c r="H9" s="3">
        <v>1</v>
      </c>
      <c r="I9" s="3">
        <v>52</v>
      </c>
      <c r="J9" s="3">
        <v>33</v>
      </c>
      <c r="K9" s="3">
        <v>54</v>
      </c>
      <c r="L9" s="3">
        <v>18</v>
      </c>
      <c r="M9" s="3">
        <v>24</v>
      </c>
      <c r="N9" s="3">
        <v>16</v>
      </c>
      <c r="O9" s="3">
        <v>44</v>
      </c>
      <c r="P9" s="3">
        <v>43</v>
      </c>
      <c r="Q9" s="3">
        <v>38</v>
      </c>
      <c r="R9" s="3">
        <v>48</v>
      </c>
      <c r="S9" s="3">
        <v>14</v>
      </c>
      <c r="T9" s="3">
        <v>4</v>
      </c>
      <c r="U9" s="3">
        <v>42</v>
      </c>
      <c r="V9" s="3">
        <v>22</v>
      </c>
      <c r="W9" s="3">
        <v>7</v>
      </c>
      <c r="X9" s="3">
        <v>26</v>
      </c>
      <c r="Y9" s="3">
        <v>24</v>
      </c>
      <c r="Z9" s="3">
        <v>46</v>
      </c>
      <c r="AA9" s="3">
        <v>24</v>
      </c>
      <c r="AB9" s="3">
        <v>20</v>
      </c>
      <c r="AC9" s="3">
        <v>16</v>
      </c>
      <c r="AD9" s="3">
        <v>19</v>
      </c>
      <c r="AE9" s="3">
        <v>45</v>
      </c>
      <c r="AF9" s="3">
        <v>7</v>
      </c>
      <c r="AG9" s="3">
        <v>13</v>
      </c>
      <c r="AH9" s="3">
        <v>36</v>
      </c>
      <c r="AI9" s="3">
        <v>38</v>
      </c>
      <c r="AJ9" s="3">
        <v>25</v>
      </c>
      <c r="AK9" s="3">
        <v>16</v>
      </c>
      <c r="AL9" s="3">
        <v>14</v>
      </c>
      <c r="AM9" s="3">
        <v>10</v>
      </c>
      <c r="AN9" s="3">
        <v>20</v>
      </c>
      <c r="AO9" s="3">
        <v>51</v>
      </c>
      <c r="AP9" s="3">
        <v>46</v>
      </c>
      <c r="AQ9" s="3">
        <v>50</v>
      </c>
      <c r="AR9" s="3">
        <v>58</v>
      </c>
      <c r="AS9" s="3">
        <v>12</v>
      </c>
    </row>
    <row r="10" spans="1:45">
      <c r="A10" s="392" t="s">
        <v>1046</v>
      </c>
      <c r="B10" s="3">
        <v>44</v>
      </c>
      <c r="C10" s="3">
        <v>13</v>
      </c>
      <c r="D10" s="3">
        <v>26</v>
      </c>
      <c r="E10" s="3">
        <v>20</v>
      </c>
      <c r="F10" s="3">
        <v>0</v>
      </c>
      <c r="G10" s="3">
        <v>1</v>
      </c>
      <c r="H10" s="395"/>
      <c r="I10" s="3">
        <v>0</v>
      </c>
      <c r="J10" s="3">
        <v>52</v>
      </c>
      <c r="K10" s="3">
        <v>47</v>
      </c>
      <c r="L10" s="3">
        <v>3</v>
      </c>
      <c r="M10" s="3">
        <v>54</v>
      </c>
      <c r="N10" s="3">
        <v>50</v>
      </c>
      <c r="O10" s="3">
        <v>50</v>
      </c>
      <c r="P10" s="3">
        <v>50</v>
      </c>
      <c r="Q10" s="3">
        <v>2</v>
      </c>
      <c r="R10" s="3">
        <v>15</v>
      </c>
      <c r="S10" s="3">
        <v>36</v>
      </c>
      <c r="T10" s="3">
        <v>27</v>
      </c>
      <c r="U10" s="3">
        <v>52</v>
      </c>
      <c r="V10" s="3">
        <v>26</v>
      </c>
      <c r="W10" s="3">
        <v>22</v>
      </c>
      <c r="X10" s="3">
        <v>51</v>
      </c>
      <c r="Y10" s="3">
        <v>46</v>
      </c>
      <c r="Z10" s="3">
        <v>18</v>
      </c>
      <c r="AA10" s="3">
        <v>35</v>
      </c>
      <c r="AB10" s="3">
        <v>16</v>
      </c>
      <c r="AC10" s="3">
        <v>42</v>
      </c>
      <c r="AD10" s="3">
        <v>18</v>
      </c>
      <c r="AE10" s="3">
        <v>27</v>
      </c>
      <c r="AF10" s="3">
        <v>6</v>
      </c>
      <c r="AG10" s="3">
        <v>54</v>
      </c>
      <c r="AH10" s="3">
        <v>16</v>
      </c>
      <c r="AI10" s="3">
        <v>24</v>
      </c>
      <c r="AJ10" s="3">
        <v>25</v>
      </c>
      <c r="AK10" s="3">
        <v>36</v>
      </c>
      <c r="AL10" s="3">
        <v>19</v>
      </c>
      <c r="AM10" s="3">
        <v>37</v>
      </c>
      <c r="AN10" s="3">
        <v>25</v>
      </c>
      <c r="AO10" s="3">
        <v>16</v>
      </c>
      <c r="AP10" s="3">
        <v>20</v>
      </c>
      <c r="AQ10" s="3">
        <v>14</v>
      </c>
      <c r="AR10" s="3">
        <v>2</v>
      </c>
      <c r="AS10" s="3">
        <v>16</v>
      </c>
    </row>
    <row r="11" spans="1:45">
      <c r="A11" s="392" t="s">
        <v>1048</v>
      </c>
      <c r="B11" s="3">
        <v>40</v>
      </c>
      <c r="C11" s="3">
        <v>42</v>
      </c>
      <c r="D11" s="3">
        <v>53</v>
      </c>
      <c r="E11" s="3">
        <v>39</v>
      </c>
      <c r="F11" s="3">
        <v>47</v>
      </c>
      <c r="G11" s="3">
        <v>52</v>
      </c>
      <c r="H11" s="3">
        <v>0</v>
      </c>
      <c r="I11" s="395"/>
      <c r="J11" s="3">
        <v>28</v>
      </c>
      <c r="K11" s="3">
        <v>6</v>
      </c>
      <c r="L11" s="3">
        <v>19</v>
      </c>
      <c r="M11" s="3">
        <v>4</v>
      </c>
      <c r="N11" s="3">
        <v>34</v>
      </c>
      <c r="O11" s="3">
        <v>46</v>
      </c>
      <c r="P11" s="3">
        <v>55</v>
      </c>
      <c r="Q11" s="3">
        <v>23</v>
      </c>
      <c r="R11" s="3">
        <v>43</v>
      </c>
      <c r="S11" s="3">
        <v>5</v>
      </c>
      <c r="T11" s="3">
        <v>35</v>
      </c>
      <c r="U11" s="3">
        <v>2</v>
      </c>
      <c r="V11" s="3">
        <v>22</v>
      </c>
      <c r="W11" s="3">
        <v>39</v>
      </c>
      <c r="X11" s="3">
        <v>24</v>
      </c>
      <c r="Y11" s="3">
        <v>16</v>
      </c>
      <c r="Z11" s="3">
        <v>34</v>
      </c>
      <c r="AA11" s="3">
        <v>56</v>
      </c>
      <c r="AB11" s="3">
        <v>24</v>
      </c>
      <c r="AC11" s="3">
        <v>16</v>
      </c>
      <c r="AD11" s="3">
        <v>25</v>
      </c>
      <c r="AE11" s="3">
        <v>9</v>
      </c>
      <c r="AF11" s="3">
        <v>15</v>
      </c>
      <c r="AG11" s="3">
        <v>6</v>
      </c>
      <c r="AH11" s="3">
        <v>48</v>
      </c>
      <c r="AI11" s="3">
        <v>52</v>
      </c>
      <c r="AJ11" s="3">
        <v>8</v>
      </c>
      <c r="AK11" s="3">
        <v>58</v>
      </c>
      <c r="AL11" s="3">
        <v>40</v>
      </c>
      <c r="AM11" s="3">
        <v>13</v>
      </c>
      <c r="AN11" s="3">
        <v>6</v>
      </c>
      <c r="AO11" s="3">
        <v>8</v>
      </c>
      <c r="AP11" s="3">
        <v>15</v>
      </c>
      <c r="AQ11" s="3">
        <v>49</v>
      </c>
      <c r="AR11" s="3">
        <v>38</v>
      </c>
      <c r="AS11" s="3">
        <v>33</v>
      </c>
    </row>
    <row r="12" spans="1:45">
      <c r="A12" s="392" t="s">
        <v>1049</v>
      </c>
      <c r="B12" s="3">
        <v>39</v>
      </c>
      <c r="C12" s="3">
        <v>21</v>
      </c>
      <c r="D12" s="3">
        <v>28</v>
      </c>
      <c r="E12" s="3">
        <v>24</v>
      </c>
      <c r="F12" s="3">
        <v>52</v>
      </c>
      <c r="G12" s="3">
        <v>33</v>
      </c>
      <c r="H12" s="3">
        <v>52</v>
      </c>
      <c r="I12" s="3">
        <v>28</v>
      </c>
      <c r="J12" s="395"/>
      <c r="K12" s="3">
        <v>31</v>
      </c>
      <c r="L12" s="3">
        <v>48</v>
      </c>
      <c r="M12" s="3">
        <v>47</v>
      </c>
      <c r="N12" s="3">
        <v>31</v>
      </c>
      <c r="O12" s="3">
        <v>0</v>
      </c>
      <c r="P12" s="3">
        <v>36</v>
      </c>
      <c r="Q12" s="3">
        <v>34</v>
      </c>
      <c r="R12" s="3">
        <v>41</v>
      </c>
      <c r="S12" s="3">
        <v>49</v>
      </c>
      <c r="T12" s="3">
        <v>54</v>
      </c>
      <c r="U12" s="3">
        <v>8</v>
      </c>
      <c r="V12" s="3">
        <v>43</v>
      </c>
      <c r="W12" s="3">
        <v>20</v>
      </c>
      <c r="X12" s="3">
        <v>34</v>
      </c>
      <c r="Y12" s="3">
        <v>16</v>
      </c>
      <c r="Z12" s="3">
        <v>29</v>
      </c>
      <c r="AA12" s="3">
        <v>38</v>
      </c>
      <c r="AB12" s="3">
        <v>17</v>
      </c>
      <c r="AC12" s="3">
        <v>26</v>
      </c>
      <c r="AD12" s="3">
        <v>24</v>
      </c>
      <c r="AE12" s="3">
        <v>19</v>
      </c>
      <c r="AF12" s="3">
        <v>5</v>
      </c>
      <c r="AG12" s="3">
        <v>34</v>
      </c>
      <c r="AH12" s="3">
        <v>18</v>
      </c>
      <c r="AI12" s="3">
        <v>45</v>
      </c>
      <c r="AJ12" s="3">
        <v>52</v>
      </c>
      <c r="AK12" s="3">
        <v>16</v>
      </c>
      <c r="AL12" s="3">
        <v>42</v>
      </c>
      <c r="AM12" s="3">
        <v>57</v>
      </c>
      <c r="AN12" s="3">
        <v>13</v>
      </c>
      <c r="AO12" s="3">
        <v>36</v>
      </c>
      <c r="AP12" s="3">
        <v>6</v>
      </c>
      <c r="AQ12" s="3">
        <v>14</v>
      </c>
      <c r="AR12" s="3">
        <v>52</v>
      </c>
      <c r="AS12" s="3">
        <v>1</v>
      </c>
    </row>
    <row r="13" spans="1:45">
      <c r="A13" s="392" t="s">
        <v>1051</v>
      </c>
      <c r="B13" s="3">
        <v>0</v>
      </c>
      <c r="C13" s="3">
        <v>26</v>
      </c>
      <c r="D13" s="3">
        <v>9</v>
      </c>
      <c r="E13" s="3">
        <v>7</v>
      </c>
      <c r="F13" s="3">
        <v>12</v>
      </c>
      <c r="G13" s="3">
        <v>54</v>
      </c>
      <c r="H13" s="3">
        <v>47</v>
      </c>
      <c r="I13" s="3">
        <v>6</v>
      </c>
      <c r="J13" s="3">
        <v>31</v>
      </c>
      <c r="K13" s="395"/>
      <c r="L13" s="3">
        <v>3</v>
      </c>
      <c r="M13" s="3">
        <v>20</v>
      </c>
      <c r="N13" s="3">
        <v>12</v>
      </c>
      <c r="O13" s="3">
        <v>45</v>
      </c>
      <c r="P13" s="3">
        <v>33</v>
      </c>
      <c r="Q13" s="3">
        <v>40</v>
      </c>
      <c r="R13" s="3">
        <v>49</v>
      </c>
      <c r="S13" s="3">
        <v>35</v>
      </c>
      <c r="T13" s="3">
        <v>27</v>
      </c>
      <c r="U13" s="3">
        <v>40</v>
      </c>
      <c r="V13" s="3">
        <v>26</v>
      </c>
      <c r="W13" s="3">
        <v>53</v>
      </c>
      <c r="X13" s="3">
        <v>36</v>
      </c>
      <c r="Y13" s="3">
        <v>15</v>
      </c>
      <c r="Z13" s="3">
        <v>45</v>
      </c>
      <c r="AA13" s="3">
        <v>7</v>
      </c>
      <c r="AB13" s="3">
        <v>26</v>
      </c>
      <c r="AC13" s="3">
        <v>38</v>
      </c>
      <c r="AD13" s="3">
        <v>15</v>
      </c>
      <c r="AE13" s="3">
        <v>49</v>
      </c>
      <c r="AF13" s="3">
        <v>53</v>
      </c>
      <c r="AG13" s="3">
        <v>16</v>
      </c>
      <c r="AH13" s="3">
        <v>14</v>
      </c>
      <c r="AI13" s="3">
        <v>25</v>
      </c>
      <c r="AJ13" s="3">
        <v>36</v>
      </c>
      <c r="AK13" s="3">
        <v>8</v>
      </c>
      <c r="AL13" s="3">
        <v>6</v>
      </c>
      <c r="AM13" s="3">
        <v>13</v>
      </c>
      <c r="AN13" s="3">
        <v>46</v>
      </c>
      <c r="AO13" s="3">
        <v>56</v>
      </c>
      <c r="AP13" s="3">
        <v>23</v>
      </c>
      <c r="AQ13" s="3">
        <v>12</v>
      </c>
      <c r="AR13" s="3">
        <v>45</v>
      </c>
      <c r="AS13" s="3">
        <v>23</v>
      </c>
    </row>
    <row r="14" spans="1:45">
      <c r="A14" s="392" t="s">
        <v>1053</v>
      </c>
      <c r="B14" s="3">
        <v>40</v>
      </c>
      <c r="C14" s="3">
        <v>17</v>
      </c>
      <c r="D14" s="3">
        <v>39</v>
      </c>
      <c r="E14" s="3">
        <v>45</v>
      </c>
      <c r="F14" s="3">
        <v>25</v>
      </c>
      <c r="G14" s="3">
        <v>18</v>
      </c>
      <c r="H14" s="3">
        <v>3</v>
      </c>
      <c r="I14" s="3">
        <v>19</v>
      </c>
      <c r="J14" s="3">
        <v>48</v>
      </c>
      <c r="K14" s="3">
        <v>3</v>
      </c>
      <c r="L14" s="395"/>
      <c r="M14" s="3">
        <v>7</v>
      </c>
      <c r="N14" s="3">
        <v>10</v>
      </c>
      <c r="O14" s="3">
        <v>21</v>
      </c>
      <c r="P14" s="3">
        <v>44</v>
      </c>
      <c r="Q14" s="3">
        <v>30</v>
      </c>
      <c r="R14" s="3">
        <v>29</v>
      </c>
      <c r="S14" s="3">
        <v>22</v>
      </c>
      <c r="T14" s="3">
        <v>5</v>
      </c>
      <c r="U14" s="3">
        <v>34</v>
      </c>
      <c r="V14" s="3">
        <v>50</v>
      </c>
      <c r="W14" s="3">
        <v>3</v>
      </c>
      <c r="X14" s="3">
        <v>16</v>
      </c>
      <c r="Y14" s="3">
        <v>46</v>
      </c>
      <c r="Z14" s="3">
        <v>56</v>
      </c>
      <c r="AA14" s="3">
        <v>23</v>
      </c>
      <c r="AB14" s="3">
        <v>15</v>
      </c>
      <c r="AC14" s="3">
        <v>14</v>
      </c>
      <c r="AD14" s="3">
        <v>26</v>
      </c>
      <c r="AE14" s="3">
        <v>35</v>
      </c>
      <c r="AF14" s="3">
        <v>52</v>
      </c>
      <c r="AG14" s="3">
        <v>6</v>
      </c>
      <c r="AH14" s="3">
        <v>15</v>
      </c>
      <c r="AI14" s="3">
        <v>13</v>
      </c>
      <c r="AJ14" s="3">
        <v>42</v>
      </c>
      <c r="AK14" s="3">
        <v>54</v>
      </c>
      <c r="AL14" s="3">
        <v>13</v>
      </c>
      <c r="AM14" s="3">
        <v>46</v>
      </c>
      <c r="AN14" s="3">
        <v>56</v>
      </c>
      <c r="AO14" s="3">
        <v>23</v>
      </c>
      <c r="AP14" s="3">
        <v>12</v>
      </c>
      <c r="AQ14" s="3">
        <v>42</v>
      </c>
      <c r="AR14" s="3">
        <v>15</v>
      </c>
      <c r="AS14" s="3">
        <v>5</v>
      </c>
    </row>
    <row r="15" spans="1:45">
      <c r="A15" s="392" t="s">
        <v>1055</v>
      </c>
      <c r="B15" s="3">
        <v>40</v>
      </c>
      <c r="C15" s="3">
        <v>44</v>
      </c>
      <c r="D15" s="3">
        <v>26</v>
      </c>
      <c r="E15" s="3">
        <v>32</v>
      </c>
      <c r="F15" s="3">
        <v>30</v>
      </c>
      <c r="G15" s="3">
        <v>24</v>
      </c>
      <c r="H15" s="3">
        <v>54</v>
      </c>
      <c r="I15" s="3">
        <v>4</v>
      </c>
      <c r="J15" s="3">
        <v>47</v>
      </c>
      <c r="K15" s="3">
        <v>20</v>
      </c>
      <c r="L15" s="3">
        <v>7</v>
      </c>
      <c r="M15" s="395"/>
      <c r="N15" s="3">
        <v>1</v>
      </c>
      <c r="O15" s="3">
        <v>20</v>
      </c>
      <c r="P15" s="3">
        <v>53</v>
      </c>
      <c r="Q15" s="3">
        <v>29</v>
      </c>
      <c r="R15" s="3">
        <v>18</v>
      </c>
      <c r="S15" s="3">
        <v>27</v>
      </c>
      <c r="T15" s="3">
        <v>52</v>
      </c>
      <c r="U15" s="3">
        <v>44</v>
      </c>
      <c r="V15" s="3">
        <v>29</v>
      </c>
      <c r="W15" s="3">
        <v>20</v>
      </c>
      <c r="X15" s="3">
        <v>36</v>
      </c>
      <c r="Y15" s="3">
        <v>5</v>
      </c>
      <c r="Z15" s="3">
        <v>42</v>
      </c>
      <c r="AA15" s="3">
        <v>36</v>
      </c>
      <c r="AB15" s="3">
        <v>56</v>
      </c>
      <c r="AC15" s="3">
        <v>23</v>
      </c>
      <c r="AD15" s="3">
        <v>45</v>
      </c>
      <c r="AE15" s="3">
        <v>16</v>
      </c>
      <c r="AF15" s="3">
        <v>2</v>
      </c>
      <c r="AG15" s="3">
        <v>53</v>
      </c>
      <c r="AH15" s="3">
        <v>42</v>
      </c>
      <c r="AI15" s="3">
        <v>16</v>
      </c>
      <c r="AJ15" s="3">
        <v>43</v>
      </c>
      <c r="AK15" s="3">
        <v>16</v>
      </c>
      <c r="AL15" s="3">
        <v>52</v>
      </c>
      <c r="AM15" s="3">
        <v>6</v>
      </c>
      <c r="AN15" s="3">
        <v>15</v>
      </c>
      <c r="AO15" s="3">
        <v>2</v>
      </c>
      <c r="AP15" s="3">
        <v>13</v>
      </c>
      <c r="AQ15" s="3">
        <v>15</v>
      </c>
      <c r="AR15" s="3">
        <v>56</v>
      </c>
      <c r="AS15" s="3">
        <v>29</v>
      </c>
    </row>
    <row r="16" spans="1:45">
      <c r="A16" s="392" t="s">
        <v>1057</v>
      </c>
      <c r="B16" s="3">
        <v>41</v>
      </c>
      <c r="C16" s="3">
        <v>11</v>
      </c>
      <c r="D16" s="3">
        <v>11</v>
      </c>
      <c r="E16" s="3">
        <v>14</v>
      </c>
      <c r="F16" s="3">
        <v>1</v>
      </c>
      <c r="G16" s="3">
        <v>16</v>
      </c>
      <c r="H16" s="3">
        <v>50</v>
      </c>
      <c r="I16" s="3">
        <v>34</v>
      </c>
      <c r="J16" s="3">
        <v>31</v>
      </c>
      <c r="K16" s="3">
        <v>12</v>
      </c>
      <c r="L16" s="3">
        <v>10</v>
      </c>
      <c r="M16" s="3">
        <v>1</v>
      </c>
      <c r="N16" s="395"/>
      <c r="O16" s="3">
        <v>23</v>
      </c>
      <c r="P16" s="3">
        <v>10</v>
      </c>
      <c r="Q16" s="3">
        <v>49</v>
      </c>
      <c r="R16" s="3">
        <v>49</v>
      </c>
      <c r="S16" s="3">
        <v>4</v>
      </c>
      <c r="T16" s="3">
        <v>46</v>
      </c>
      <c r="U16" s="3">
        <v>38</v>
      </c>
      <c r="V16" s="3">
        <v>43</v>
      </c>
      <c r="W16" s="3">
        <v>6</v>
      </c>
      <c r="X16" s="3">
        <v>28</v>
      </c>
      <c r="Y16" s="3">
        <v>36</v>
      </c>
      <c r="Z16" s="3">
        <v>14</v>
      </c>
      <c r="AA16" s="3">
        <v>26</v>
      </c>
      <c r="AB16" s="3">
        <v>56</v>
      </c>
      <c r="AC16" s="3">
        <v>51</v>
      </c>
      <c r="AD16" s="3">
        <v>42</v>
      </c>
      <c r="AE16" s="3">
        <v>16</v>
      </c>
      <c r="AF16" s="3">
        <v>35</v>
      </c>
      <c r="AG16" s="3">
        <v>15</v>
      </c>
      <c r="AH16" s="3">
        <v>14</v>
      </c>
      <c r="AI16" s="3">
        <v>52</v>
      </c>
      <c r="AJ16" s="3">
        <v>13</v>
      </c>
      <c r="AK16" s="3">
        <v>46</v>
      </c>
      <c r="AL16" s="3">
        <v>51</v>
      </c>
      <c r="AM16" s="3">
        <v>5</v>
      </c>
      <c r="AN16" s="3">
        <v>19</v>
      </c>
      <c r="AO16" s="3">
        <v>27</v>
      </c>
      <c r="AP16" s="3">
        <v>38</v>
      </c>
      <c r="AQ16" s="3">
        <v>39</v>
      </c>
      <c r="AR16" s="3">
        <v>42</v>
      </c>
      <c r="AS16" s="3">
        <v>51</v>
      </c>
    </row>
    <row r="17" spans="1:45">
      <c r="A17" s="392" t="s">
        <v>1059</v>
      </c>
      <c r="B17" s="3">
        <v>24</v>
      </c>
      <c r="C17" s="3">
        <v>50</v>
      </c>
      <c r="D17" s="3">
        <v>19</v>
      </c>
      <c r="E17" s="3">
        <v>13</v>
      </c>
      <c r="F17" s="3">
        <v>49</v>
      </c>
      <c r="G17" s="3">
        <v>44</v>
      </c>
      <c r="H17" s="3">
        <v>50</v>
      </c>
      <c r="I17" s="3">
        <v>46</v>
      </c>
      <c r="J17" s="3">
        <v>0</v>
      </c>
      <c r="K17" s="3">
        <v>45</v>
      </c>
      <c r="L17" s="3">
        <v>21</v>
      </c>
      <c r="M17" s="3">
        <v>20</v>
      </c>
      <c r="N17" s="3">
        <v>23</v>
      </c>
      <c r="O17" s="395"/>
      <c r="P17" s="3">
        <v>51</v>
      </c>
      <c r="Q17" s="3">
        <v>37</v>
      </c>
      <c r="R17" s="3">
        <v>45</v>
      </c>
      <c r="S17" s="3">
        <v>0</v>
      </c>
      <c r="T17" s="3">
        <v>48</v>
      </c>
      <c r="U17" s="3">
        <v>34</v>
      </c>
      <c r="V17" s="3">
        <v>2</v>
      </c>
      <c r="W17" s="3">
        <v>20</v>
      </c>
      <c r="X17" s="3">
        <v>53</v>
      </c>
      <c r="Y17" s="3">
        <v>14</v>
      </c>
      <c r="Z17" s="3">
        <v>25</v>
      </c>
      <c r="AA17" s="3">
        <v>36</v>
      </c>
      <c r="AB17" s="3">
        <v>51</v>
      </c>
      <c r="AC17" s="3">
        <v>42</v>
      </c>
      <c r="AD17" s="3">
        <v>15</v>
      </c>
      <c r="AE17" s="3">
        <v>46</v>
      </c>
      <c r="AF17" s="3">
        <v>15</v>
      </c>
      <c r="AG17" s="3">
        <v>32</v>
      </c>
      <c r="AH17" s="3">
        <v>35</v>
      </c>
      <c r="AI17" s="3">
        <v>24</v>
      </c>
      <c r="AJ17" s="3">
        <v>51</v>
      </c>
      <c r="AK17" s="3">
        <v>26</v>
      </c>
      <c r="AL17" s="3">
        <v>18</v>
      </c>
      <c r="AM17" s="3">
        <v>28</v>
      </c>
      <c r="AN17" s="3">
        <v>39</v>
      </c>
      <c r="AO17" s="3">
        <v>35</v>
      </c>
      <c r="AP17" s="3">
        <v>46</v>
      </c>
      <c r="AQ17" s="3">
        <v>15</v>
      </c>
      <c r="AR17" s="3">
        <v>51</v>
      </c>
      <c r="AS17" s="3">
        <v>59</v>
      </c>
    </row>
    <row r="18" spans="1:45">
      <c r="A18" s="392" t="s">
        <v>1061</v>
      </c>
      <c r="B18" s="3">
        <v>23</v>
      </c>
      <c r="C18" s="3">
        <v>25</v>
      </c>
      <c r="D18" s="3">
        <v>20</v>
      </c>
      <c r="E18" s="3">
        <v>9</v>
      </c>
      <c r="F18" s="3">
        <v>42</v>
      </c>
      <c r="G18" s="3">
        <v>43</v>
      </c>
      <c r="H18" s="3">
        <v>50</v>
      </c>
      <c r="I18" s="3">
        <v>55</v>
      </c>
      <c r="J18" s="3">
        <v>36</v>
      </c>
      <c r="K18" s="3">
        <v>33</v>
      </c>
      <c r="L18" s="3">
        <v>44</v>
      </c>
      <c r="M18" s="3">
        <v>53</v>
      </c>
      <c r="N18" s="3">
        <v>10</v>
      </c>
      <c r="O18" s="3">
        <v>51</v>
      </c>
      <c r="P18" s="395"/>
      <c r="Q18" s="3">
        <v>18</v>
      </c>
      <c r="R18" s="3">
        <v>6</v>
      </c>
      <c r="S18" s="3">
        <v>32</v>
      </c>
      <c r="T18" s="3">
        <v>45</v>
      </c>
      <c r="U18" s="3">
        <v>29</v>
      </c>
      <c r="V18" s="3">
        <v>2</v>
      </c>
      <c r="W18" s="3">
        <v>44</v>
      </c>
      <c r="X18" s="3">
        <v>28</v>
      </c>
      <c r="Y18" s="3">
        <v>14</v>
      </c>
      <c r="Z18" s="3">
        <v>16</v>
      </c>
      <c r="AA18" s="3">
        <v>25</v>
      </c>
      <c r="AB18" s="3">
        <v>29</v>
      </c>
      <c r="AC18" s="3">
        <v>37</v>
      </c>
      <c r="AD18" s="3">
        <v>5</v>
      </c>
      <c r="AE18" s="3">
        <v>16</v>
      </c>
      <c r="AF18" s="3">
        <v>2</v>
      </c>
      <c r="AG18" s="3">
        <v>42</v>
      </c>
      <c r="AH18" s="3">
        <v>35</v>
      </c>
      <c r="AI18" s="3">
        <v>12</v>
      </c>
      <c r="AJ18" s="3">
        <v>30</v>
      </c>
      <c r="AK18" s="3">
        <v>51</v>
      </c>
      <c r="AL18" s="3">
        <v>20</v>
      </c>
      <c r="AM18" s="3">
        <v>42</v>
      </c>
      <c r="AN18" s="3">
        <v>60</v>
      </c>
      <c r="AO18" s="3">
        <v>15</v>
      </c>
      <c r="AP18" s="3">
        <v>28</v>
      </c>
      <c r="AQ18" s="3">
        <v>5</v>
      </c>
      <c r="AR18" s="3">
        <v>34</v>
      </c>
      <c r="AS18" s="3">
        <v>16</v>
      </c>
    </row>
    <row r="19" spans="1:45">
      <c r="A19" s="392" t="s">
        <v>1063</v>
      </c>
      <c r="B19" s="3">
        <v>49</v>
      </c>
      <c r="C19" s="3">
        <v>44</v>
      </c>
      <c r="D19" s="3">
        <v>44</v>
      </c>
      <c r="E19" s="3">
        <v>8</v>
      </c>
      <c r="F19" s="3">
        <v>47</v>
      </c>
      <c r="G19" s="3">
        <v>38</v>
      </c>
      <c r="H19" s="3">
        <v>2</v>
      </c>
      <c r="I19" s="3">
        <v>23</v>
      </c>
      <c r="J19" s="3">
        <v>34</v>
      </c>
      <c r="K19" s="3">
        <v>40</v>
      </c>
      <c r="L19" s="3">
        <v>30</v>
      </c>
      <c r="M19" s="3">
        <v>29</v>
      </c>
      <c r="N19" s="3">
        <v>49</v>
      </c>
      <c r="O19" s="3">
        <v>37</v>
      </c>
      <c r="P19" s="3">
        <v>18</v>
      </c>
      <c r="Q19" s="395"/>
      <c r="R19" s="3">
        <v>12</v>
      </c>
      <c r="S19" s="3">
        <v>49</v>
      </c>
      <c r="T19" s="3">
        <v>46</v>
      </c>
      <c r="U19" s="3">
        <v>39</v>
      </c>
      <c r="V19" s="3">
        <v>2</v>
      </c>
      <c r="W19" s="3">
        <v>26</v>
      </c>
      <c r="X19" s="3">
        <v>36</v>
      </c>
      <c r="Y19" s="3">
        <v>15</v>
      </c>
      <c r="Z19" s="3">
        <v>42</v>
      </c>
      <c r="AA19" s="3">
        <v>26</v>
      </c>
      <c r="AB19" s="3">
        <v>45</v>
      </c>
      <c r="AC19" s="3">
        <v>8</v>
      </c>
      <c r="AD19" s="3">
        <v>10</v>
      </c>
      <c r="AE19" s="3">
        <v>34</v>
      </c>
      <c r="AF19" s="3">
        <v>25</v>
      </c>
      <c r="AG19" s="3">
        <v>6</v>
      </c>
      <c r="AH19" s="3">
        <v>14</v>
      </c>
      <c r="AI19" s="3">
        <v>24</v>
      </c>
      <c r="AJ19" s="3">
        <v>18</v>
      </c>
      <c r="AK19" s="3">
        <v>39</v>
      </c>
      <c r="AL19" s="3">
        <v>42</v>
      </c>
      <c r="AM19" s="3">
        <v>15</v>
      </c>
      <c r="AN19" s="3">
        <v>48</v>
      </c>
      <c r="AO19" s="3">
        <v>35</v>
      </c>
      <c r="AP19" s="3">
        <v>20</v>
      </c>
      <c r="AQ19" s="3">
        <v>31</v>
      </c>
      <c r="AR19" s="3">
        <v>45</v>
      </c>
      <c r="AS19" s="3">
        <v>6</v>
      </c>
    </row>
    <row r="20" spans="1:45">
      <c r="A20" s="392" t="s">
        <v>1065</v>
      </c>
      <c r="B20" s="3">
        <v>9</v>
      </c>
      <c r="C20" s="3">
        <v>42</v>
      </c>
      <c r="D20" s="3">
        <v>54</v>
      </c>
      <c r="E20" s="3">
        <v>3</v>
      </c>
      <c r="F20" s="3">
        <v>2</v>
      </c>
      <c r="G20" s="3">
        <v>48</v>
      </c>
      <c r="H20" s="3">
        <v>15</v>
      </c>
      <c r="I20" s="3">
        <v>43</v>
      </c>
      <c r="J20" s="3">
        <v>41</v>
      </c>
      <c r="K20" s="3">
        <v>49</v>
      </c>
      <c r="L20" s="3">
        <v>29</v>
      </c>
      <c r="M20" s="3">
        <v>18</v>
      </c>
      <c r="N20" s="3">
        <v>49</v>
      </c>
      <c r="O20" s="3">
        <v>45</v>
      </c>
      <c r="P20" s="3">
        <v>6</v>
      </c>
      <c r="Q20" s="3">
        <v>12</v>
      </c>
      <c r="R20" s="395"/>
      <c r="S20" s="3">
        <v>30</v>
      </c>
      <c r="T20" s="3">
        <v>15</v>
      </c>
      <c r="U20" s="3">
        <v>17</v>
      </c>
      <c r="V20" s="3">
        <v>53</v>
      </c>
      <c r="W20" s="3">
        <v>54</v>
      </c>
      <c r="X20" s="3">
        <v>27</v>
      </c>
      <c r="Y20" s="3">
        <v>35</v>
      </c>
      <c r="Z20" s="3">
        <v>24</v>
      </c>
      <c r="AA20" s="3">
        <v>56</v>
      </c>
      <c r="AB20" s="3">
        <v>23</v>
      </c>
      <c r="AC20" s="3">
        <v>41</v>
      </c>
      <c r="AD20" s="3">
        <v>52</v>
      </c>
      <c r="AE20" s="3">
        <v>5</v>
      </c>
      <c r="AF20" s="3">
        <v>20</v>
      </c>
      <c r="AG20" s="3">
        <v>16</v>
      </c>
      <c r="AH20" s="3">
        <v>39</v>
      </c>
      <c r="AI20" s="3">
        <v>28</v>
      </c>
      <c r="AJ20" s="3">
        <v>1</v>
      </c>
      <c r="AK20" s="3">
        <v>33</v>
      </c>
      <c r="AL20" s="3">
        <v>15</v>
      </c>
      <c r="AM20" s="3">
        <v>24</v>
      </c>
      <c r="AN20" s="3">
        <v>16</v>
      </c>
      <c r="AO20" s="3">
        <v>42</v>
      </c>
      <c r="AP20" s="3">
        <v>51</v>
      </c>
      <c r="AQ20" s="3">
        <v>26</v>
      </c>
      <c r="AR20" s="3">
        <v>49</v>
      </c>
      <c r="AS20" s="3">
        <v>48</v>
      </c>
    </row>
    <row r="21" spans="1:45">
      <c r="A21" s="392" t="s">
        <v>1067</v>
      </c>
      <c r="B21" s="3">
        <v>43</v>
      </c>
      <c r="C21" s="3">
        <v>16</v>
      </c>
      <c r="D21" s="3">
        <v>18</v>
      </c>
      <c r="E21" s="3">
        <v>46</v>
      </c>
      <c r="F21" s="3">
        <v>23</v>
      </c>
      <c r="G21" s="3">
        <v>14</v>
      </c>
      <c r="H21" s="3">
        <v>36</v>
      </c>
      <c r="I21" s="3">
        <v>5</v>
      </c>
      <c r="J21" s="3">
        <v>49</v>
      </c>
      <c r="K21" s="3">
        <v>35</v>
      </c>
      <c r="L21" s="3">
        <v>22</v>
      </c>
      <c r="M21" s="3">
        <v>27</v>
      </c>
      <c r="N21" s="3">
        <v>4</v>
      </c>
      <c r="O21" s="3">
        <v>0</v>
      </c>
      <c r="P21" s="3">
        <v>32</v>
      </c>
      <c r="Q21" s="3">
        <v>49</v>
      </c>
      <c r="R21" s="3">
        <v>30</v>
      </c>
      <c r="S21" s="395"/>
      <c r="T21" s="3">
        <v>12</v>
      </c>
      <c r="U21" s="3">
        <v>48</v>
      </c>
      <c r="V21" s="3">
        <v>13</v>
      </c>
      <c r="W21" s="3">
        <v>35</v>
      </c>
      <c r="X21" s="3">
        <v>34</v>
      </c>
      <c r="Y21" s="3">
        <v>15</v>
      </c>
      <c r="Z21" s="3">
        <v>29</v>
      </c>
      <c r="AA21" s="3">
        <v>41</v>
      </c>
      <c r="AB21" s="3">
        <v>6</v>
      </c>
      <c r="AC21" s="3">
        <v>25</v>
      </c>
      <c r="AD21" s="3">
        <v>34</v>
      </c>
      <c r="AE21" s="3">
        <v>18</v>
      </c>
      <c r="AF21" s="3">
        <v>29</v>
      </c>
      <c r="AG21" s="3">
        <v>24</v>
      </c>
      <c r="AH21" s="3">
        <v>53</v>
      </c>
      <c r="AI21" s="3">
        <v>42</v>
      </c>
      <c r="AJ21" s="3">
        <v>38</v>
      </c>
      <c r="AK21" s="3">
        <v>22</v>
      </c>
      <c r="AL21" s="3">
        <v>15</v>
      </c>
      <c r="AM21" s="3">
        <v>27</v>
      </c>
      <c r="AN21" s="3">
        <v>44</v>
      </c>
      <c r="AO21" s="3">
        <v>50</v>
      </c>
      <c r="AP21" s="3">
        <v>18</v>
      </c>
      <c r="AQ21" s="3">
        <v>19</v>
      </c>
      <c r="AR21" s="3">
        <v>35</v>
      </c>
      <c r="AS21" s="3">
        <v>25</v>
      </c>
    </row>
    <row r="22" spans="1:45">
      <c r="A22" s="392" t="s">
        <v>1069</v>
      </c>
      <c r="B22" s="3">
        <v>54</v>
      </c>
      <c r="C22" s="3">
        <v>14</v>
      </c>
      <c r="D22" s="3">
        <v>53</v>
      </c>
      <c r="E22" s="3">
        <v>5</v>
      </c>
      <c r="F22" s="3">
        <v>20</v>
      </c>
      <c r="G22" s="3">
        <v>4</v>
      </c>
      <c r="H22" s="3">
        <v>27</v>
      </c>
      <c r="I22" s="3">
        <v>35</v>
      </c>
      <c r="J22" s="3">
        <v>54</v>
      </c>
      <c r="K22" s="3">
        <v>27</v>
      </c>
      <c r="L22" s="3">
        <v>5</v>
      </c>
      <c r="M22" s="3">
        <v>52</v>
      </c>
      <c r="N22" s="3">
        <v>46</v>
      </c>
      <c r="O22" s="3">
        <v>48</v>
      </c>
      <c r="P22" s="3">
        <v>45</v>
      </c>
      <c r="Q22" s="3">
        <v>46</v>
      </c>
      <c r="R22" s="3">
        <v>15</v>
      </c>
      <c r="S22" s="3">
        <v>12</v>
      </c>
      <c r="T22" s="395"/>
      <c r="U22" s="3">
        <v>20</v>
      </c>
      <c r="V22" s="3">
        <v>35</v>
      </c>
      <c r="W22" s="3">
        <v>48</v>
      </c>
      <c r="X22" s="3">
        <v>2</v>
      </c>
      <c r="Y22" s="3">
        <v>16</v>
      </c>
      <c r="Z22" s="3">
        <v>42</v>
      </c>
      <c r="AA22" s="3">
        <v>51</v>
      </c>
      <c r="AB22" s="3">
        <v>37</v>
      </c>
      <c r="AC22" s="3">
        <v>39</v>
      </c>
      <c r="AD22" s="3">
        <v>15</v>
      </c>
      <c r="AE22" s="3">
        <v>42</v>
      </c>
      <c r="AF22" s="3">
        <v>53</v>
      </c>
      <c r="AG22" s="3">
        <v>48</v>
      </c>
      <c r="AH22" s="3">
        <v>25</v>
      </c>
      <c r="AI22" s="3">
        <v>3</v>
      </c>
      <c r="AJ22" s="3">
        <v>14</v>
      </c>
      <c r="AK22" s="3">
        <v>20</v>
      </c>
      <c r="AL22" s="3">
        <v>34</v>
      </c>
      <c r="AM22" s="3">
        <v>16</v>
      </c>
      <c r="AN22" s="3">
        <v>51</v>
      </c>
      <c r="AO22" s="3">
        <v>24</v>
      </c>
      <c r="AP22" s="3">
        <v>52</v>
      </c>
      <c r="AQ22" s="3">
        <v>43</v>
      </c>
      <c r="AR22" s="3">
        <v>39</v>
      </c>
      <c r="AS22" s="3">
        <v>5</v>
      </c>
    </row>
    <row r="23" spans="1:45">
      <c r="A23" s="392" t="s">
        <v>1071</v>
      </c>
      <c r="B23" s="3">
        <v>41</v>
      </c>
      <c r="C23" s="3">
        <v>14</v>
      </c>
      <c r="D23" s="3">
        <v>44</v>
      </c>
      <c r="E23" s="3">
        <v>18</v>
      </c>
      <c r="F23" s="3">
        <v>9</v>
      </c>
      <c r="G23" s="3">
        <v>42</v>
      </c>
      <c r="H23" s="3">
        <v>52</v>
      </c>
      <c r="I23" s="3">
        <v>2</v>
      </c>
      <c r="J23" s="3">
        <v>8</v>
      </c>
      <c r="K23" s="3">
        <v>40</v>
      </c>
      <c r="L23" s="3">
        <v>34</v>
      </c>
      <c r="M23" s="3">
        <v>44</v>
      </c>
      <c r="N23" s="3">
        <v>38</v>
      </c>
      <c r="O23" s="3">
        <v>34</v>
      </c>
      <c r="P23" s="3">
        <v>29</v>
      </c>
      <c r="Q23" s="3">
        <v>39</v>
      </c>
      <c r="R23" s="3">
        <v>17</v>
      </c>
      <c r="S23" s="3">
        <v>48</v>
      </c>
      <c r="T23" s="3">
        <v>20</v>
      </c>
      <c r="U23" s="395"/>
      <c r="V23" s="3">
        <v>52</v>
      </c>
      <c r="W23" s="3">
        <v>22</v>
      </c>
      <c r="X23" s="3">
        <v>53</v>
      </c>
      <c r="Y23" s="3">
        <v>14</v>
      </c>
      <c r="Z23" s="3">
        <v>16</v>
      </c>
      <c r="AA23" s="3">
        <v>25</v>
      </c>
      <c r="AB23" s="3">
        <v>34</v>
      </c>
      <c r="AC23" s="3">
        <v>16</v>
      </c>
      <c r="AD23" s="3">
        <v>24</v>
      </c>
      <c r="AE23" s="3">
        <v>51</v>
      </c>
      <c r="AF23" s="3">
        <v>4</v>
      </c>
      <c r="AG23" s="3">
        <v>34</v>
      </c>
      <c r="AH23" s="3">
        <v>8</v>
      </c>
      <c r="AI23" s="3">
        <v>10</v>
      </c>
      <c r="AJ23" s="3">
        <v>7</v>
      </c>
      <c r="AK23" s="3">
        <v>26</v>
      </c>
      <c r="AL23" s="3">
        <v>24</v>
      </c>
      <c r="AM23" s="3">
        <v>15</v>
      </c>
      <c r="AN23" s="3">
        <v>3</v>
      </c>
      <c r="AO23" s="3">
        <v>16</v>
      </c>
      <c r="AP23" s="3">
        <v>42</v>
      </c>
      <c r="AQ23" s="3">
        <v>51</v>
      </c>
      <c r="AR23" s="3">
        <v>34</v>
      </c>
      <c r="AS23" s="3">
        <v>59</v>
      </c>
    </row>
    <row r="24" spans="1:45">
      <c r="A24" s="392" t="s">
        <v>1072</v>
      </c>
      <c r="B24" s="3">
        <v>16</v>
      </c>
      <c r="C24" s="3">
        <v>49</v>
      </c>
      <c r="D24" s="3">
        <v>16</v>
      </c>
      <c r="E24" s="3">
        <v>7</v>
      </c>
      <c r="F24" s="3">
        <v>11</v>
      </c>
      <c r="G24" s="3">
        <v>22</v>
      </c>
      <c r="H24" s="3">
        <v>26</v>
      </c>
      <c r="I24" s="3">
        <v>22</v>
      </c>
      <c r="J24" s="3">
        <v>43</v>
      </c>
      <c r="K24" s="3">
        <v>26</v>
      </c>
      <c r="L24" s="3">
        <v>50</v>
      </c>
      <c r="M24" s="3">
        <v>29</v>
      </c>
      <c r="N24" s="3">
        <v>43</v>
      </c>
      <c r="O24" s="3">
        <v>2</v>
      </c>
      <c r="P24" s="3">
        <v>2</v>
      </c>
      <c r="Q24" s="3">
        <v>2</v>
      </c>
      <c r="R24" s="3">
        <v>53</v>
      </c>
      <c r="S24" s="3">
        <v>13</v>
      </c>
      <c r="T24" s="3">
        <v>35</v>
      </c>
      <c r="U24" s="3">
        <v>52</v>
      </c>
      <c r="V24" s="395"/>
      <c r="W24" s="3">
        <v>41</v>
      </c>
      <c r="X24" s="3">
        <v>42</v>
      </c>
      <c r="Y24" s="3">
        <v>16</v>
      </c>
      <c r="Z24" s="3">
        <v>2</v>
      </c>
      <c r="AA24" s="3">
        <v>42</v>
      </c>
      <c r="AB24" s="3">
        <v>51</v>
      </c>
      <c r="AC24" s="3">
        <v>24</v>
      </c>
      <c r="AD24" s="3">
        <v>51</v>
      </c>
      <c r="AE24" s="3">
        <v>34</v>
      </c>
      <c r="AF24" s="3">
        <v>42</v>
      </c>
      <c r="AG24" s="3">
        <v>6</v>
      </c>
      <c r="AH24" s="3">
        <v>15</v>
      </c>
      <c r="AI24" s="3">
        <v>2</v>
      </c>
      <c r="AJ24" s="3">
        <v>35</v>
      </c>
      <c r="AK24" s="3">
        <v>16</v>
      </c>
      <c r="AL24" s="3">
        <v>24</v>
      </c>
      <c r="AM24" s="3">
        <v>29</v>
      </c>
      <c r="AN24" s="3">
        <v>35</v>
      </c>
      <c r="AO24" s="3">
        <v>7</v>
      </c>
      <c r="AP24" s="3">
        <v>39</v>
      </c>
      <c r="AQ24" s="3">
        <v>43</v>
      </c>
      <c r="AR24" s="3">
        <v>8</v>
      </c>
      <c r="AS24" s="3">
        <v>2</v>
      </c>
    </row>
    <row r="25" spans="1:45">
      <c r="A25" s="392" t="s">
        <v>1074</v>
      </c>
      <c r="B25" s="3">
        <v>41</v>
      </c>
      <c r="C25" s="3">
        <v>15</v>
      </c>
      <c r="D25" s="3">
        <v>30</v>
      </c>
      <c r="E25" s="3">
        <v>43</v>
      </c>
      <c r="F25" s="3">
        <v>15</v>
      </c>
      <c r="G25" s="3">
        <v>7</v>
      </c>
      <c r="H25" s="3">
        <v>22</v>
      </c>
      <c r="I25" s="3">
        <v>39</v>
      </c>
      <c r="J25" s="3">
        <v>20</v>
      </c>
      <c r="K25" s="3">
        <v>53</v>
      </c>
      <c r="L25" s="3">
        <v>3</v>
      </c>
      <c r="M25" s="3">
        <v>20</v>
      </c>
      <c r="N25" s="3">
        <v>6</v>
      </c>
      <c r="O25" s="3">
        <v>20</v>
      </c>
      <c r="P25" s="3">
        <v>44</v>
      </c>
      <c r="Q25" s="3">
        <v>26</v>
      </c>
      <c r="R25" s="3">
        <v>54</v>
      </c>
      <c r="S25" s="3">
        <v>35</v>
      </c>
      <c r="T25" s="3">
        <v>48</v>
      </c>
      <c r="U25" s="3">
        <v>22</v>
      </c>
      <c r="V25" s="3">
        <v>41</v>
      </c>
      <c r="W25" s="395"/>
      <c r="X25" s="3">
        <v>9</v>
      </c>
      <c r="Y25" s="3">
        <v>3</v>
      </c>
      <c r="Z25" s="3">
        <v>16</v>
      </c>
      <c r="AA25" s="3">
        <v>42</v>
      </c>
      <c r="AB25" s="3">
        <v>51</v>
      </c>
      <c r="AC25" s="3">
        <v>36</v>
      </c>
      <c r="AD25" s="3">
        <v>49</v>
      </c>
      <c r="AE25" s="3">
        <v>24</v>
      </c>
      <c r="AF25" s="3">
        <v>36</v>
      </c>
      <c r="AG25" s="3">
        <v>24</v>
      </c>
      <c r="AH25" s="3">
        <v>16</v>
      </c>
      <c r="AI25" s="3">
        <v>56</v>
      </c>
      <c r="AJ25" s="3">
        <v>34</v>
      </c>
      <c r="AK25" s="3">
        <v>16</v>
      </c>
      <c r="AL25" s="3">
        <v>23</v>
      </c>
      <c r="AM25" s="3">
        <v>51</v>
      </c>
      <c r="AN25" s="3">
        <v>24</v>
      </c>
      <c r="AO25" s="3">
        <v>5</v>
      </c>
      <c r="AP25" s="3">
        <v>34</v>
      </c>
      <c r="AQ25" s="3">
        <v>19</v>
      </c>
      <c r="AR25" s="3">
        <v>27</v>
      </c>
      <c r="AS25" s="3">
        <v>55</v>
      </c>
    </row>
    <row r="26" spans="1:45">
      <c r="A26" s="392" t="s">
        <v>1076</v>
      </c>
      <c r="B26" s="3">
        <v>32</v>
      </c>
      <c r="C26" s="3">
        <v>52</v>
      </c>
      <c r="D26" s="3">
        <v>20</v>
      </c>
      <c r="E26" s="3">
        <v>40</v>
      </c>
      <c r="F26" s="3">
        <v>25</v>
      </c>
      <c r="G26" s="3">
        <v>26</v>
      </c>
      <c r="H26" s="3">
        <v>51</v>
      </c>
      <c r="I26" s="3">
        <v>24</v>
      </c>
      <c r="J26" s="3">
        <v>34</v>
      </c>
      <c r="K26" s="3">
        <v>36</v>
      </c>
      <c r="L26" s="3">
        <v>16</v>
      </c>
      <c r="M26" s="3">
        <v>45</v>
      </c>
      <c r="N26" s="3">
        <v>28</v>
      </c>
      <c r="O26" s="3">
        <v>53</v>
      </c>
      <c r="P26" s="3">
        <v>15</v>
      </c>
      <c r="Q26" s="3">
        <v>36</v>
      </c>
      <c r="R26" s="3">
        <v>27</v>
      </c>
      <c r="S26" s="3">
        <v>34</v>
      </c>
      <c r="T26" s="3">
        <v>2</v>
      </c>
      <c r="U26" s="3">
        <v>53</v>
      </c>
      <c r="V26" s="3">
        <v>42</v>
      </c>
      <c r="W26" s="3">
        <v>9</v>
      </c>
      <c r="X26" s="396"/>
      <c r="Y26" s="3">
        <v>26</v>
      </c>
      <c r="Z26" s="3">
        <v>35</v>
      </c>
      <c r="AA26" s="3">
        <v>16</v>
      </c>
      <c r="AB26" s="3">
        <v>20</v>
      </c>
      <c r="AC26" s="3">
        <v>51</v>
      </c>
      <c r="AD26" s="3">
        <v>34</v>
      </c>
      <c r="AE26" s="3">
        <v>15</v>
      </c>
      <c r="AF26" s="3">
        <v>20</v>
      </c>
      <c r="AG26" s="3">
        <v>30</v>
      </c>
      <c r="AH26" s="3">
        <v>14</v>
      </c>
      <c r="AI26" s="3">
        <v>52</v>
      </c>
      <c r="AJ26" s="3">
        <v>41</v>
      </c>
      <c r="AK26" s="3">
        <v>34</v>
      </c>
      <c r="AL26" s="3">
        <v>35</v>
      </c>
      <c r="AM26" s="3">
        <v>26</v>
      </c>
      <c r="AN26" s="3">
        <v>14</v>
      </c>
      <c r="AO26" s="3">
        <v>5</v>
      </c>
      <c r="AP26" s="3">
        <v>36</v>
      </c>
      <c r="AQ26" s="3">
        <v>24</v>
      </c>
      <c r="AR26" s="3">
        <v>16</v>
      </c>
      <c r="AS26" s="3">
        <v>25</v>
      </c>
    </row>
    <row r="27" spans="1:45">
      <c r="A27" s="392" t="s">
        <v>1078</v>
      </c>
      <c r="B27" s="3">
        <v>15</v>
      </c>
      <c r="C27" s="3">
        <v>49</v>
      </c>
      <c r="D27" s="3">
        <v>15</v>
      </c>
      <c r="E27" s="3">
        <v>16</v>
      </c>
      <c r="F27" s="3">
        <v>36</v>
      </c>
      <c r="G27" s="3">
        <v>24</v>
      </c>
      <c r="H27" s="3">
        <v>46</v>
      </c>
      <c r="I27" s="3">
        <v>16</v>
      </c>
      <c r="J27" s="3">
        <v>42</v>
      </c>
      <c r="K27" s="3">
        <v>15</v>
      </c>
      <c r="L27" s="3">
        <v>46</v>
      </c>
      <c r="M27" s="3">
        <v>5</v>
      </c>
      <c r="N27" s="3">
        <v>36</v>
      </c>
      <c r="O27" s="3">
        <v>14</v>
      </c>
      <c r="P27" s="3">
        <v>14</v>
      </c>
      <c r="Q27" s="3">
        <v>15</v>
      </c>
      <c r="R27" s="3">
        <v>35</v>
      </c>
      <c r="S27" s="3">
        <v>15</v>
      </c>
      <c r="T27" s="3">
        <v>16</v>
      </c>
      <c r="U27" s="3">
        <v>14</v>
      </c>
      <c r="V27" s="3">
        <v>16</v>
      </c>
      <c r="W27" s="3">
        <v>3</v>
      </c>
      <c r="X27" s="3">
        <v>26</v>
      </c>
      <c r="Y27" s="395"/>
      <c r="Z27" s="3">
        <v>52</v>
      </c>
      <c r="AA27" s="3">
        <v>16</v>
      </c>
      <c r="AB27" s="3">
        <v>24</v>
      </c>
      <c r="AC27" s="3">
        <v>35</v>
      </c>
      <c r="AD27" s="3">
        <v>29</v>
      </c>
      <c r="AE27" s="3">
        <v>42</v>
      </c>
      <c r="AF27" s="3">
        <v>38</v>
      </c>
      <c r="AG27" s="3">
        <v>8</v>
      </c>
      <c r="AH27" s="3">
        <v>5</v>
      </c>
      <c r="AI27" s="3">
        <v>24</v>
      </c>
      <c r="AJ27" s="3">
        <v>36</v>
      </c>
      <c r="AK27" s="3">
        <v>27</v>
      </c>
      <c r="AL27" s="3">
        <v>19</v>
      </c>
      <c r="AM27" s="3">
        <v>38</v>
      </c>
      <c r="AN27" s="3">
        <v>29</v>
      </c>
      <c r="AO27" s="3">
        <v>27</v>
      </c>
      <c r="AP27" s="3">
        <v>5</v>
      </c>
      <c r="AQ27" s="3">
        <v>39</v>
      </c>
      <c r="AR27" s="3">
        <v>29</v>
      </c>
      <c r="AS27" s="3">
        <v>14</v>
      </c>
    </row>
    <row r="28" spans="1:45">
      <c r="A28" s="392" t="s">
        <v>1080</v>
      </c>
      <c r="B28" s="3">
        <v>24</v>
      </c>
      <c r="C28" s="3">
        <v>36</v>
      </c>
      <c r="D28" s="3">
        <v>16</v>
      </c>
      <c r="E28" s="3">
        <v>25</v>
      </c>
      <c r="F28" s="3">
        <v>19</v>
      </c>
      <c r="G28" s="3">
        <v>46</v>
      </c>
      <c r="H28" s="3">
        <v>18</v>
      </c>
      <c r="I28" s="3">
        <v>34</v>
      </c>
      <c r="J28" s="3">
        <v>29</v>
      </c>
      <c r="K28" s="3">
        <v>45</v>
      </c>
      <c r="L28" s="3">
        <v>56</v>
      </c>
      <c r="M28" s="3">
        <v>42</v>
      </c>
      <c r="N28" s="3">
        <v>14</v>
      </c>
      <c r="O28" s="3">
        <v>25</v>
      </c>
      <c r="P28" s="3">
        <v>16</v>
      </c>
      <c r="Q28" s="3">
        <v>42</v>
      </c>
      <c r="R28" s="3">
        <v>24</v>
      </c>
      <c r="S28" s="3">
        <v>29</v>
      </c>
      <c r="T28" s="3">
        <v>42</v>
      </c>
      <c r="U28" s="3">
        <v>16</v>
      </c>
      <c r="V28" s="3">
        <v>2</v>
      </c>
      <c r="W28" s="3">
        <v>16</v>
      </c>
      <c r="X28" s="3">
        <v>35</v>
      </c>
      <c r="Y28" s="3">
        <v>52</v>
      </c>
      <c r="Z28" s="395"/>
      <c r="AA28" s="3">
        <v>39</v>
      </c>
      <c r="AB28" s="3">
        <v>45</v>
      </c>
      <c r="AC28" s="3">
        <v>26</v>
      </c>
      <c r="AD28" s="3">
        <v>15</v>
      </c>
      <c r="AE28" s="3">
        <v>34</v>
      </c>
      <c r="AF28" s="3">
        <v>15</v>
      </c>
      <c r="AG28" s="3">
        <v>26</v>
      </c>
      <c r="AH28" s="3">
        <v>23</v>
      </c>
      <c r="AI28" s="3">
        <v>1</v>
      </c>
      <c r="AJ28" s="3">
        <v>25</v>
      </c>
      <c r="AK28" s="3">
        <v>34</v>
      </c>
      <c r="AL28" s="3">
        <v>16</v>
      </c>
      <c r="AM28" s="3">
        <v>24</v>
      </c>
      <c r="AN28" s="3">
        <v>52</v>
      </c>
      <c r="AO28" s="3">
        <v>10</v>
      </c>
      <c r="AP28" s="3">
        <v>6</v>
      </c>
      <c r="AQ28" s="3">
        <v>27</v>
      </c>
      <c r="AR28" s="3">
        <v>19</v>
      </c>
      <c r="AS28" s="3">
        <v>38</v>
      </c>
    </row>
    <row r="29" spans="1:45">
      <c r="A29" s="392" t="s">
        <v>1082</v>
      </c>
      <c r="B29" s="3">
        <v>8</v>
      </c>
      <c r="C29" s="3">
        <v>15</v>
      </c>
      <c r="D29" s="3">
        <v>34</v>
      </c>
      <c r="E29" s="3">
        <v>18</v>
      </c>
      <c r="F29" s="3">
        <v>48</v>
      </c>
      <c r="G29" s="3">
        <v>24</v>
      </c>
      <c r="H29" s="3">
        <v>35</v>
      </c>
      <c r="I29" s="3">
        <v>56</v>
      </c>
      <c r="J29" s="3">
        <v>38</v>
      </c>
      <c r="K29" s="3">
        <v>7</v>
      </c>
      <c r="L29" s="3">
        <v>23</v>
      </c>
      <c r="M29" s="3">
        <v>36</v>
      </c>
      <c r="N29" s="3">
        <v>26</v>
      </c>
      <c r="O29" s="3">
        <v>36</v>
      </c>
      <c r="P29" s="3">
        <v>25</v>
      </c>
      <c r="Q29" s="3">
        <v>26</v>
      </c>
      <c r="R29" s="3">
        <v>56</v>
      </c>
      <c r="S29" s="3">
        <v>41</v>
      </c>
      <c r="T29" s="3">
        <v>51</v>
      </c>
      <c r="U29" s="3">
        <v>25</v>
      </c>
      <c r="V29" s="3">
        <v>42</v>
      </c>
      <c r="W29" s="3">
        <v>26</v>
      </c>
      <c r="X29" s="3">
        <v>16</v>
      </c>
      <c r="Y29" s="3">
        <v>16</v>
      </c>
      <c r="Z29" s="3">
        <v>39</v>
      </c>
      <c r="AA29" s="395"/>
      <c r="AB29" s="3">
        <v>26</v>
      </c>
      <c r="AC29" s="3">
        <v>24</v>
      </c>
      <c r="AD29" s="3">
        <v>15</v>
      </c>
      <c r="AE29" s="3">
        <v>5</v>
      </c>
      <c r="AF29" s="3">
        <v>34</v>
      </c>
      <c r="AG29" s="3">
        <v>19</v>
      </c>
      <c r="AH29" s="3">
        <v>27</v>
      </c>
      <c r="AI29" s="3">
        <v>16</v>
      </c>
      <c r="AJ29" s="3">
        <v>28</v>
      </c>
      <c r="AK29" s="3">
        <v>51</v>
      </c>
      <c r="AL29" s="3">
        <v>42</v>
      </c>
      <c r="AM29" s="3">
        <v>34</v>
      </c>
      <c r="AN29" s="3">
        <v>15</v>
      </c>
      <c r="AO29" s="3">
        <v>16</v>
      </c>
      <c r="AP29" s="3">
        <v>19</v>
      </c>
      <c r="AQ29" s="3">
        <v>51</v>
      </c>
      <c r="AR29" s="3">
        <v>4</v>
      </c>
      <c r="AS29" s="3">
        <v>18</v>
      </c>
    </row>
    <row r="30" spans="1:45">
      <c r="A30" s="392" t="s">
        <v>1083</v>
      </c>
      <c r="B30" s="3">
        <v>25</v>
      </c>
      <c r="C30" s="3">
        <v>17</v>
      </c>
      <c r="D30" s="3">
        <v>28</v>
      </c>
      <c r="E30" s="3">
        <v>3</v>
      </c>
      <c r="F30" s="3">
        <v>7</v>
      </c>
      <c r="G30" s="3">
        <v>20</v>
      </c>
      <c r="H30" s="3">
        <v>16</v>
      </c>
      <c r="I30" s="3">
        <v>24</v>
      </c>
      <c r="J30" s="3">
        <v>17</v>
      </c>
      <c r="K30" s="3">
        <v>26</v>
      </c>
      <c r="L30" s="3">
        <v>15</v>
      </c>
      <c r="M30" s="3">
        <v>56</v>
      </c>
      <c r="N30" s="3">
        <v>56</v>
      </c>
      <c r="O30" s="3">
        <v>51</v>
      </c>
      <c r="P30" s="3">
        <v>29</v>
      </c>
      <c r="Q30" s="3">
        <v>45</v>
      </c>
      <c r="R30" s="3">
        <v>23</v>
      </c>
      <c r="S30" s="3">
        <v>6</v>
      </c>
      <c r="T30" s="3">
        <v>37</v>
      </c>
      <c r="U30" s="3">
        <v>34</v>
      </c>
      <c r="V30" s="3">
        <v>46</v>
      </c>
      <c r="W30" s="3">
        <v>51</v>
      </c>
      <c r="X30" s="3">
        <v>20</v>
      </c>
      <c r="Y30" s="3">
        <v>24</v>
      </c>
      <c r="Z30" s="3">
        <v>45</v>
      </c>
      <c r="AA30" s="3">
        <v>26</v>
      </c>
      <c r="AB30" s="395"/>
      <c r="AC30" s="3">
        <v>51</v>
      </c>
      <c r="AD30" s="3">
        <v>24</v>
      </c>
      <c r="AE30" s="3">
        <v>6</v>
      </c>
      <c r="AF30" s="3">
        <v>19</v>
      </c>
      <c r="AG30" s="3">
        <v>37</v>
      </c>
      <c r="AH30" s="3">
        <v>27</v>
      </c>
      <c r="AI30" s="3">
        <v>25</v>
      </c>
      <c r="AJ30" s="3">
        <v>18</v>
      </c>
      <c r="AK30" s="3">
        <v>24</v>
      </c>
      <c r="AL30" s="3">
        <v>16</v>
      </c>
      <c r="AM30" s="3">
        <v>25</v>
      </c>
      <c r="AN30" s="3">
        <v>19</v>
      </c>
      <c r="AO30" s="3">
        <v>38</v>
      </c>
      <c r="AP30" s="3">
        <v>16</v>
      </c>
      <c r="AQ30" s="3">
        <v>42</v>
      </c>
      <c r="AR30" s="3">
        <v>51</v>
      </c>
      <c r="AS30" s="3">
        <v>26</v>
      </c>
    </row>
    <row r="31" spans="1:45">
      <c r="A31" s="392" t="s">
        <v>1085</v>
      </c>
      <c r="B31" s="3">
        <v>37</v>
      </c>
      <c r="C31" s="3">
        <v>8</v>
      </c>
      <c r="D31" s="3">
        <v>19</v>
      </c>
      <c r="E31" s="3">
        <v>45</v>
      </c>
      <c r="F31" s="3">
        <v>12</v>
      </c>
      <c r="G31" s="3">
        <v>16</v>
      </c>
      <c r="H31" s="3">
        <v>42</v>
      </c>
      <c r="I31" s="3">
        <v>16</v>
      </c>
      <c r="J31" s="3">
        <v>26</v>
      </c>
      <c r="K31" s="3">
        <v>38</v>
      </c>
      <c r="L31" s="3">
        <v>14</v>
      </c>
      <c r="M31" s="3">
        <v>23</v>
      </c>
      <c r="N31" s="3">
        <v>51</v>
      </c>
      <c r="O31" s="3">
        <v>42</v>
      </c>
      <c r="P31" s="3">
        <v>37</v>
      </c>
      <c r="Q31" s="3">
        <v>8</v>
      </c>
      <c r="R31" s="3">
        <v>41</v>
      </c>
      <c r="S31" s="3">
        <v>25</v>
      </c>
      <c r="T31" s="3">
        <v>39</v>
      </c>
      <c r="U31" s="3">
        <v>16</v>
      </c>
      <c r="V31" s="3">
        <v>24</v>
      </c>
      <c r="W31" s="3">
        <v>36</v>
      </c>
      <c r="X31" s="3">
        <v>51</v>
      </c>
      <c r="Y31" s="3">
        <v>35</v>
      </c>
      <c r="Z31" s="3">
        <v>26</v>
      </c>
      <c r="AA31" s="3">
        <v>24</v>
      </c>
      <c r="AB31" s="3">
        <v>51</v>
      </c>
      <c r="AC31" s="395"/>
      <c r="AD31" s="3">
        <v>36</v>
      </c>
      <c r="AE31" s="3">
        <v>28</v>
      </c>
      <c r="AF31" s="3">
        <v>19</v>
      </c>
      <c r="AG31" s="3">
        <v>27</v>
      </c>
      <c r="AH31" s="3">
        <v>34</v>
      </c>
      <c r="AI31" s="3">
        <v>51</v>
      </c>
      <c r="AJ31" s="3">
        <v>2</v>
      </c>
      <c r="AK31" s="3">
        <v>6</v>
      </c>
      <c r="AL31" s="3">
        <v>18</v>
      </c>
      <c r="AM31" s="3">
        <v>20</v>
      </c>
      <c r="AN31" s="3">
        <v>34</v>
      </c>
      <c r="AO31" s="3">
        <v>50</v>
      </c>
      <c r="AP31" s="3">
        <v>18</v>
      </c>
      <c r="AQ31" s="3">
        <v>27</v>
      </c>
      <c r="AR31" s="3">
        <v>10</v>
      </c>
      <c r="AS31" s="3">
        <v>28</v>
      </c>
    </row>
    <row r="32" spans="1:45">
      <c r="A32" s="392" t="s">
        <v>1087</v>
      </c>
      <c r="B32" s="3">
        <v>49</v>
      </c>
      <c r="C32" s="3">
        <v>26</v>
      </c>
      <c r="D32" s="3">
        <v>7</v>
      </c>
      <c r="E32" s="3">
        <v>4</v>
      </c>
      <c r="F32" s="3">
        <v>35</v>
      </c>
      <c r="G32" s="3">
        <v>19</v>
      </c>
      <c r="H32" s="3">
        <v>18</v>
      </c>
      <c r="I32" s="3">
        <v>25</v>
      </c>
      <c r="J32" s="3">
        <v>24</v>
      </c>
      <c r="K32" s="3">
        <v>15</v>
      </c>
      <c r="L32" s="3">
        <v>26</v>
      </c>
      <c r="M32" s="3">
        <v>45</v>
      </c>
      <c r="N32" s="3">
        <v>42</v>
      </c>
      <c r="O32" s="3">
        <v>15</v>
      </c>
      <c r="P32" s="3">
        <v>5</v>
      </c>
      <c r="Q32" s="3">
        <v>10</v>
      </c>
      <c r="R32" s="3">
        <v>52</v>
      </c>
      <c r="S32" s="3">
        <v>34</v>
      </c>
      <c r="T32" s="3">
        <v>15</v>
      </c>
      <c r="U32" s="3">
        <v>24</v>
      </c>
      <c r="V32" s="3">
        <v>51</v>
      </c>
      <c r="W32" s="3">
        <v>49</v>
      </c>
      <c r="X32" s="3">
        <v>34</v>
      </c>
      <c r="Y32" s="3">
        <v>29</v>
      </c>
      <c r="Z32" s="3">
        <v>15</v>
      </c>
      <c r="AA32" s="3">
        <v>15</v>
      </c>
      <c r="AB32" s="3">
        <v>24</v>
      </c>
      <c r="AC32" s="3">
        <v>36</v>
      </c>
      <c r="AD32" s="395"/>
      <c r="AE32" s="3">
        <v>20</v>
      </c>
      <c r="AF32" s="3">
        <v>16</v>
      </c>
      <c r="AG32" s="3">
        <v>34</v>
      </c>
      <c r="AH32" s="3">
        <v>9</v>
      </c>
      <c r="AI32" s="3">
        <v>10</v>
      </c>
      <c r="AJ32" s="3">
        <v>25</v>
      </c>
      <c r="AK32" s="3">
        <v>16</v>
      </c>
      <c r="AL32" s="3">
        <v>34</v>
      </c>
      <c r="AM32" s="3">
        <v>18</v>
      </c>
      <c r="AN32" s="3">
        <v>29</v>
      </c>
      <c r="AO32" s="3">
        <v>37</v>
      </c>
      <c r="AP32" s="3">
        <v>27</v>
      </c>
      <c r="AQ32" s="3">
        <v>18</v>
      </c>
      <c r="AR32" s="3">
        <v>20</v>
      </c>
      <c r="AS32" s="3">
        <v>16</v>
      </c>
    </row>
    <row r="33" spans="1:45">
      <c r="A33" s="392" t="s">
        <v>1089</v>
      </c>
      <c r="B33" s="3">
        <v>52</v>
      </c>
      <c r="C33" s="3">
        <v>41</v>
      </c>
      <c r="D33" s="3">
        <v>25</v>
      </c>
      <c r="E33" s="3">
        <v>48</v>
      </c>
      <c r="F33" s="3">
        <v>43</v>
      </c>
      <c r="G33" s="3">
        <v>45</v>
      </c>
      <c r="H33" s="3">
        <v>27</v>
      </c>
      <c r="I33" s="3">
        <v>9</v>
      </c>
      <c r="J33" s="3">
        <v>19</v>
      </c>
      <c r="K33" s="3">
        <v>49</v>
      </c>
      <c r="L33" s="3">
        <v>35</v>
      </c>
      <c r="M33" s="3">
        <v>16</v>
      </c>
      <c r="N33" s="3">
        <v>16</v>
      </c>
      <c r="O33" s="3">
        <v>46</v>
      </c>
      <c r="P33" s="3">
        <v>16</v>
      </c>
      <c r="Q33" s="3">
        <v>34</v>
      </c>
      <c r="R33" s="3">
        <v>5</v>
      </c>
      <c r="S33" s="3">
        <v>18</v>
      </c>
      <c r="T33" s="3">
        <v>42</v>
      </c>
      <c r="U33" s="3">
        <v>51</v>
      </c>
      <c r="V33" s="3">
        <v>34</v>
      </c>
      <c r="W33" s="3">
        <v>24</v>
      </c>
      <c r="X33" s="3">
        <v>15</v>
      </c>
      <c r="Y33" s="3">
        <v>42</v>
      </c>
      <c r="Z33" s="3">
        <v>34</v>
      </c>
      <c r="AA33" s="3">
        <v>5</v>
      </c>
      <c r="AB33" s="3">
        <v>6</v>
      </c>
      <c r="AC33" s="3">
        <v>28</v>
      </c>
      <c r="AD33" s="3">
        <v>20</v>
      </c>
      <c r="AE33" s="395"/>
      <c r="AF33" s="3">
        <v>34</v>
      </c>
      <c r="AG33" s="3">
        <v>21</v>
      </c>
      <c r="AH33" s="3">
        <v>15</v>
      </c>
      <c r="AI33" s="3">
        <v>36</v>
      </c>
      <c r="AJ33" s="3">
        <v>10</v>
      </c>
      <c r="AK33" s="3">
        <v>9</v>
      </c>
      <c r="AL33" s="3">
        <v>8</v>
      </c>
      <c r="AM33" s="3">
        <v>37</v>
      </c>
      <c r="AN33" s="3">
        <v>19</v>
      </c>
      <c r="AO33" s="3">
        <v>27</v>
      </c>
      <c r="AP33" s="3">
        <v>18</v>
      </c>
      <c r="AQ33" s="3">
        <v>52</v>
      </c>
      <c r="AR33" s="3">
        <v>46</v>
      </c>
      <c r="AS33" s="3">
        <v>2</v>
      </c>
    </row>
    <row r="34" spans="1:45">
      <c r="A34" s="392" t="s">
        <v>1091</v>
      </c>
      <c r="B34" s="3">
        <v>14</v>
      </c>
      <c r="C34" s="3">
        <v>39</v>
      </c>
      <c r="D34" s="3">
        <v>37</v>
      </c>
      <c r="E34" s="3">
        <v>18</v>
      </c>
      <c r="F34" s="3">
        <v>19</v>
      </c>
      <c r="G34" s="3">
        <v>7</v>
      </c>
      <c r="H34" s="3">
        <v>6</v>
      </c>
      <c r="I34" s="3">
        <v>15</v>
      </c>
      <c r="J34" s="3">
        <v>5</v>
      </c>
      <c r="K34" s="3">
        <v>53</v>
      </c>
      <c r="L34" s="3">
        <v>52</v>
      </c>
      <c r="M34" s="3">
        <v>2</v>
      </c>
      <c r="N34" s="3">
        <v>35</v>
      </c>
      <c r="O34" s="3">
        <v>15</v>
      </c>
      <c r="P34" s="3">
        <v>2</v>
      </c>
      <c r="Q34" s="3">
        <v>25</v>
      </c>
      <c r="R34" s="3">
        <v>20</v>
      </c>
      <c r="S34" s="3">
        <v>29</v>
      </c>
      <c r="T34" s="3">
        <v>53</v>
      </c>
      <c r="U34" s="3">
        <v>4</v>
      </c>
      <c r="V34" s="3">
        <v>42</v>
      </c>
      <c r="W34" s="3">
        <v>36</v>
      </c>
      <c r="X34" s="3">
        <v>20</v>
      </c>
      <c r="Y34" s="3">
        <v>38</v>
      </c>
      <c r="Z34" s="3">
        <v>15</v>
      </c>
      <c r="AA34" s="3">
        <v>34</v>
      </c>
      <c r="AB34" s="3">
        <v>19</v>
      </c>
      <c r="AC34" s="3">
        <v>19</v>
      </c>
      <c r="AD34" s="3">
        <v>16</v>
      </c>
      <c r="AE34" s="3">
        <v>34</v>
      </c>
      <c r="AF34" s="395"/>
      <c r="AG34" s="3">
        <v>7</v>
      </c>
      <c r="AH34" s="3">
        <v>41</v>
      </c>
      <c r="AI34" s="3">
        <v>26</v>
      </c>
      <c r="AJ34" s="3">
        <v>34</v>
      </c>
      <c r="AK34" s="3">
        <v>51</v>
      </c>
      <c r="AL34" s="3">
        <v>18</v>
      </c>
      <c r="AM34" s="3">
        <v>20</v>
      </c>
      <c r="AN34" s="3">
        <v>13</v>
      </c>
      <c r="AO34" s="3">
        <v>9</v>
      </c>
      <c r="AP34" s="3">
        <v>25</v>
      </c>
      <c r="AQ34" s="3">
        <v>14</v>
      </c>
      <c r="AR34" s="3">
        <v>24</v>
      </c>
      <c r="AS34" s="3">
        <v>51</v>
      </c>
    </row>
    <row r="35" spans="1:45">
      <c r="A35" s="392" t="s">
        <v>1093</v>
      </c>
      <c r="B35" s="3">
        <v>2</v>
      </c>
      <c r="C35" s="3">
        <v>20</v>
      </c>
      <c r="D35" s="3">
        <v>46</v>
      </c>
      <c r="E35" s="3">
        <v>56</v>
      </c>
      <c r="F35" s="3">
        <v>20</v>
      </c>
      <c r="G35" s="3">
        <v>13</v>
      </c>
      <c r="H35" s="3">
        <v>54</v>
      </c>
      <c r="I35" s="3">
        <v>6</v>
      </c>
      <c r="J35" s="3">
        <v>34</v>
      </c>
      <c r="K35" s="3">
        <v>16</v>
      </c>
      <c r="L35" s="3">
        <v>6</v>
      </c>
      <c r="M35" s="3">
        <v>53</v>
      </c>
      <c r="N35" s="3">
        <v>15</v>
      </c>
      <c r="O35" s="3">
        <v>32</v>
      </c>
      <c r="P35" s="3">
        <v>42</v>
      </c>
      <c r="Q35" s="3">
        <v>6</v>
      </c>
      <c r="R35" s="3">
        <v>16</v>
      </c>
      <c r="S35" s="3">
        <v>24</v>
      </c>
      <c r="T35" s="3">
        <v>48</v>
      </c>
      <c r="U35" s="3">
        <v>34</v>
      </c>
      <c r="V35" s="3">
        <v>6</v>
      </c>
      <c r="W35" s="3">
        <v>24</v>
      </c>
      <c r="X35" s="3">
        <v>30</v>
      </c>
      <c r="Y35" s="3">
        <v>8</v>
      </c>
      <c r="Z35" s="3">
        <v>26</v>
      </c>
      <c r="AA35" s="3">
        <v>19</v>
      </c>
      <c r="AB35" s="3">
        <v>37</v>
      </c>
      <c r="AC35" s="3">
        <v>27</v>
      </c>
      <c r="AD35" s="3">
        <v>34</v>
      </c>
      <c r="AE35" s="3">
        <v>21</v>
      </c>
      <c r="AF35" s="3">
        <v>7</v>
      </c>
      <c r="AG35" s="395"/>
      <c r="AH35" s="3">
        <v>52</v>
      </c>
      <c r="AI35" s="3">
        <v>16</v>
      </c>
      <c r="AJ35" s="3">
        <v>27</v>
      </c>
      <c r="AK35" s="3">
        <v>45</v>
      </c>
      <c r="AL35" s="3">
        <v>29</v>
      </c>
      <c r="AM35" s="3">
        <v>16</v>
      </c>
      <c r="AN35" s="3">
        <v>25</v>
      </c>
      <c r="AO35" s="3">
        <v>42</v>
      </c>
      <c r="AP35" s="3">
        <v>18</v>
      </c>
      <c r="AQ35" s="3">
        <v>20</v>
      </c>
      <c r="AR35" s="3">
        <v>13</v>
      </c>
      <c r="AS35" s="3">
        <v>6</v>
      </c>
    </row>
    <row r="36" spans="1:45">
      <c r="A36" s="392" t="s">
        <v>1094</v>
      </c>
      <c r="B36" s="3">
        <v>51</v>
      </c>
      <c r="C36" s="3">
        <v>26</v>
      </c>
      <c r="D36" s="3">
        <v>52</v>
      </c>
      <c r="E36" s="3">
        <v>51</v>
      </c>
      <c r="F36" s="3">
        <v>15</v>
      </c>
      <c r="G36" s="3">
        <v>36</v>
      </c>
      <c r="H36" s="3">
        <v>16</v>
      </c>
      <c r="I36" s="3">
        <v>48</v>
      </c>
      <c r="J36" s="3">
        <v>18</v>
      </c>
      <c r="K36" s="3">
        <v>14</v>
      </c>
      <c r="L36" s="3">
        <v>15</v>
      </c>
      <c r="M36" s="3">
        <v>42</v>
      </c>
      <c r="N36" s="3">
        <v>14</v>
      </c>
      <c r="O36" s="3">
        <v>35</v>
      </c>
      <c r="P36" s="3">
        <v>35</v>
      </c>
      <c r="Q36" s="3">
        <v>14</v>
      </c>
      <c r="R36" s="3">
        <v>39</v>
      </c>
      <c r="S36" s="3">
        <v>53</v>
      </c>
      <c r="T36" s="3">
        <v>25</v>
      </c>
      <c r="U36" s="3">
        <v>8</v>
      </c>
      <c r="V36" s="3">
        <v>15</v>
      </c>
      <c r="W36" s="3">
        <v>16</v>
      </c>
      <c r="X36" s="3">
        <v>14</v>
      </c>
      <c r="Y36" s="3">
        <v>5</v>
      </c>
      <c r="Z36" s="3">
        <v>23</v>
      </c>
      <c r="AA36" s="3">
        <v>27</v>
      </c>
      <c r="AB36" s="3">
        <v>27</v>
      </c>
      <c r="AC36" s="3">
        <v>34</v>
      </c>
      <c r="AD36" s="3">
        <v>9</v>
      </c>
      <c r="AE36" s="3">
        <v>15</v>
      </c>
      <c r="AF36" s="3">
        <v>41</v>
      </c>
      <c r="AG36" s="3">
        <v>52</v>
      </c>
      <c r="AH36" s="395"/>
      <c r="AI36" s="3">
        <v>36</v>
      </c>
      <c r="AJ36" s="3">
        <v>24</v>
      </c>
      <c r="AK36" s="3">
        <v>18</v>
      </c>
      <c r="AL36" s="3">
        <v>10</v>
      </c>
      <c r="AM36" s="3">
        <v>23</v>
      </c>
      <c r="AN36" s="3">
        <v>5</v>
      </c>
      <c r="AO36" s="3">
        <v>46</v>
      </c>
      <c r="AP36" s="3">
        <v>27</v>
      </c>
      <c r="AQ36" s="3">
        <v>18</v>
      </c>
      <c r="AR36" s="3">
        <v>52</v>
      </c>
      <c r="AS36" s="3">
        <v>45</v>
      </c>
    </row>
    <row r="37" spans="1:45">
      <c r="A37" s="392" t="s">
        <v>1096</v>
      </c>
      <c r="B37" s="3">
        <v>45</v>
      </c>
      <c r="C37" s="3">
        <v>49</v>
      </c>
      <c r="D37" s="3">
        <v>56</v>
      </c>
      <c r="E37" s="3">
        <v>42</v>
      </c>
      <c r="F37" s="3">
        <v>46</v>
      </c>
      <c r="G37" s="3">
        <v>38</v>
      </c>
      <c r="H37" s="3">
        <v>24</v>
      </c>
      <c r="I37" s="3">
        <v>52</v>
      </c>
      <c r="J37" s="3">
        <v>45</v>
      </c>
      <c r="K37" s="3">
        <v>25</v>
      </c>
      <c r="L37" s="3">
        <v>13</v>
      </c>
      <c r="M37" s="3">
        <v>16</v>
      </c>
      <c r="N37" s="3">
        <v>52</v>
      </c>
      <c r="O37" s="3">
        <v>24</v>
      </c>
      <c r="P37" s="3">
        <v>12</v>
      </c>
      <c r="Q37" s="3">
        <v>24</v>
      </c>
      <c r="R37" s="3">
        <v>28</v>
      </c>
      <c r="S37" s="3">
        <v>42</v>
      </c>
      <c r="T37" s="3">
        <v>3</v>
      </c>
      <c r="U37" s="3">
        <v>10</v>
      </c>
      <c r="V37" s="3">
        <v>2</v>
      </c>
      <c r="W37" s="3">
        <v>56</v>
      </c>
      <c r="X37" s="3">
        <v>52</v>
      </c>
      <c r="Y37" s="3">
        <v>24</v>
      </c>
      <c r="Z37" s="3">
        <v>1</v>
      </c>
      <c r="AA37" s="3">
        <v>16</v>
      </c>
      <c r="AB37" s="3">
        <v>25</v>
      </c>
      <c r="AC37" s="3">
        <v>51</v>
      </c>
      <c r="AD37" s="3">
        <v>10</v>
      </c>
      <c r="AE37" s="3">
        <v>36</v>
      </c>
      <c r="AF37" s="3">
        <v>26</v>
      </c>
      <c r="AG37" s="3">
        <v>16</v>
      </c>
      <c r="AH37" s="3">
        <v>36</v>
      </c>
      <c r="AI37" s="395"/>
      <c r="AJ37" s="3">
        <v>19</v>
      </c>
      <c r="AK37" s="3">
        <v>24</v>
      </c>
      <c r="AL37" s="3">
        <v>35</v>
      </c>
      <c r="AM37" s="3">
        <v>16</v>
      </c>
      <c r="AN37" s="3">
        <v>50</v>
      </c>
      <c r="AO37" s="3">
        <v>21</v>
      </c>
      <c r="AP37" s="3">
        <v>42</v>
      </c>
      <c r="AQ37" s="3">
        <v>38</v>
      </c>
      <c r="AR37" s="3">
        <v>8</v>
      </c>
      <c r="AS37" s="3">
        <v>25</v>
      </c>
    </row>
    <row r="38" spans="1:45">
      <c r="A38" s="392" t="s">
        <v>1098</v>
      </c>
      <c r="B38" s="3">
        <v>36</v>
      </c>
      <c r="C38" s="3">
        <v>11</v>
      </c>
      <c r="D38" s="3">
        <v>48</v>
      </c>
      <c r="E38" s="3">
        <v>53</v>
      </c>
      <c r="F38" s="3">
        <v>20</v>
      </c>
      <c r="G38" s="3">
        <v>25</v>
      </c>
      <c r="H38" s="3">
        <v>25</v>
      </c>
      <c r="I38" s="3">
        <v>8</v>
      </c>
      <c r="J38" s="3">
        <v>52</v>
      </c>
      <c r="K38" s="3">
        <v>36</v>
      </c>
      <c r="L38" s="3">
        <v>42</v>
      </c>
      <c r="M38" s="3">
        <v>43</v>
      </c>
      <c r="N38" s="3">
        <v>13</v>
      </c>
      <c r="O38" s="3">
        <v>51</v>
      </c>
      <c r="P38" s="3">
        <v>30</v>
      </c>
      <c r="Q38" s="3">
        <v>18</v>
      </c>
      <c r="R38" s="3">
        <v>1</v>
      </c>
      <c r="S38" s="3">
        <v>38</v>
      </c>
      <c r="T38" s="3">
        <v>14</v>
      </c>
      <c r="U38" s="3">
        <v>7</v>
      </c>
      <c r="V38" s="3">
        <v>35</v>
      </c>
      <c r="W38" s="3">
        <v>34</v>
      </c>
      <c r="X38" s="3">
        <v>41</v>
      </c>
      <c r="Y38" s="3">
        <v>36</v>
      </c>
      <c r="Z38" s="3">
        <v>25</v>
      </c>
      <c r="AA38" s="3">
        <v>28</v>
      </c>
      <c r="AB38" s="3">
        <v>18</v>
      </c>
      <c r="AC38" s="3">
        <v>2</v>
      </c>
      <c r="AD38" s="3">
        <v>25</v>
      </c>
      <c r="AE38" s="3">
        <v>10</v>
      </c>
      <c r="AF38" s="3">
        <v>34</v>
      </c>
      <c r="AG38" s="3">
        <v>27</v>
      </c>
      <c r="AH38" s="3">
        <v>24</v>
      </c>
      <c r="AI38" s="3">
        <v>19</v>
      </c>
      <c r="AJ38" s="395"/>
      <c r="AK38" s="3">
        <v>45</v>
      </c>
      <c r="AL38" s="3">
        <v>4</v>
      </c>
      <c r="AM38" s="3">
        <v>13</v>
      </c>
      <c r="AN38" s="3">
        <v>24</v>
      </c>
      <c r="AO38" s="3">
        <v>18</v>
      </c>
      <c r="AP38" s="3">
        <v>34</v>
      </c>
      <c r="AQ38" s="3">
        <v>28</v>
      </c>
      <c r="AR38" s="3">
        <v>16</v>
      </c>
      <c r="AS38" s="3">
        <v>9</v>
      </c>
    </row>
    <row r="39" spans="1:45">
      <c r="A39" s="392" t="s">
        <v>1100</v>
      </c>
      <c r="B39" s="3">
        <v>19</v>
      </c>
      <c r="C39" s="3">
        <v>50</v>
      </c>
      <c r="D39" s="3">
        <v>4</v>
      </c>
      <c r="E39" s="3">
        <v>16</v>
      </c>
      <c r="F39" s="3">
        <v>16</v>
      </c>
      <c r="G39" s="3">
        <v>16</v>
      </c>
      <c r="H39" s="3">
        <v>36</v>
      </c>
      <c r="I39" s="3">
        <v>58</v>
      </c>
      <c r="J39" s="3">
        <v>16</v>
      </c>
      <c r="K39" s="3">
        <v>8</v>
      </c>
      <c r="L39" s="3">
        <v>54</v>
      </c>
      <c r="M39" s="3">
        <v>16</v>
      </c>
      <c r="N39" s="3">
        <v>46</v>
      </c>
      <c r="O39" s="3">
        <v>26</v>
      </c>
      <c r="P39" s="3">
        <v>51</v>
      </c>
      <c r="Q39" s="3">
        <v>39</v>
      </c>
      <c r="R39" s="3">
        <v>33</v>
      </c>
      <c r="S39" s="3">
        <v>22</v>
      </c>
      <c r="T39" s="3">
        <v>20</v>
      </c>
      <c r="U39" s="3">
        <v>26</v>
      </c>
      <c r="V39" s="3">
        <v>16</v>
      </c>
      <c r="W39" s="3">
        <v>42</v>
      </c>
      <c r="X39" s="3">
        <v>34</v>
      </c>
      <c r="Y39" s="3">
        <v>27</v>
      </c>
      <c r="Z39" s="3">
        <v>34</v>
      </c>
      <c r="AA39" s="3">
        <v>51</v>
      </c>
      <c r="AB39" s="3">
        <v>24</v>
      </c>
      <c r="AC39" s="3">
        <v>6</v>
      </c>
      <c r="AD39" s="3">
        <v>16</v>
      </c>
      <c r="AE39" s="3">
        <v>9</v>
      </c>
      <c r="AF39" s="3">
        <v>51</v>
      </c>
      <c r="AG39" s="3">
        <v>45</v>
      </c>
      <c r="AH39" s="3">
        <v>18</v>
      </c>
      <c r="AI39" s="3">
        <v>24</v>
      </c>
      <c r="AJ39" s="3">
        <v>45</v>
      </c>
      <c r="AK39" s="395"/>
      <c r="AL39" s="3">
        <v>57</v>
      </c>
      <c r="AM39" s="3">
        <v>15</v>
      </c>
      <c r="AN39" s="3">
        <v>42</v>
      </c>
      <c r="AO39" s="3">
        <v>27</v>
      </c>
      <c r="AP39" s="3">
        <v>16</v>
      </c>
      <c r="AQ39" s="3">
        <v>20</v>
      </c>
      <c r="AR39" s="3">
        <v>34</v>
      </c>
      <c r="AS39" s="3">
        <v>46</v>
      </c>
    </row>
    <row r="40" spans="1:45">
      <c r="A40" s="392" t="s">
        <v>1101</v>
      </c>
      <c r="B40" s="3">
        <v>22</v>
      </c>
      <c r="C40" s="3">
        <v>56</v>
      </c>
      <c r="D40" s="3">
        <v>12</v>
      </c>
      <c r="E40" s="3">
        <v>49</v>
      </c>
      <c r="F40" s="3">
        <v>5</v>
      </c>
      <c r="G40" s="3">
        <v>14</v>
      </c>
      <c r="H40" s="3">
        <v>19</v>
      </c>
      <c r="I40" s="3">
        <v>40</v>
      </c>
      <c r="J40" s="3">
        <v>42</v>
      </c>
      <c r="K40" s="3">
        <v>6</v>
      </c>
      <c r="L40" s="3">
        <v>13</v>
      </c>
      <c r="M40" s="3">
        <v>52</v>
      </c>
      <c r="N40" s="3">
        <v>51</v>
      </c>
      <c r="O40" s="3">
        <v>18</v>
      </c>
      <c r="P40" s="3">
        <v>20</v>
      </c>
      <c r="Q40" s="3">
        <v>42</v>
      </c>
      <c r="R40" s="3">
        <v>15</v>
      </c>
      <c r="S40" s="3">
        <v>15</v>
      </c>
      <c r="T40" s="3">
        <v>34</v>
      </c>
      <c r="U40" s="3">
        <v>24</v>
      </c>
      <c r="V40" s="3">
        <v>24</v>
      </c>
      <c r="W40" s="3">
        <v>23</v>
      </c>
      <c r="X40" s="3">
        <v>35</v>
      </c>
      <c r="Y40" s="3">
        <v>19</v>
      </c>
      <c r="Z40" s="3">
        <v>16</v>
      </c>
      <c r="AA40" s="3">
        <v>42</v>
      </c>
      <c r="AB40" s="3">
        <v>16</v>
      </c>
      <c r="AC40" s="3">
        <v>18</v>
      </c>
      <c r="AD40" s="3">
        <v>34</v>
      </c>
      <c r="AE40" s="3">
        <v>8</v>
      </c>
      <c r="AF40" s="3">
        <v>18</v>
      </c>
      <c r="AG40" s="3">
        <v>29</v>
      </c>
      <c r="AH40" s="3">
        <v>10</v>
      </c>
      <c r="AI40" s="3">
        <v>35</v>
      </c>
      <c r="AJ40" s="3">
        <v>4</v>
      </c>
      <c r="AK40" s="3">
        <v>57</v>
      </c>
      <c r="AL40" s="395"/>
      <c r="AM40" s="3">
        <v>45</v>
      </c>
      <c r="AN40" s="3">
        <v>27</v>
      </c>
      <c r="AO40" s="3">
        <v>36</v>
      </c>
      <c r="AP40" s="3">
        <v>24</v>
      </c>
      <c r="AQ40" s="3">
        <v>18</v>
      </c>
      <c r="AR40" s="3">
        <v>39</v>
      </c>
      <c r="AS40" s="3">
        <v>2</v>
      </c>
    </row>
    <row r="41" spans="1:45">
      <c r="A41" s="392" t="s">
        <v>1103</v>
      </c>
      <c r="B41" s="3">
        <v>34</v>
      </c>
      <c r="C41" s="3">
        <v>48</v>
      </c>
      <c r="D41" s="3">
        <v>40</v>
      </c>
      <c r="E41" s="3">
        <v>15</v>
      </c>
      <c r="F41" s="3">
        <v>37</v>
      </c>
      <c r="G41" s="3">
        <v>10</v>
      </c>
      <c r="H41" s="3">
        <v>37</v>
      </c>
      <c r="I41" s="3">
        <v>13</v>
      </c>
      <c r="J41" s="3">
        <v>57</v>
      </c>
      <c r="K41" s="3">
        <v>13</v>
      </c>
      <c r="L41" s="3">
        <v>46</v>
      </c>
      <c r="M41" s="3">
        <v>6</v>
      </c>
      <c r="N41" s="3">
        <v>5</v>
      </c>
      <c r="O41" s="3">
        <v>28</v>
      </c>
      <c r="P41" s="3">
        <v>42</v>
      </c>
      <c r="Q41" s="3">
        <v>15</v>
      </c>
      <c r="R41" s="3">
        <v>24</v>
      </c>
      <c r="S41" s="3">
        <v>27</v>
      </c>
      <c r="T41" s="3">
        <v>16</v>
      </c>
      <c r="U41" s="3">
        <v>15</v>
      </c>
      <c r="V41" s="3">
        <v>29</v>
      </c>
      <c r="W41" s="3">
        <v>51</v>
      </c>
      <c r="X41" s="3">
        <v>26</v>
      </c>
      <c r="Y41" s="3">
        <v>38</v>
      </c>
      <c r="Z41" s="3">
        <v>24</v>
      </c>
      <c r="AA41" s="3">
        <v>34</v>
      </c>
      <c r="AB41" s="3">
        <v>25</v>
      </c>
      <c r="AC41" s="3">
        <v>20</v>
      </c>
      <c r="AD41" s="3">
        <v>18</v>
      </c>
      <c r="AE41" s="3">
        <v>37</v>
      </c>
      <c r="AF41" s="3">
        <v>20</v>
      </c>
      <c r="AG41" s="3">
        <v>16</v>
      </c>
      <c r="AH41" s="3">
        <v>23</v>
      </c>
      <c r="AI41" s="3">
        <v>16</v>
      </c>
      <c r="AJ41" s="3">
        <v>13</v>
      </c>
      <c r="AK41" s="3">
        <v>15</v>
      </c>
      <c r="AL41" s="3">
        <v>45</v>
      </c>
      <c r="AM41" s="395"/>
      <c r="AN41" s="3">
        <v>50</v>
      </c>
      <c r="AO41" s="3">
        <v>43</v>
      </c>
      <c r="AP41" s="3">
        <v>12</v>
      </c>
      <c r="AQ41" s="3">
        <v>5</v>
      </c>
      <c r="AR41" s="3">
        <v>27</v>
      </c>
      <c r="AS41" s="3">
        <v>11</v>
      </c>
    </row>
    <row r="42" spans="1:45">
      <c r="A42" s="392" t="s">
        <v>1105</v>
      </c>
      <c r="B42" s="3">
        <v>11</v>
      </c>
      <c r="C42" s="3">
        <v>50</v>
      </c>
      <c r="D42" s="3">
        <v>59</v>
      </c>
      <c r="E42" s="3">
        <v>27</v>
      </c>
      <c r="F42" s="3">
        <v>46</v>
      </c>
      <c r="G42" s="3">
        <v>20</v>
      </c>
      <c r="H42" s="3">
        <v>25</v>
      </c>
      <c r="I42" s="3">
        <v>6</v>
      </c>
      <c r="J42" s="3">
        <v>13</v>
      </c>
      <c r="K42" s="3">
        <v>46</v>
      </c>
      <c r="L42" s="3">
        <v>56</v>
      </c>
      <c r="M42" s="3">
        <v>15</v>
      </c>
      <c r="N42" s="3">
        <v>19</v>
      </c>
      <c r="O42" s="3">
        <v>39</v>
      </c>
      <c r="P42" s="3">
        <v>60</v>
      </c>
      <c r="Q42" s="3">
        <v>48</v>
      </c>
      <c r="R42" s="3">
        <v>16</v>
      </c>
      <c r="S42" s="3">
        <v>44</v>
      </c>
      <c r="T42" s="3">
        <v>51</v>
      </c>
      <c r="U42" s="3">
        <v>3</v>
      </c>
      <c r="V42" s="3">
        <v>35</v>
      </c>
      <c r="W42" s="3">
        <v>24</v>
      </c>
      <c r="X42" s="3">
        <v>14</v>
      </c>
      <c r="Y42" s="3">
        <v>29</v>
      </c>
      <c r="Z42" s="3">
        <v>52</v>
      </c>
      <c r="AA42" s="3">
        <v>15</v>
      </c>
      <c r="AB42" s="3">
        <v>19</v>
      </c>
      <c r="AC42" s="3">
        <v>34</v>
      </c>
      <c r="AD42" s="3">
        <v>29</v>
      </c>
      <c r="AE42" s="3">
        <v>19</v>
      </c>
      <c r="AF42" s="3">
        <v>13</v>
      </c>
      <c r="AG42" s="3">
        <v>25</v>
      </c>
      <c r="AH42" s="3">
        <v>5</v>
      </c>
      <c r="AI42" s="3">
        <v>50</v>
      </c>
      <c r="AJ42" s="3">
        <v>24</v>
      </c>
      <c r="AK42" s="3">
        <v>42</v>
      </c>
      <c r="AL42" s="3">
        <v>27</v>
      </c>
      <c r="AM42" s="3">
        <v>50</v>
      </c>
      <c r="AN42" s="395"/>
      <c r="AO42" s="3">
        <v>15</v>
      </c>
      <c r="AP42" s="3">
        <v>34</v>
      </c>
      <c r="AQ42" s="3">
        <v>56</v>
      </c>
      <c r="AR42" s="3">
        <v>23</v>
      </c>
      <c r="AS42" s="3">
        <v>15</v>
      </c>
    </row>
    <row r="43" spans="1:45">
      <c r="A43" s="392" t="s">
        <v>1107</v>
      </c>
      <c r="B43" s="3">
        <v>27</v>
      </c>
      <c r="C43" s="3">
        <v>16</v>
      </c>
      <c r="D43" s="3">
        <v>24</v>
      </c>
      <c r="E43" s="3">
        <v>36</v>
      </c>
      <c r="F43" s="3">
        <v>16</v>
      </c>
      <c r="G43" s="3">
        <v>51</v>
      </c>
      <c r="H43" s="3">
        <v>16</v>
      </c>
      <c r="I43" s="3">
        <v>8</v>
      </c>
      <c r="J43" s="3">
        <v>36</v>
      </c>
      <c r="K43" s="3">
        <v>56</v>
      </c>
      <c r="L43" s="3">
        <v>23</v>
      </c>
      <c r="M43" s="3">
        <v>2</v>
      </c>
      <c r="N43" s="3">
        <v>27</v>
      </c>
      <c r="O43" s="3">
        <v>35</v>
      </c>
      <c r="P43" s="3">
        <v>15</v>
      </c>
      <c r="Q43" s="3">
        <v>35</v>
      </c>
      <c r="R43" s="3">
        <v>42</v>
      </c>
      <c r="S43" s="3">
        <v>50</v>
      </c>
      <c r="T43" s="3">
        <v>24</v>
      </c>
      <c r="U43" s="3">
        <v>16</v>
      </c>
      <c r="V43" s="3">
        <v>7</v>
      </c>
      <c r="W43" s="3">
        <v>5</v>
      </c>
      <c r="X43" s="3">
        <v>5</v>
      </c>
      <c r="Y43" s="3">
        <v>27</v>
      </c>
      <c r="Z43" s="3">
        <v>10</v>
      </c>
      <c r="AA43" s="3">
        <v>16</v>
      </c>
      <c r="AB43" s="3">
        <v>38</v>
      </c>
      <c r="AC43" s="3">
        <v>50</v>
      </c>
      <c r="AD43" s="3">
        <v>37</v>
      </c>
      <c r="AE43" s="3">
        <v>27</v>
      </c>
      <c r="AF43" s="3">
        <v>9</v>
      </c>
      <c r="AG43" s="3">
        <v>42</v>
      </c>
      <c r="AH43" s="3">
        <v>46</v>
      </c>
      <c r="AI43" s="3">
        <v>21</v>
      </c>
      <c r="AJ43" s="3">
        <v>18</v>
      </c>
      <c r="AK43" s="3">
        <v>27</v>
      </c>
      <c r="AL43" s="3">
        <v>36</v>
      </c>
      <c r="AM43" s="3">
        <v>43</v>
      </c>
      <c r="AN43" s="3">
        <v>15</v>
      </c>
      <c r="AO43" s="395"/>
      <c r="AP43" s="3">
        <v>52</v>
      </c>
      <c r="AQ43" s="3">
        <v>11</v>
      </c>
      <c r="AR43" s="3">
        <v>34</v>
      </c>
      <c r="AS43" s="3">
        <v>1</v>
      </c>
    </row>
    <row r="44" spans="1:45">
      <c r="A44" s="392" t="s">
        <v>1109</v>
      </c>
      <c r="B44" s="3">
        <v>26</v>
      </c>
      <c r="C44" s="3">
        <v>24</v>
      </c>
      <c r="D44" s="3">
        <v>35</v>
      </c>
      <c r="E44" s="3">
        <v>10</v>
      </c>
      <c r="F44" s="3">
        <v>11</v>
      </c>
      <c r="G44" s="3">
        <v>46</v>
      </c>
      <c r="H44" s="3">
        <v>20</v>
      </c>
      <c r="I44" s="3">
        <v>15</v>
      </c>
      <c r="J44" s="3">
        <v>6</v>
      </c>
      <c r="K44" s="3">
        <v>23</v>
      </c>
      <c r="L44" s="3">
        <v>12</v>
      </c>
      <c r="M44" s="3">
        <v>13</v>
      </c>
      <c r="N44" s="3">
        <v>38</v>
      </c>
      <c r="O44" s="3">
        <v>46</v>
      </c>
      <c r="P44" s="3">
        <v>28</v>
      </c>
      <c r="Q44" s="3">
        <v>20</v>
      </c>
      <c r="R44" s="3">
        <v>51</v>
      </c>
      <c r="S44" s="3">
        <v>18</v>
      </c>
      <c r="T44" s="3">
        <v>52</v>
      </c>
      <c r="U44" s="3">
        <v>42</v>
      </c>
      <c r="V44" s="3">
        <v>39</v>
      </c>
      <c r="W44" s="3">
        <v>34</v>
      </c>
      <c r="X44" s="3">
        <v>36</v>
      </c>
      <c r="Y44" s="3">
        <v>5</v>
      </c>
      <c r="Z44" s="3">
        <v>6</v>
      </c>
      <c r="AA44" s="3">
        <v>19</v>
      </c>
      <c r="AB44" s="3">
        <v>16</v>
      </c>
      <c r="AC44" s="3">
        <v>18</v>
      </c>
      <c r="AD44" s="3">
        <v>27</v>
      </c>
      <c r="AE44" s="3">
        <v>18</v>
      </c>
      <c r="AF44" s="3">
        <v>25</v>
      </c>
      <c r="AG44" s="3">
        <v>18</v>
      </c>
      <c r="AH44" s="3">
        <v>27</v>
      </c>
      <c r="AI44" s="3">
        <v>42</v>
      </c>
      <c r="AJ44" s="3">
        <v>34</v>
      </c>
      <c r="AK44" s="3">
        <v>16</v>
      </c>
      <c r="AL44" s="3">
        <v>24</v>
      </c>
      <c r="AM44" s="3">
        <v>12</v>
      </c>
      <c r="AN44" s="3">
        <v>34</v>
      </c>
      <c r="AO44" s="3">
        <v>52</v>
      </c>
      <c r="AP44" s="395"/>
      <c r="AQ44" s="3">
        <v>40</v>
      </c>
      <c r="AR44" s="3">
        <v>26</v>
      </c>
      <c r="AS44" s="3">
        <v>4</v>
      </c>
    </row>
    <row r="45" spans="1:45">
      <c r="A45" s="392" t="s">
        <v>1111</v>
      </c>
      <c r="B45" s="3">
        <v>49</v>
      </c>
      <c r="C45" s="3">
        <v>37</v>
      </c>
      <c r="D45" s="3">
        <v>17</v>
      </c>
      <c r="E45" s="3">
        <v>40</v>
      </c>
      <c r="F45" s="3">
        <v>23</v>
      </c>
      <c r="G45" s="3">
        <v>50</v>
      </c>
      <c r="H45" s="3">
        <v>14</v>
      </c>
      <c r="I45" s="3">
        <v>49</v>
      </c>
      <c r="J45" s="3">
        <v>14</v>
      </c>
      <c r="K45" s="3">
        <v>12</v>
      </c>
      <c r="L45" s="3">
        <v>42</v>
      </c>
      <c r="M45" s="3">
        <v>15</v>
      </c>
      <c r="N45" s="3">
        <v>39</v>
      </c>
      <c r="O45" s="3">
        <v>15</v>
      </c>
      <c r="P45" s="3">
        <v>5</v>
      </c>
      <c r="Q45" s="3">
        <v>31</v>
      </c>
      <c r="R45" s="3">
        <v>26</v>
      </c>
      <c r="S45" s="3">
        <v>19</v>
      </c>
      <c r="T45" s="3">
        <v>43</v>
      </c>
      <c r="U45" s="3">
        <v>51</v>
      </c>
      <c r="V45" s="3">
        <v>43</v>
      </c>
      <c r="W45" s="3">
        <v>19</v>
      </c>
      <c r="X45" s="3">
        <v>24</v>
      </c>
      <c r="Y45" s="3">
        <v>39</v>
      </c>
      <c r="Z45" s="3">
        <v>27</v>
      </c>
      <c r="AA45" s="3">
        <v>51</v>
      </c>
      <c r="AB45" s="3">
        <v>42</v>
      </c>
      <c r="AC45" s="3">
        <v>27</v>
      </c>
      <c r="AD45" s="3">
        <v>18</v>
      </c>
      <c r="AE45" s="3">
        <v>52</v>
      </c>
      <c r="AF45" s="3">
        <v>14</v>
      </c>
      <c r="AG45" s="3">
        <v>20</v>
      </c>
      <c r="AH45" s="3">
        <v>18</v>
      </c>
      <c r="AI45" s="3">
        <v>38</v>
      </c>
      <c r="AJ45" s="3">
        <v>28</v>
      </c>
      <c r="AK45" s="3">
        <v>20</v>
      </c>
      <c r="AL45" s="3">
        <v>18</v>
      </c>
      <c r="AM45" s="3">
        <v>5</v>
      </c>
      <c r="AN45" s="3">
        <v>56</v>
      </c>
      <c r="AO45" s="3">
        <v>11</v>
      </c>
      <c r="AP45" s="3">
        <v>40</v>
      </c>
      <c r="AQ45" s="395"/>
      <c r="AR45" s="3">
        <v>14</v>
      </c>
      <c r="AS45" s="3">
        <v>34</v>
      </c>
    </row>
    <row r="46" spans="1:45">
      <c r="A46" s="392" t="s">
        <v>1112</v>
      </c>
      <c r="B46" s="3">
        <v>38</v>
      </c>
      <c r="C46" s="3">
        <v>18</v>
      </c>
      <c r="D46" s="3">
        <v>16</v>
      </c>
      <c r="E46" s="3">
        <v>5</v>
      </c>
      <c r="F46" s="3">
        <v>40</v>
      </c>
      <c r="G46" s="3">
        <v>58</v>
      </c>
      <c r="H46" s="3">
        <v>2</v>
      </c>
      <c r="I46" s="3">
        <v>38</v>
      </c>
      <c r="J46" s="3">
        <v>52</v>
      </c>
      <c r="K46" s="3">
        <v>45</v>
      </c>
      <c r="L46" s="3">
        <v>15</v>
      </c>
      <c r="M46" s="3">
        <v>56</v>
      </c>
      <c r="N46" s="3">
        <v>42</v>
      </c>
      <c r="O46" s="3">
        <v>51</v>
      </c>
      <c r="P46" s="3">
        <v>34</v>
      </c>
      <c r="Q46" s="3">
        <v>45</v>
      </c>
      <c r="R46" s="3">
        <v>49</v>
      </c>
      <c r="S46" s="3">
        <v>35</v>
      </c>
      <c r="T46" s="3">
        <v>39</v>
      </c>
      <c r="U46" s="3">
        <v>34</v>
      </c>
      <c r="V46" s="3">
        <v>8</v>
      </c>
      <c r="W46" s="3">
        <v>27</v>
      </c>
      <c r="X46" s="3">
        <v>16</v>
      </c>
      <c r="Y46" s="3">
        <v>29</v>
      </c>
      <c r="Z46" s="3">
        <v>19</v>
      </c>
      <c r="AA46" s="3">
        <v>4</v>
      </c>
      <c r="AB46" s="3">
        <v>51</v>
      </c>
      <c r="AC46" s="3">
        <v>10</v>
      </c>
      <c r="AD46" s="3">
        <v>20</v>
      </c>
      <c r="AE46" s="3">
        <v>46</v>
      </c>
      <c r="AF46" s="3">
        <v>24</v>
      </c>
      <c r="AG46" s="3">
        <v>13</v>
      </c>
      <c r="AH46" s="3">
        <v>52</v>
      </c>
      <c r="AI46" s="3">
        <v>8</v>
      </c>
      <c r="AJ46" s="3">
        <v>16</v>
      </c>
      <c r="AK46" s="3">
        <v>34</v>
      </c>
      <c r="AL46" s="3">
        <v>39</v>
      </c>
      <c r="AM46" s="3">
        <v>27</v>
      </c>
      <c r="AN46" s="3">
        <v>23</v>
      </c>
      <c r="AO46" s="3">
        <v>34</v>
      </c>
      <c r="AP46" s="3">
        <v>26</v>
      </c>
      <c r="AQ46" s="3">
        <v>14</v>
      </c>
      <c r="AR46" s="395"/>
      <c r="AS46" s="3">
        <v>5</v>
      </c>
    </row>
    <row r="47" spans="1:45">
      <c r="A47" s="392" t="s">
        <v>1113</v>
      </c>
      <c r="B47" s="3">
        <v>20</v>
      </c>
      <c r="C47" s="3">
        <v>2</v>
      </c>
      <c r="D47" s="3">
        <v>28</v>
      </c>
      <c r="E47" s="3">
        <v>14</v>
      </c>
      <c r="F47" s="3">
        <v>52</v>
      </c>
      <c r="G47" s="3">
        <v>12</v>
      </c>
      <c r="H47" s="3">
        <v>16</v>
      </c>
      <c r="I47" s="3">
        <v>33</v>
      </c>
      <c r="J47" s="3">
        <v>1</v>
      </c>
      <c r="K47" s="3">
        <v>23</v>
      </c>
      <c r="L47" s="3">
        <v>5</v>
      </c>
      <c r="M47" s="3">
        <v>29</v>
      </c>
      <c r="N47" s="3">
        <v>51</v>
      </c>
      <c r="O47" s="3">
        <v>59</v>
      </c>
      <c r="P47" s="3">
        <v>16</v>
      </c>
      <c r="Q47" s="3">
        <v>6</v>
      </c>
      <c r="R47" s="3">
        <v>48</v>
      </c>
      <c r="S47" s="3">
        <v>25</v>
      </c>
      <c r="T47" s="3">
        <v>5</v>
      </c>
      <c r="U47" s="3">
        <v>59</v>
      </c>
      <c r="V47" s="3">
        <v>2</v>
      </c>
      <c r="W47" s="3">
        <v>55</v>
      </c>
      <c r="X47" s="3">
        <v>25</v>
      </c>
      <c r="Y47" s="3">
        <v>14</v>
      </c>
      <c r="Z47" s="3">
        <v>38</v>
      </c>
      <c r="AA47" s="3">
        <v>18</v>
      </c>
      <c r="AB47" s="3">
        <v>26</v>
      </c>
      <c r="AC47" s="3">
        <v>28</v>
      </c>
      <c r="AD47" s="3">
        <v>16</v>
      </c>
      <c r="AE47" s="3">
        <v>2</v>
      </c>
      <c r="AF47" s="3">
        <v>51</v>
      </c>
      <c r="AG47" s="3">
        <v>6</v>
      </c>
      <c r="AH47" s="3">
        <v>45</v>
      </c>
      <c r="AI47" s="3">
        <v>25</v>
      </c>
      <c r="AJ47" s="3">
        <v>9</v>
      </c>
      <c r="AK47" s="3">
        <v>46</v>
      </c>
      <c r="AL47" s="3">
        <v>2</v>
      </c>
      <c r="AM47" s="3">
        <v>11</v>
      </c>
      <c r="AN47" s="3">
        <v>15</v>
      </c>
      <c r="AO47" s="3">
        <v>1</v>
      </c>
      <c r="AP47" s="3">
        <v>4</v>
      </c>
      <c r="AQ47" s="3">
        <v>34</v>
      </c>
      <c r="AR47" s="3">
        <v>5</v>
      </c>
      <c r="AS47" s="395"/>
    </row>
    <row r="48" spans="1:45">
      <c r="Z48" s="397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77D32-384F-A046-9383-786675AA0FA0}">
  <sheetPr codeName="Sheet30"/>
  <dimension ref="A1:AS47"/>
  <sheetViews>
    <sheetView workbookViewId="0">
      <selection activeCell="D7" sqref="D7"/>
    </sheetView>
  </sheetViews>
  <sheetFormatPr defaultColWidth="11" defaultRowHeight="15.5"/>
  <cols>
    <col min="2" max="26" width="6.83203125" customWidth="1"/>
    <col min="27" max="27" width="7" customWidth="1"/>
    <col min="28" max="28" width="6.83203125" customWidth="1"/>
    <col min="29" max="30" width="7" customWidth="1"/>
    <col min="31" max="33" width="6.83203125" customWidth="1"/>
    <col min="34" max="34" width="7" customWidth="1"/>
    <col min="35" max="35" width="6.83203125" bestFit="1" customWidth="1"/>
    <col min="36" max="36" width="6.83203125" customWidth="1"/>
    <col min="37" max="37" width="7" customWidth="1"/>
    <col min="38" max="45" width="6.83203125" customWidth="1"/>
  </cols>
  <sheetData>
    <row r="1" spans="1:45">
      <c r="C1" s="393" t="s">
        <v>1222</v>
      </c>
      <c r="D1" t="s">
        <v>1223</v>
      </c>
    </row>
    <row r="3" spans="1:45">
      <c r="A3" s="394"/>
      <c r="B3" s="392" t="str">
        <f t="array" ref="B3:AS3">TRANSPOSE(A4:A47)</f>
        <v>WS-01</v>
      </c>
      <c r="C3" s="392" t="str">
        <v>WS-02</v>
      </c>
      <c r="D3" s="392" t="str">
        <v>WS-03</v>
      </c>
      <c r="E3" s="392" t="str">
        <v>WS-04</v>
      </c>
      <c r="F3" s="392" t="str">
        <v>WS-05</v>
      </c>
      <c r="G3" s="392" t="str">
        <v>WS-06</v>
      </c>
      <c r="H3" s="392" t="str">
        <v>WS-07</v>
      </c>
      <c r="I3" s="392" t="str">
        <v>WS-08</v>
      </c>
      <c r="J3" s="392" t="str">
        <v>WS-09</v>
      </c>
      <c r="K3" s="392" t="str">
        <v>WS-10</v>
      </c>
      <c r="L3" s="392" t="str">
        <v>WS-11</v>
      </c>
      <c r="M3" s="392" t="str">
        <v>WS-12</v>
      </c>
      <c r="N3" s="392" t="str">
        <v>WS-13</v>
      </c>
      <c r="O3" s="392" t="str">
        <v>WS-14</v>
      </c>
      <c r="P3" s="392" t="str">
        <v>WS-15</v>
      </c>
      <c r="Q3" s="392" t="str">
        <v>WS-16</v>
      </c>
      <c r="R3" s="392" t="str">
        <v>WS-17</v>
      </c>
      <c r="S3" s="392" t="str">
        <v>WS-18</v>
      </c>
      <c r="T3" s="392" t="str">
        <v>WS-19</v>
      </c>
      <c r="U3" s="392" t="str">
        <v>WS-20</v>
      </c>
      <c r="V3" s="392" t="str">
        <v>WS-21</v>
      </c>
      <c r="W3" s="392" t="str">
        <v>WS-22</v>
      </c>
      <c r="X3" s="392" t="str">
        <v>WS-23</v>
      </c>
      <c r="Y3" s="392" t="str">
        <v>WS-24</v>
      </c>
      <c r="Z3" s="392" t="str">
        <v>WS-25</v>
      </c>
      <c r="AA3" s="392" t="str">
        <v>WS-26</v>
      </c>
      <c r="AB3" s="392" t="str">
        <v>WS-27</v>
      </c>
      <c r="AC3" s="392" t="str">
        <v>WS-28</v>
      </c>
      <c r="AD3" s="392" t="str">
        <v>WS-29</v>
      </c>
      <c r="AE3" s="392" t="str">
        <v>WS-30</v>
      </c>
      <c r="AF3" s="392" t="str">
        <v>WS-31</v>
      </c>
      <c r="AG3" s="392" t="str">
        <v>WS-32</v>
      </c>
      <c r="AH3" s="392" t="str">
        <v>WS-33</v>
      </c>
      <c r="AI3" s="392" t="str">
        <v>WS-34</v>
      </c>
      <c r="AJ3" s="392" t="str">
        <v>WS-35</v>
      </c>
      <c r="AK3" s="392" t="str">
        <v>WS-36</v>
      </c>
      <c r="AL3" s="392" t="str">
        <v>WS-37</v>
      </c>
      <c r="AM3" s="392" t="str">
        <v>WS-38</v>
      </c>
      <c r="AN3" s="392" t="str">
        <v>WS-39</v>
      </c>
      <c r="AO3" s="392" t="str">
        <v>WS-40</v>
      </c>
      <c r="AP3" s="392" t="str">
        <v>WS-41</v>
      </c>
      <c r="AQ3" s="392" t="str">
        <v>WS-42</v>
      </c>
      <c r="AR3" s="392" t="str">
        <v>WS-43</v>
      </c>
      <c r="AS3" s="392" t="str">
        <v>WS-44</v>
      </c>
    </row>
    <row r="4" spans="1:45">
      <c r="A4" s="392" t="s">
        <v>1034</v>
      </c>
      <c r="B4" s="3">
        <f>'S28 Transportation Matrix'!B4*'S29 Distances Matrix'!B4</f>
        <v>0</v>
      </c>
      <c r="C4" s="3">
        <f>'S28 Transportation Matrix'!C4*'S29 Distances Matrix'!C4</f>
        <v>0</v>
      </c>
      <c r="D4" s="3">
        <f>'S28 Transportation Matrix'!D4*'S29 Distances Matrix'!D4</f>
        <v>0</v>
      </c>
      <c r="E4" s="3">
        <f>'S28 Transportation Matrix'!E4*'S29 Distances Matrix'!E4</f>
        <v>0</v>
      </c>
      <c r="F4" s="3">
        <f>'S28 Transportation Matrix'!F4*'S29 Distances Matrix'!F4</f>
        <v>0</v>
      </c>
      <c r="G4" s="3">
        <f>'S28 Transportation Matrix'!G4*'S29 Distances Matrix'!G4</f>
        <v>0</v>
      </c>
      <c r="H4" s="3">
        <f>'S28 Transportation Matrix'!H4*'S29 Distances Matrix'!H4</f>
        <v>0</v>
      </c>
      <c r="I4" s="3">
        <f>'S28 Transportation Matrix'!I4*'S29 Distances Matrix'!I4</f>
        <v>0</v>
      </c>
      <c r="J4" s="3">
        <f>'S28 Transportation Matrix'!J4*'S29 Distances Matrix'!J4</f>
        <v>0</v>
      </c>
      <c r="K4" s="3">
        <f>'S28 Transportation Matrix'!K4*'S29 Distances Matrix'!K4</f>
        <v>0</v>
      </c>
      <c r="L4" s="3">
        <f>'S28 Transportation Matrix'!L4*'S29 Distances Matrix'!L4</f>
        <v>0</v>
      </c>
      <c r="M4" s="3">
        <f>'S28 Transportation Matrix'!M4*'S29 Distances Matrix'!M4</f>
        <v>0</v>
      </c>
      <c r="N4" s="3">
        <f>'S28 Transportation Matrix'!N4*'S29 Distances Matrix'!N4</f>
        <v>0</v>
      </c>
      <c r="O4" s="3">
        <f>'S28 Transportation Matrix'!O4*'S29 Distances Matrix'!O4</f>
        <v>0</v>
      </c>
      <c r="P4" s="3">
        <f>'S28 Transportation Matrix'!P4*'S29 Distances Matrix'!P4</f>
        <v>0</v>
      </c>
      <c r="Q4" s="3">
        <f>'S28 Transportation Matrix'!Q4*'S29 Distances Matrix'!Q4</f>
        <v>0</v>
      </c>
      <c r="R4" s="3">
        <f>'S28 Transportation Matrix'!R4*'S29 Distances Matrix'!R4</f>
        <v>0</v>
      </c>
      <c r="S4" s="3">
        <f>'S28 Transportation Matrix'!S4*'S29 Distances Matrix'!S4</f>
        <v>0</v>
      </c>
      <c r="T4" s="3">
        <f>'S28 Transportation Matrix'!T4*'S29 Distances Matrix'!T4</f>
        <v>0</v>
      </c>
      <c r="U4" s="3">
        <f>'S28 Transportation Matrix'!U4*'S29 Distances Matrix'!U4</f>
        <v>0</v>
      </c>
      <c r="V4" s="3">
        <f>'S28 Transportation Matrix'!V4*'S29 Distances Matrix'!V4</f>
        <v>0</v>
      </c>
      <c r="W4" s="3">
        <f>'S28 Transportation Matrix'!W4*'S29 Distances Matrix'!W4</f>
        <v>0</v>
      </c>
      <c r="X4" s="3">
        <f>'S28 Transportation Matrix'!X4*'S29 Distances Matrix'!X4</f>
        <v>0</v>
      </c>
      <c r="Y4" s="3">
        <f>'S28 Transportation Matrix'!Y4*'S29 Distances Matrix'!Y4</f>
        <v>0</v>
      </c>
      <c r="Z4" s="3">
        <f>'S28 Transportation Matrix'!Z4*'S29 Distances Matrix'!Z4</f>
        <v>0</v>
      </c>
      <c r="AA4" s="3">
        <f>'S28 Transportation Matrix'!AA4*'S29 Distances Matrix'!AA4</f>
        <v>0</v>
      </c>
      <c r="AB4" s="3">
        <f>'S28 Transportation Matrix'!AB4*'S29 Distances Matrix'!AB4</f>
        <v>0</v>
      </c>
      <c r="AC4" s="3">
        <f>'S28 Transportation Matrix'!AC4*'S29 Distances Matrix'!AC4</f>
        <v>0</v>
      </c>
      <c r="AD4" s="3">
        <f>'S28 Transportation Matrix'!AD4*'S29 Distances Matrix'!AD4</f>
        <v>0</v>
      </c>
      <c r="AE4" s="3">
        <f>'S28 Transportation Matrix'!AE4*'S29 Distances Matrix'!AE4</f>
        <v>0</v>
      </c>
      <c r="AF4" s="3">
        <f>'S28 Transportation Matrix'!AF4*'S29 Distances Matrix'!AF4</f>
        <v>0</v>
      </c>
      <c r="AG4" s="3">
        <f>'S28 Transportation Matrix'!AG4*'S29 Distances Matrix'!AG4</f>
        <v>0</v>
      </c>
      <c r="AH4" s="3">
        <f>'S28 Transportation Matrix'!AH4*'S29 Distances Matrix'!AH4</f>
        <v>0</v>
      </c>
      <c r="AI4" s="3">
        <f>'S28 Transportation Matrix'!AI4*'S29 Distances Matrix'!AI4</f>
        <v>0</v>
      </c>
      <c r="AJ4" s="3">
        <f>'S28 Transportation Matrix'!AJ4*'S29 Distances Matrix'!AJ4</f>
        <v>0</v>
      </c>
      <c r="AK4" s="3">
        <f>'S28 Transportation Matrix'!AK4*'S29 Distances Matrix'!AK4</f>
        <v>0</v>
      </c>
      <c r="AL4" s="3">
        <f>'S28 Transportation Matrix'!AL4*'S29 Distances Matrix'!AL4</f>
        <v>0</v>
      </c>
      <c r="AM4" s="3">
        <f>'S28 Transportation Matrix'!AM4*'S29 Distances Matrix'!AM4</f>
        <v>0</v>
      </c>
      <c r="AN4" s="3">
        <f>'S28 Transportation Matrix'!AN4*'S29 Distances Matrix'!AN4</f>
        <v>0</v>
      </c>
      <c r="AO4" s="3">
        <f>'S28 Transportation Matrix'!AO4*'S29 Distances Matrix'!AO4</f>
        <v>0</v>
      </c>
      <c r="AP4" s="3">
        <f>'S28 Transportation Matrix'!AP4*'S29 Distances Matrix'!AP4</f>
        <v>0</v>
      </c>
      <c r="AQ4" s="3">
        <f>'S28 Transportation Matrix'!AQ4*'S29 Distances Matrix'!AQ4</f>
        <v>0</v>
      </c>
      <c r="AR4" s="3">
        <f>'S28 Transportation Matrix'!AR4*'S29 Distances Matrix'!AR4</f>
        <v>0</v>
      </c>
      <c r="AS4" s="3">
        <f>'S28 Transportation Matrix'!AS4*'S29 Distances Matrix'!AS4</f>
        <v>0</v>
      </c>
    </row>
    <row r="5" spans="1:45">
      <c r="A5" s="392" t="s">
        <v>1036</v>
      </c>
      <c r="B5" s="3">
        <f>'S28 Transportation Matrix'!B5*'S29 Distances Matrix'!B5</f>
        <v>0</v>
      </c>
      <c r="C5" s="3">
        <f>'S28 Transportation Matrix'!C5*'S29 Distances Matrix'!C5</f>
        <v>0</v>
      </c>
      <c r="D5" s="3">
        <f>'S28 Transportation Matrix'!D5*'S29 Distances Matrix'!D5</f>
        <v>0</v>
      </c>
      <c r="E5" s="3">
        <f>'S28 Transportation Matrix'!E5*'S29 Distances Matrix'!E5</f>
        <v>0</v>
      </c>
      <c r="F5" s="3">
        <f>'S28 Transportation Matrix'!F5*'S29 Distances Matrix'!F5</f>
        <v>0</v>
      </c>
      <c r="G5" s="3">
        <f>'S28 Transportation Matrix'!G5*'S29 Distances Matrix'!G5</f>
        <v>0</v>
      </c>
      <c r="H5" s="3">
        <f>'S28 Transportation Matrix'!H5*'S29 Distances Matrix'!H5</f>
        <v>0</v>
      </c>
      <c r="I5" s="3">
        <f>'S28 Transportation Matrix'!I5*'S29 Distances Matrix'!I5</f>
        <v>0</v>
      </c>
      <c r="J5" s="3">
        <f>'S28 Transportation Matrix'!J5*'S29 Distances Matrix'!J5</f>
        <v>0</v>
      </c>
      <c r="K5" s="3">
        <f>'S28 Transportation Matrix'!K5*'S29 Distances Matrix'!K5</f>
        <v>0</v>
      </c>
      <c r="L5" s="3">
        <f>'S28 Transportation Matrix'!L5*'S29 Distances Matrix'!L5</f>
        <v>0</v>
      </c>
      <c r="M5" s="3">
        <f>'S28 Transportation Matrix'!M5*'S29 Distances Matrix'!M5</f>
        <v>0</v>
      </c>
      <c r="N5" s="3">
        <f>'S28 Transportation Matrix'!N5*'S29 Distances Matrix'!N5</f>
        <v>0</v>
      </c>
      <c r="O5" s="3">
        <f>'S28 Transportation Matrix'!O5*'S29 Distances Matrix'!O5</f>
        <v>0</v>
      </c>
      <c r="P5" s="3">
        <f>'S28 Transportation Matrix'!P5*'S29 Distances Matrix'!P5</f>
        <v>0</v>
      </c>
      <c r="Q5" s="3">
        <f>'S28 Transportation Matrix'!Q5*'S29 Distances Matrix'!Q5</f>
        <v>0</v>
      </c>
      <c r="R5" s="3">
        <f>'S28 Transportation Matrix'!R5*'S29 Distances Matrix'!R5</f>
        <v>0</v>
      </c>
      <c r="S5" s="3">
        <f>'S28 Transportation Matrix'!S5*'S29 Distances Matrix'!S5</f>
        <v>2416</v>
      </c>
      <c r="T5" s="3">
        <f>'S28 Transportation Matrix'!T5*'S29 Distances Matrix'!T5</f>
        <v>0</v>
      </c>
      <c r="U5" s="3">
        <f>'S28 Transportation Matrix'!U5*'S29 Distances Matrix'!U5</f>
        <v>0</v>
      </c>
      <c r="V5" s="3">
        <f>'S28 Transportation Matrix'!V5*'S29 Distances Matrix'!V5</f>
        <v>0</v>
      </c>
      <c r="W5" s="3">
        <f>'S28 Transportation Matrix'!W5*'S29 Distances Matrix'!W5</f>
        <v>0</v>
      </c>
      <c r="X5" s="3">
        <f>'S28 Transportation Matrix'!X5*'S29 Distances Matrix'!X5</f>
        <v>0</v>
      </c>
      <c r="Y5" s="3">
        <f>'S28 Transportation Matrix'!Y5*'S29 Distances Matrix'!Y5</f>
        <v>0</v>
      </c>
      <c r="Z5" s="3">
        <f>'S28 Transportation Matrix'!Z5*'S29 Distances Matrix'!Z5</f>
        <v>0</v>
      </c>
      <c r="AA5" s="3">
        <f>'S28 Transportation Matrix'!AA5*'S29 Distances Matrix'!AA5</f>
        <v>0</v>
      </c>
      <c r="AB5" s="3">
        <f>'S28 Transportation Matrix'!AB5*'S29 Distances Matrix'!AB5</f>
        <v>0</v>
      </c>
      <c r="AC5" s="3">
        <f>'S28 Transportation Matrix'!AC5*'S29 Distances Matrix'!AC5</f>
        <v>0</v>
      </c>
      <c r="AD5" s="3">
        <f>'S28 Transportation Matrix'!AD5*'S29 Distances Matrix'!AD5</f>
        <v>0</v>
      </c>
      <c r="AE5" s="3">
        <f>'S28 Transportation Matrix'!AE5*'S29 Distances Matrix'!AE5</f>
        <v>0</v>
      </c>
      <c r="AF5" s="3">
        <f>'S28 Transportation Matrix'!AF5*'S29 Distances Matrix'!AF5</f>
        <v>0</v>
      </c>
      <c r="AG5" s="3">
        <f>'S28 Transportation Matrix'!AG5*'S29 Distances Matrix'!AG5</f>
        <v>0</v>
      </c>
      <c r="AH5" s="3">
        <f>'S28 Transportation Matrix'!AH5*'S29 Distances Matrix'!AH5</f>
        <v>0</v>
      </c>
      <c r="AI5" s="3">
        <f>'S28 Transportation Matrix'!AI5*'S29 Distances Matrix'!AI5</f>
        <v>0</v>
      </c>
      <c r="AJ5" s="3">
        <f>'S28 Transportation Matrix'!AJ5*'S29 Distances Matrix'!AJ5</f>
        <v>0</v>
      </c>
      <c r="AK5" s="3">
        <f>'S28 Transportation Matrix'!AK5*'S29 Distances Matrix'!AK5</f>
        <v>0</v>
      </c>
      <c r="AL5" s="3">
        <f>'S28 Transportation Matrix'!AL5*'S29 Distances Matrix'!AL5</f>
        <v>0</v>
      </c>
      <c r="AM5" s="3">
        <f>'S28 Transportation Matrix'!AM5*'S29 Distances Matrix'!AM5</f>
        <v>0</v>
      </c>
      <c r="AN5" s="3">
        <f>'S28 Transportation Matrix'!AN5*'S29 Distances Matrix'!AN5</f>
        <v>0</v>
      </c>
      <c r="AO5" s="3">
        <f>'S28 Transportation Matrix'!AO5*'S29 Distances Matrix'!AO5</f>
        <v>0</v>
      </c>
      <c r="AP5" s="3">
        <f>'S28 Transportation Matrix'!AP5*'S29 Distances Matrix'!AP5</f>
        <v>0</v>
      </c>
      <c r="AQ5" s="3">
        <f>'S28 Transportation Matrix'!AQ5*'S29 Distances Matrix'!AQ5</f>
        <v>0</v>
      </c>
      <c r="AR5" s="3">
        <f>'S28 Transportation Matrix'!AR5*'S29 Distances Matrix'!AR5</f>
        <v>0</v>
      </c>
      <c r="AS5" s="3">
        <f>'S28 Transportation Matrix'!AS5*'S29 Distances Matrix'!AS5</f>
        <v>0</v>
      </c>
    </row>
    <row r="6" spans="1:45">
      <c r="A6" s="392" t="s">
        <v>1038</v>
      </c>
      <c r="B6" s="3">
        <f>'S28 Transportation Matrix'!B6*'S29 Distances Matrix'!B6</f>
        <v>0</v>
      </c>
      <c r="C6" s="3">
        <f>'S28 Transportation Matrix'!C6*'S29 Distances Matrix'!C6</f>
        <v>0</v>
      </c>
      <c r="D6" s="3">
        <f>'S28 Transportation Matrix'!D6*'S29 Distances Matrix'!D6</f>
        <v>0</v>
      </c>
      <c r="E6" s="3">
        <f>'S28 Transportation Matrix'!E6*'S29 Distances Matrix'!E6</f>
        <v>0</v>
      </c>
      <c r="F6" s="3">
        <f>'S28 Transportation Matrix'!F6*'S29 Distances Matrix'!F6</f>
        <v>0</v>
      </c>
      <c r="G6" s="3">
        <f>'S28 Transportation Matrix'!G6*'S29 Distances Matrix'!G6</f>
        <v>0</v>
      </c>
      <c r="H6" s="3">
        <f>'S28 Transportation Matrix'!H6*'S29 Distances Matrix'!H6</f>
        <v>0</v>
      </c>
      <c r="I6" s="3">
        <f>'S28 Transportation Matrix'!I6*'S29 Distances Matrix'!I6</f>
        <v>0</v>
      </c>
      <c r="J6" s="3">
        <f>'S28 Transportation Matrix'!J6*'S29 Distances Matrix'!J6</f>
        <v>0</v>
      </c>
      <c r="K6" s="3">
        <f>'S28 Transportation Matrix'!K6*'S29 Distances Matrix'!K6</f>
        <v>0</v>
      </c>
      <c r="L6" s="3">
        <f>'S28 Transportation Matrix'!L6*'S29 Distances Matrix'!L6</f>
        <v>0</v>
      </c>
      <c r="M6" s="3">
        <f>'S28 Transportation Matrix'!M6*'S29 Distances Matrix'!M6</f>
        <v>0</v>
      </c>
      <c r="N6" s="3">
        <f>'S28 Transportation Matrix'!N6*'S29 Distances Matrix'!N6</f>
        <v>0</v>
      </c>
      <c r="O6" s="3">
        <f>'S28 Transportation Matrix'!O6*'S29 Distances Matrix'!O6</f>
        <v>0</v>
      </c>
      <c r="P6" s="3">
        <f>'S28 Transportation Matrix'!P6*'S29 Distances Matrix'!P6</f>
        <v>0</v>
      </c>
      <c r="Q6" s="3">
        <f>'S28 Transportation Matrix'!Q6*'S29 Distances Matrix'!Q6</f>
        <v>0</v>
      </c>
      <c r="R6" s="3">
        <f>'S28 Transportation Matrix'!R6*'S29 Distances Matrix'!R6</f>
        <v>0</v>
      </c>
      <c r="S6" s="3">
        <f>'S28 Transportation Matrix'!S6*'S29 Distances Matrix'!S6</f>
        <v>0</v>
      </c>
      <c r="T6" s="3">
        <f>'S28 Transportation Matrix'!T6*'S29 Distances Matrix'!T6</f>
        <v>0</v>
      </c>
      <c r="U6" s="3">
        <f>'S28 Transportation Matrix'!U6*'S29 Distances Matrix'!U6</f>
        <v>0</v>
      </c>
      <c r="V6" s="3">
        <f>'S28 Transportation Matrix'!V6*'S29 Distances Matrix'!V6</f>
        <v>0</v>
      </c>
      <c r="W6" s="3">
        <f>'S28 Transportation Matrix'!W6*'S29 Distances Matrix'!W6</f>
        <v>0</v>
      </c>
      <c r="X6" s="3">
        <f>'S28 Transportation Matrix'!X6*'S29 Distances Matrix'!X6</f>
        <v>1420</v>
      </c>
      <c r="Y6" s="3">
        <f>'S28 Transportation Matrix'!Y6*'S29 Distances Matrix'!Y6</f>
        <v>0</v>
      </c>
      <c r="Z6" s="3">
        <f>'S28 Transportation Matrix'!Z6*'S29 Distances Matrix'!Z6</f>
        <v>0</v>
      </c>
      <c r="AA6" s="3">
        <f>'S28 Transportation Matrix'!AA6*'S29 Distances Matrix'!AA6</f>
        <v>0</v>
      </c>
      <c r="AB6" s="3">
        <f>'S28 Transportation Matrix'!AB6*'S29 Distances Matrix'!AB6</f>
        <v>0</v>
      </c>
      <c r="AC6" s="3">
        <f>'S28 Transportation Matrix'!AC6*'S29 Distances Matrix'!AC6</f>
        <v>0</v>
      </c>
      <c r="AD6" s="3">
        <f>'S28 Transportation Matrix'!AD6*'S29 Distances Matrix'!AD6</f>
        <v>0</v>
      </c>
      <c r="AE6" s="3">
        <f>'S28 Transportation Matrix'!AE6*'S29 Distances Matrix'!AE6</f>
        <v>0</v>
      </c>
      <c r="AF6" s="3">
        <f>'S28 Transportation Matrix'!AF6*'S29 Distances Matrix'!AF6</f>
        <v>0</v>
      </c>
      <c r="AG6" s="3">
        <f>'S28 Transportation Matrix'!AG6*'S29 Distances Matrix'!AG6</f>
        <v>0</v>
      </c>
      <c r="AH6" s="3">
        <f>'S28 Transportation Matrix'!AH6*'S29 Distances Matrix'!AH6</f>
        <v>0</v>
      </c>
      <c r="AI6" s="3">
        <f>'S28 Transportation Matrix'!AI6*'S29 Distances Matrix'!AI6</f>
        <v>0</v>
      </c>
      <c r="AJ6" s="3">
        <f>'S28 Transportation Matrix'!AJ6*'S29 Distances Matrix'!AJ6</f>
        <v>0</v>
      </c>
      <c r="AK6" s="3">
        <f>'S28 Transportation Matrix'!AK6*'S29 Distances Matrix'!AK6</f>
        <v>0</v>
      </c>
      <c r="AL6" s="3">
        <f>'S28 Transportation Matrix'!AL6*'S29 Distances Matrix'!AL6</f>
        <v>0</v>
      </c>
      <c r="AM6" s="3">
        <f>'S28 Transportation Matrix'!AM6*'S29 Distances Matrix'!AM6</f>
        <v>0</v>
      </c>
      <c r="AN6" s="3">
        <f>'S28 Transportation Matrix'!AN6*'S29 Distances Matrix'!AN6</f>
        <v>0</v>
      </c>
      <c r="AO6" s="3">
        <f>'S28 Transportation Matrix'!AO6*'S29 Distances Matrix'!AO6</f>
        <v>0</v>
      </c>
      <c r="AP6" s="3">
        <f>'S28 Transportation Matrix'!AP6*'S29 Distances Matrix'!AP6</f>
        <v>0</v>
      </c>
      <c r="AQ6" s="3">
        <f>'S28 Transportation Matrix'!AQ6*'S29 Distances Matrix'!AQ6</f>
        <v>0</v>
      </c>
      <c r="AR6" s="3">
        <f>'S28 Transportation Matrix'!AR6*'S29 Distances Matrix'!AR6</f>
        <v>0</v>
      </c>
      <c r="AS6" s="3">
        <f>'S28 Transportation Matrix'!AS6*'S29 Distances Matrix'!AS6</f>
        <v>0</v>
      </c>
    </row>
    <row r="7" spans="1:45">
      <c r="A7" s="392" t="s">
        <v>1040</v>
      </c>
      <c r="B7" s="3">
        <f>'S28 Transportation Matrix'!B7*'S29 Distances Matrix'!B7</f>
        <v>0</v>
      </c>
      <c r="C7" s="3">
        <f>'S28 Transportation Matrix'!C7*'S29 Distances Matrix'!C7</f>
        <v>0</v>
      </c>
      <c r="D7" s="3">
        <f>'S28 Transportation Matrix'!D7*'S29 Distances Matrix'!D7</f>
        <v>3479</v>
      </c>
      <c r="E7" s="3">
        <f>'S28 Transportation Matrix'!E7*'S29 Distances Matrix'!E7</f>
        <v>0</v>
      </c>
      <c r="F7" s="3">
        <f>'S28 Transportation Matrix'!F7*'S29 Distances Matrix'!F7</f>
        <v>0</v>
      </c>
      <c r="G7" s="3">
        <f>'S28 Transportation Matrix'!G7*'S29 Distances Matrix'!G7</f>
        <v>0</v>
      </c>
      <c r="H7" s="3">
        <f>'S28 Transportation Matrix'!H7*'S29 Distances Matrix'!H7</f>
        <v>0</v>
      </c>
      <c r="I7" s="3">
        <f>'S28 Transportation Matrix'!I7*'S29 Distances Matrix'!I7</f>
        <v>0</v>
      </c>
      <c r="J7" s="3">
        <f>'S28 Transportation Matrix'!J7*'S29 Distances Matrix'!J7</f>
        <v>0</v>
      </c>
      <c r="K7" s="3">
        <f>'S28 Transportation Matrix'!K7*'S29 Distances Matrix'!K7</f>
        <v>0</v>
      </c>
      <c r="L7" s="3">
        <f>'S28 Transportation Matrix'!L7*'S29 Distances Matrix'!L7</f>
        <v>0</v>
      </c>
      <c r="M7" s="3">
        <f>'S28 Transportation Matrix'!M7*'S29 Distances Matrix'!M7</f>
        <v>0</v>
      </c>
      <c r="N7" s="3">
        <f>'S28 Transportation Matrix'!N7*'S29 Distances Matrix'!N7</f>
        <v>0</v>
      </c>
      <c r="O7" s="3">
        <f>'S28 Transportation Matrix'!O7*'S29 Distances Matrix'!O7</f>
        <v>0</v>
      </c>
      <c r="P7" s="3">
        <f>'S28 Transportation Matrix'!P7*'S29 Distances Matrix'!P7</f>
        <v>0</v>
      </c>
      <c r="Q7" s="3">
        <f>'S28 Transportation Matrix'!Q7*'S29 Distances Matrix'!Q7</f>
        <v>0</v>
      </c>
      <c r="R7" s="3">
        <f>'S28 Transportation Matrix'!R7*'S29 Distances Matrix'!R7</f>
        <v>0</v>
      </c>
      <c r="S7" s="3">
        <f>'S28 Transportation Matrix'!S7*'S29 Distances Matrix'!S7</f>
        <v>0</v>
      </c>
      <c r="T7" s="3">
        <f>'S28 Transportation Matrix'!T7*'S29 Distances Matrix'!T7</f>
        <v>0</v>
      </c>
      <c r="U7" s="3">
        <f>'S28 Transportation Matrix'!U7*'S29 Distances Matrix'!U7</f>
        <v>0</v>
      </c>
      <c r="V7" s="3">
        <f>'S28 Transportation Matrix'!V7*'S29 Distances Matrix'!V7</f>
        <v>0</v>
      </c>
      <c r="W7" s="3">
        <f>'S28 Transportation Matrix'!W7*'S29 Distances Matrix'!W7</f>
        <v>0</v>
      </c>
      <c r="X7" s="3">
        <f>'S28 Transportation Matrix'!X7*'S29 Distances Matrix'!X7</f>
        <v>0</v>
      </c>
      <c r="Y7" s="3">
        <f>'S28 Transportation Matrix'!Y7*'S29 Distances Matrix'!Y7</f>
        <v>0</v>
      </c>
      <c r="Z7" s="3">
        <f>'S28 Transportation Matrix'!Z7*'S29 Distances Matrix'!Z7</f>
        <v>0</v>
      </c>
      <c r="AA7" s="3">
        <f>'S28 Transportation Matrix'!AA7*'S29 Distances Matrix'!AA7</f>
        <v>0</v>
      </c>
      <c r="AB7" s="3">
        <f>'S28 Transportation Matrix'!AB7*'S29 Distances Matrix'!AB7</f>
        <v>0</v>
      </c>
      <c r="AC7" s="3">
        <f>'S28 Transportation Matrix'!AC7*'S29 Distances Matrix'!AC7</f>
        <v>0</v>
      </c>
      <c r="AD7" s="3">
        <f>'S28 Transportation Matrix'!AD7*'S29 Distances Matrix'!AD7</f>
        <v>0</v>
      </c>
      <c r="AE7" s="3">
        <f>'S28 Transportation Matrix'!AE7*'S29 Distances Matrix'!AE7</f>
        <v>0</v>
      </c>
      <c r="AF7" s="3">
        <f>'S28 Transportation Matrix'!AF7*'S29 Distances Matrix'!AF7</f>
        <v>0</v>
      </c>
      <c r="AG7" s="3">
        <f>'S28 Transportation Matrix'!AG7*'S29 Distances Matrix'!AG7</f>
        <v>0</v>
      </c>
      <c r="AH7" s="3">
        <f>'S28 Transportation Matrix'!AH7*'S29 Distances Matrix'!AH7</f>
        <v>0</v>
      </c>
      <c r="AI7" s="3">
        <f>'S28 Transportation Matrix'!AI7*'S29 Distances Matrix'!AI7</f>
        <v>0</v>
      </c>
      <c r="AJ7" s="3">
        <f>'S28 Transportation Matrix'!AJ7*'S29 Distances Matrix'!AJ7</f>
        <v>0</v>
      </c>
      <c r="AK7" s="3">
        <f>'S28 Transportation Matrix'!AK7*'S29 Distances Matrix'!AK7</f>
        <v>0</v>
      </c>
      <c r="AL7" s="3">
        <f>'S28 Transportation Matrix'!AL7*'S29 Distances Matrix'!AL7</f>
        <v>0</v>
      </c>
      <c r="AM7" s="3">
        <f>'S28 Transportation Matrix'!AM7*'S29 Distances Matrix'!AM7</f>
        <v>0</v>
      </c>
      <c r="AN7" s="3">
        <f>'S28 Transportation Matrix'!AN7*'S29 Distances Matrix'!AN7</f>
        <v>0</v>
      </c>
      <c r="AO7" s="3">
        <f>'S28 Transportation Matrix'!AO7*'S29 Distances Matrix'!AO7</f>
        <v>0</v>
      </c>
      <c r="AP7" s="3">
        <f>'S28 Transportation Matrix'!AP7*'S29 Distances Matrix'!AP7</f>
        <v>0</v>
      </c>
      <c r="AQ7" s="3">
        <f>'S28 Transportation Matrix'!AQ7*'S29 Distances Matrix'!AQ7</f>
        <v>0</v>
      </c>
      <c r="AR7" s="3">
        <f>'S28 Transportation Matrix'!AR7*'S29 Distances Matrix'!AR7</f>
        <v>0</v>
      </c>
      <c r="AS7" s="3">
        <f>'S28 Transportation Matrix'!AS7*'S29 Distances Matrix'!AS7</f>
        <v>0</v>
      </c>
    </row>
    <row r="8" spans="1:45">
      <c r="A8" s="392" t="s">
        <v>1042</v>
      </c>
      <c r="B8" s="3">
        <f>'S28 Transportation Matrix'!B8*'S29 Distances Matrix'!B8</f>
        <v>0</v>
      </c>
      <c r="C8" s="3">
        <f>'S28 Transportation Matrix'!C8*'S29 Distances Matrix'!C8</f>
        <v>0</v>
      </c>
      <c r="D8" s="3">
        <f>'S28 Transportation Matrix'!D8*'S29 Distances Matrix'!D8</f>
        <v>0</v>
      </c>
      <c r="E8" s="3">
        <f>'S28 Transportation Matrix'!E8*'S29 Distances Matrix'!E8</f>
        <v>0</v>
      </c>
      <c r="F8" s="3">
        <f>'S28 Transportation Matrix'!F8*'S29 Distances Matrix'!F8</f>
        <v>0</v>
      </c>
      <c r="G8" s="3">
        <f>'S28 Transportation Matrix'!G8*'S29 Distances Matrix'!G8</f>
        <v>0</v>
      </c>
      <c r="H8" s="3">
        <f>'S28 Transportation Matrix'!H8*'S29 Distances Matrix'!H8</f>
        <v>0</v>
      </c>
      <c r="I8" s="3">
        <f>'S28 Transportation Matrix'!I8*'S29 Distances Matrix'!I8</f>
        <v>0</v>
      </c>
      <c r="J8" s="3">
        <f>'S28 Transportation Matrix'!J8*'S29 Distances Matrix'!J8</f>
        <v>0</v>
      </c>
      <c r="K8" s="3">
        <f>'S28 Transportation Matrix'!K8*'S29 Distances Matrix'!K8</f>
        <v>0</v>
      </c>
      <c r="L8" s="3">
        <f>'S28 Transportation Matrix'!L8*'S29 Distances Matrix'!L8</f>
        <v>0</v>
      </c>
      <c r="M8" s="3">
        <f>'S28 Transportation Matrix'!M8*'S29 Distances Matrix'!M8</f>
        <v>0</v>
      </c>
      <c r="N8" s="3">
        <f>'S28 Transportation Matrix'!N8*'S29 Distances Matrix'!N8</f>
        <v>0</v>
      </c>
      <c r="O8" s="3">
        <f>'S28 Transportation Matrix'!O8*'S29 Distances Matrix'!O8</f>
        <v>0</v>
      </c>
      <c r="P8" s="3">
        <f>'S28 Transportation Matrix'!P8*'S29 Distances Matrix'!P8</f>
        <v>0</v>
      </c>
      <c r="Q8" s="3">
        <f>'S28 Transportation Matrix'!Q8*'S29 Distances Matrix'!Q8</f>
        <v>0</v>
      </c>
      <c r="R8" s="3">
        <f>'S28 Transportation Matrix'!R8*'S29 Distances Matrix'!R8</f>
        <v>0</v>
      </c>
      <c r="S8" s="3">
        <f>'S28 Transportation Matrix'!S8*'S29 Distances Matrix'!S8</f>
        <v>0</v>
      </c>
      <c r="T8" s="3">
        <f>'S28 Transportation Matrix'!T8*'S29 Distances Matrix'!T8</f>
        <v>0</v>
      </c>
      <c r="U8" s="3">
        <f>'S28 Transportation Matrix'!U8*'S29 Distances Matrix'!U8</f>
        <v>0</v>
      </c>
      <c r="V8" s="3">
        <f>'S28 Transportation Matrix'!V8*'S29 Distances Matrix'!V8</f>
        <v>0</v>
      </c>
      <c r="W8" s="3">
        <f>'S28 Transportation Matrix'!W8*'S29 Distances Matrix'!W8</f>
        <v>0</v>
      </c>
      <c r="X8" s="3">
        <f>'S28 Transportation Matrix'!X8*'S29 Distances Matrix'!X8</f>
        <v>0</v>
      </c>
      <c r="Y8" s="3">
        <f>'S28 Transportation Matrix'!Y8*'S29 Distances Matrix'!Y8</f>
        <v>0</v>
      </c>
      <c r="Z8" s="3">
        <f>'S28 Transportation Matrix'!Z8*'S29 Distances Matrix'!Z8</f>
        <v>4047</v>
      </c>
      <c r="AA8" s="3">
        <f>'S28 Transportation Matrix'!AA8*'S29 Distances Matrix'!AA8</f>
        <v>0</v>
      </c>
      <c r="AB8" s="3">
        <f>'S28 Transportation Matrix'!AB8*'S29 Distances Matrix'!AB8</f>
        <v>0</v>
      </c>
      <c r="AC8" s="3">
        <f>'S28 Transportation Matrix'!AC8*'S29 Distances Matrix'!AC8</f>
        <v>0</v>
      </c>
      <c r="AD8" s="3">
        <f>'S28 Transportation Matrix'!AD8*'S29 Distances Matrix'!AD8</f>
        <v>0</v>
      </c>
      <c r="AE8" s="3">
        <f>'S28 Transportation Matrix'!AE8*'S29 Distances Matrix'!AE8</f>
        <v>0</v>
      </c>
      <c r="AF8" s="3">
        <f>'S28 Transportation Matrix'!AF8*'S29 Distances Matrix'!AF8</f>
        <v>0</v>
      </c>
      <c r="AG8" s="3">
        <f>'S28 Transportation Matrix'!AG8*'S29 Distances Matrix'!AG8</f>
        <v>0</v>
      </c>
      <c r="AH8" s="3">
        <f>'S28 Transportation Matrix'!AH8*'S29 Distances Matrix'!AH8</f>
        <v>0</v>
      </c>
      <c r="AI8" s="3">
        <f>'S28 Transportation Matrix'!AI8*'S29 Distances Matrix'!AI8</f>
        <v>0</v>
      </c>
      <c r="AJ8" s="3">
        <f>'S28 Transportation Matrix'!AJ8*'S29 Distances Matrix'!AJ8</f>
        <v>0</v>
      </c>
      <c r="AK8" s="3">
        <f>'S28 Transportation Matrix'!AK8*'S29 Distances Matrix'!AK8</f>
        <v>0</v>
      </c>
      <c r="AL8" s="3">
        <f>'S28 Transportation Matrix'!AL8*'S29 Distances Matrix'!AL8</f>
        <v>0</v>
      </c>
      <c r="AM8" s="3">
        <f>'S28 Transportation Matrix'!AM8*'S29 Distances Matrix'!AM8</f>
        <v>0</v>
      </c>
      <c r="AN8" s="3">
        <f>'S28 Transportation Matrix'!AN8*'S29 Distances Matrix'!AN8</f>
        <v>0</v>
      </c>
      <c r="AO8" s="3">
        <f>'S28 Transportation Matrix'!AO8*'S29 Distances Matrix'!AO8</f>
        <v>0</v>
      </c>
      <c r="AP8" s="3">
        <f>'S28 Transportation Matrix'!AP8*'S29 Distances Matrix'!AP8</f>
        <v>0</v>
      </c>
      <c r="AQ8" s="3">
        <f>'S28 Transportation Matrix'!AQ8*'S29 Distances Matrix'!AQ8</f>
        <v>0</v>
      </c>
      <c r="AR8" s="3">
        <f>'S28 Transportation Matrix'!AR8*'S29 Distances Matrix'!AR8</f>
        <v>0</v>
      </c>
      <c r="AS8" s="3">
        <f>'S28 Transportation Matrix'!AS8*'S29 Distances Matrix'!AS8</f>
        <v>0</v>
      </c>
    </row>
    <row r="9" spans="1:45">
      <c r="A9" s="392" t="s">
        <v>1044</v>
      </c>
      <c r="B9" s="3">
        <f>'S28 Transportation Matrix'!B9*'S29 Distances Matrix'!B9</f>
        <v>0</v>
      </c>
      <c r="C9" s="3">
        <f>'S28 Transportation Matrix'!C9*'S29 Distances Matrix'!C9</f>
        <v>0</v>
      </c>
      <c r="D9" s="3">
        <f>'S28 Transportation Matrix'!D9*'S29 Distances Matrix'!D9</f>
        <v>0</v>
      </c>
      <c r="E9" s="3">
        <f>'S28 Transportation Matrix'!E9*'S29 Distances Matrix'!E9</f>
        <v>0</v>
      </c>
      <c r="F9" s="3">
        <f>'S28 Transportation Matrix'!F9*'S29 Distances Matrix'!F9</f>
        <v>0</v>
      </c>
      <c r="G9" s="3">
        <f>'S28 Transportation Matrix'!G9*'S29 Distances Matrix'!G9</f>
        <v>0</v>
      </c>
      <c r="H9" s="3">
        <f>'S28 Transportation Matrix'!H9*'S29 Distances Matrix'!H9</f>
        <v>0</v>
      </c>
      <c r="I9" s="3">
        <f>'S28 Transportation Matrix'!I9*'S29 Distances Matrix'!I9</f>
        <v>0</v>
      </c>
      <c r="J9" s="3">
        <f>'S28 Transportation Matrix'!J9*'S29 Distances Matrix'!J9</f>
        <v>0</v>
      </c>
      <c r="K9" s="3">
        <f>'S28 Transportation Matrix'!K9*'S29 Distances Matrix'!K9</f>
        <v>0</v>
      </c>
      <c r="L9" s="3">
        <f>'S28 Transportation Matrix'!L9*'S29 Distances Matrix'!L9</f>
        <v>0</v>
      </c>
      <c r="M9" s="3">
        <f>'S28 Transportation Matrix'!M9*'S29 Distances Matrix'!M9</f>
        <v>0</v>
      </c>
      <c r="N9" s="3">
        <f>'S28 Transportation Matrix'!N9*'S29 Distances Matrix'!N9</f>
        <v>0</v>
      </c>
      <c r="O9" s="3">
        <f>'S28 Transportation Matrix'!O9*'S29 Distances Matrix'!O9</f>
        <v>0</v>
      </c>
      <c r="P9" s="3">
        <f>'S28 Transportation Matrix'!P9*'S29 Distances Matrix'!P9</f>
        <v>0</v>
      </c>
      <c r="Q9" s="3">
        <f>'S28 Transportation Matrix'!Q9*'S29 Distances Matrix'!Q9</f>
        <v>0</v>
      </c>
      <c r="R9" s="3">
        <f>'S28 Transportation Matrix'!R9*'S29 Distances Matrix'!R9</f>
        <v>0</v>
      </c>
      <c r="S9" s="3">
        <f>'S28 Transportation Matrix'!S9*'S29 Distances Matrix'!S9</f>
        <v>0</v>
      </c>
      <c r="T9" s="3">
        <f>'S28 Transportation Matrix'!T9*'S29 Distances Matrix'!T9</f>
        <v>0</v>
      </c>
      <c r="U9" s="3">
        <f>'S28 Transportation Matrix'!U9*'S29 Distances Matrix'!U9</f>
        <v>0</v>
      </c>
      <c r="V9" s="3">
        <f>'S28 Transportation Matrix'!V9*'S29 Distances Matrix'!V9</f>
        <v>0</v>
      </c>
      <c r="W9" s="3">
        <f>'S28 Transportation Matrix'!W9*'S29 Distances Matrix'!W9</f>
        <v>0</v>
      </c>
      <c r="X9" s="3">
        <f>'S28 Transportation Matrix'!X9*'S29 Distances Matrix'!X9</f>
        <v>0</v>
      </c>
      <c r="Y9" s="3">
        <f>'S28 Transportation Matrix'!Y9*'S29 Distances Matrix'!Y9</f>
        <v>0</v>
      </c>
      <c r="Z9" s="3">
        <f>'S28 Transportation Matrix'!Z9*'S29 Distances Matrix'!Z9</f>
        <v>0</v>
      </c>
      <c r="AA9" s="3">
        <f>'S28 Transportation Matrix'!AA9*'S29 Distances Matrix'!AA9</f>
        <v>0</v>
      </c>
      <c r="AB9" s="3">
        <f>'S28 Transportation Matrix'!AB9*'S29 Distances Matrix'!AB9</f>
        <v>0</v>
      </c>
      <c r="AC9" s="3">
        <f>'S28 Transportation Matrix'!AC9*'S29 Distances Matrix'!AC9</f>
        <v>0</v>
      </c>
      <c r="AD9" s="3">
        <f>'S28 Transportation Matrix'!AD9*'S29 Distances Matrix'!AD9</f>
        <v>0</v>
      </c>
      <c r="AE9" s="3">
        <f>'S28 Transportation Matrix'!AE9*'S29 Distances Matrix'!AE9</f>
        <v>0</v>
      </c>
      <c r="AF9" s="3">
        <f>'S28 Transportation Matrix'!AF9*'S29 Distances Matrix'!AF9</f>
        <v>0</v>
      </c>
      <c r="AG9" s="3">
        <f>'S28 Transportation Matrix'!AG9*'S29 Distances Matrix'!AG9</f>
        <v>0</v>
      </c>
      <c r="AH9" s="3">
        <f>'S28 Transportation Matrix'!AH9*'S29 Distances Matrix'!AH9</f>
        <v>0</v>
      </c>
      <c r="AI9" s="3">
        <f>'S28 Transportation Matrix'!AI9*'S29 Distances Matrix'!AI9</f>
        <v>0</v>
      </c>
      <c r="AJ9" s="3">
        <f>'S28 Transportation Matrix'!AJ9*'S29 Distances Matrix'!AJ9</f>
        <v>0</v>
      </c>
      <c r="AK9" s="3">
        <f>'S28 Transportation Matrix'!AK9*'S29 Distances Matrix'!AK9</f>
        <v>0</v>
      </c>
      <c r="AL9" s="3">
        <f>'S28 Transportation Matrix'!AL9*'S29 Distances Matrix'!AL9</f>
        <v>0</v>
      </c>
      <c r="AM9" s="3">
        <f>'S28 Transportation Matrix'!AM9*'S29 Distances Matrix'!AM9</f>
        <v>0</v>
      </c>
      <c r="AN9" s="3">
        <f>'S28 Transportation Matrix'!AN9*'S29 Distances Matrix'!AN9</f>
        <v>0</v>
      </c>
      <c r="AO9" s="3">
        <f>'S28 Transportation Matrix'!AO9*'S29 Distances Matrix'!AO9</f>
        <v>0</v>
      </c>
      <c r="AP9" s="3">
        <f>'S28 Transportation Matrix'!AP9*'S29 Distances Matrix'!AP9</f>
        <v>0</v>
      </c>
      <c r="AQ9" s="3">
        <f>'S28 Transportation Matrix'!AQ9*'S29 Distances Matrix'!AQ9</f>
        <v>0</v>
      </c>
      <c r="AR9" s="3">
        <f>'S28 Transportation Matrix'!AR9*'S29 Distances Matrix'!AR9</f>
        <v>0</v>
      </c>
      <c r="AS9" s="3">
        <f>'S28 Transportation Matrix'!AS9*'S29 Distances Matrix'!AS9</f>
        <v>0</v>
      </c>
    </row>
    <row r="10" spans="1:45">
      <c r="A10" s="392" t="s">
        <v>1046</v>
      </c>
      <c r="B10" s="3">
        <f>'S28 Transportation Matrix'!B10*'S29 Distances Matrix'!B10</f>
        <v>0</v>
      </c>
      <c r="C10" s="3">
        <f>'S28 Transportation Matrix'!C10*'S29 Distances Matrix'!C10</f>
        <v>0</v>
      </c>
      <c r="D10" s="3">
        <f>'S28 Transportation Matrix'!D10*'S29 Distances Matrix'!D10</f>
        <v>0</v>
      </c>
      <c r="E10" s="3">
        <f>'S28 Transportation Matrix'!E10*'S29 Distances Matrix'!E10</f>
        <v>0</v>
      </c>
      <c r="F10" s="3">
        <f>'S28 Transportation Matrix'!F10*'S29 Distances Matrix'!F10</f>
        <v>0</v>
      </c>
      <c r="G10" s="3">
        <f>'S28 Transportation Matrix'!G10*'S29 Distances Matrix'!G10</f>
        <v>0</v>
      </c>
      <c r="H10" s="3">
        <f>'S28 Transportation Matrix'!H10*'S29 Distances Matrix'!H10</f>
        <v>0</v>
      </c>
      <c r="I10" s="3">
        <f>'S28 Transportation Matrix'!I10*'S29 Distances Matrix'!I10</f>
        <v>0</v>
      </c>
      <c r="J10" s="3">
        <f>'S28 Transportation Matrix'!J10*'S29 Distances Matrix'!J10</f>
        <v>0</v>
      </c>
      <c r="K10" s="3">
        <f>'S28 Transportation Matrix'!K10*'S29 Distances Matrix'!K10</f>
        <v>0</v>
      </c>
      <c r="L10" s="3">
        <f>'S28 Transportation Matrix'!L10*'S29 Distances Matrix'!L10</f>
        <v>0</v>
      </c>
      <c r="M10" s="3">
        <f>'S28 Transportation Matrix'!M10*'S29 Distances Matrix'!M10</f>
        <v>0</v>
      </c>
      <c r="N10" s="3">
        <f>'S28 Transportation Matrix'!N10*'S29 Distances Matrix'!N10</f>
        <v>0</v>
      </c>
      <c r="O10" s="3">
        <f>'S28 Transportation Matrix'!O10*'S29 Distances Matrix'!O10</f>
        <v>0</v>
      </c>
      <c r="P10" s="3">
        <f>'S28 Transportation Matrix'!P10*'S29 Distances Matrix'!P10</f>
        <v>0</v>
      </c>
      <c r="Q10" s="3">
        <f>'S28 Transportation Matrix'!Q10*'S29 Distances Matrix'!Q10</f>
        <v>0</v>
      </c>
      <c r="R10" s="3">
        <f>'S28 Transportation Matrix'!R10*'S29 Distances Matrix'!R10</f>
        <v>0</v>
      </c>
      <c r="S10" s="3">
        <f>'S28 Transportation Matrix'!S10*'S29 Distances Matrix'!S10</f>
        <v>0</v>
      </c>
      <c r="T10" s="3">
        <f>'S28 Transportation Matrix'!T10*'S29 Distances Matrix'!T10</f>
        <v>0</v>
      </c>
      <c r="U10" s="3">
        <f>'S28 Transportation Matrix'!U10*'S29 Distances Matrix'!U10</f>
        <v>0</v>
      </c>
      <c r="V10" s="3">
        <f>'S28 Transportation Matrix'!V10*'S29 Distances Matrix'!V10</f>
        <v>2314</v>
      </c>
      <c r="W10" s="3">
        <f>'S28 Transportation Matrix'!W10*'S29 Distances Matrix'!W10</f>
        <v>0</v>
      </c>
      <c r="X10" s="3">
        <f>'S28 Transportation Matrix'!X10*'S29 Distances Matrix'!X10</f>
        <v>0</v>
      </c>
      <c r="Y10" s="3">
        <f>'S28 Transportation Matrix'!Y10*'S29 Distances Matrix'!Y10</f>
        <v>0</v>
      </c>
      <c r="Z10" s="3">
        <f>'S28 Transportation Matrix'!Z10*'S29 Distances Matrix'!Z10</f>
        <v>0</v>
      </c>
      <c r="AA10" s="3">
        <f>'S28 Transportation Matrix'!AA10*'S29 Distances Matrix'!AA10</f>
        <v>0</v>
      </c>
      <c r="AB10" s="3">
        <f>'S28 Transportation Matrix'!AB10*'S29 Distances Matrix'!AB10</f>
        <v>0</v>
      </c>
      <c r="AC10" s="3">
        <f>'S28 Transportation Matrix'!AC10*'S29 Distances Matrix'!AC10</f>
        <v>0</v>
      </c>
      <c r="AD10" s="3">
        <f>'S28 Transportation Matrix'!AD10*'S29 Distances Matrix'!AD10</f>
        <v>0</v>
      </c>
      <c r="AE10" s="3">
        <f>'S28 Transportation Matrix'!AE10*'S29 Distances Matrix'!AE10</f>
        <v>0</v>
      </c>
      <c r="AF10" s="3">
        <f>'S28 Transportation Matrix'!AF10*'S29 Distances Matrix'!AF10</f>
        <v>0</v>
      </c>
      <c r="AG10" s="3">
        <f>'S28 Transportation Matrix'!AG10*'S29 Distances Matrix'!AG10</f>
        <v>0</v>
      </c>
      <c r="AH10" s="3">
        <f>'S28 Transportation Matrix'!AH10*'S29 Distances Matrix'!AH10</f>
        <v>0</v>
      </c>
      <c r="AI10" s="3">
        <f>'S28 Transportation Matrix'!AI10*'S29 Distances Matrix'!AI10</f>
        <v>0</v>
      </c>
      <c r="AJ10" s="3">
        <f>'S28 Transportation Matrix'!AJ10*'S29 Distances Matrix'!AJ10</f>
        <v>0</v>
      </c>
      <c r="AK10" s="3">
        <f>'S28 Transportation Matrix'!AK10*'S29 Distances Matrix'!AK10</f>
        <v>0</v>
      </c>
      <c r="AL10" s="3">
        <f>'S28 Transportation Matrix'!AL10*'S29 Distances Matrix'!AL10</f>
        <v>0</v>
      </c>
      <c r="AM10" s="3">
        <f>'S28 Transportation Matrix'!AM10*'S29 Distances Matrix'!AM10</f>
        <v>0</v>
      </c>
      <c r="AN10" s="3">
        <f>'S28 Transportation Matrix'!AN10*'S29 Distances Matrix'!AN10</f>
        <v>0</v>
      </c>
      <c r="AO10" s="3">
        <f>'S28 Transportation Matrix'!AO10*'S29 Distances Matrix'!AO10</f>
        <v>0</v>
      </c>
      <c r="AP10" s="3">
        <f>'S28 Transportation Matrix'!AP10*'S29 Distances Matrix'!AP10</f>
        <v>0</v>
      </c>
      <c r="AQ10" s="3">
        <f>'S28 Transportation Matrix'!AQ10*'S29 Distances Matrix'!AQ10</f>
        <v>0</v>
      </c>
      <c r="AR10" s="3">
        <f>'S28 Transportation Matrix'!AR10*'S29 Distances Matrix'!AR10</f>
        <v>0</v>
      </c>
      <c r="AS10" s="3">
        <f>'S28 Transportation Matrix'!AS10*'S29 Distances Matrix'!AS10</f>
        <v>0</v>
      </c>
    </row>
    <row r="11" spans="1:45">
      <c r="A11" s="392" t="s">
        <v>1048</v>
      </c>
      <c r="B11" s="3">
        <f>'S28 Transportation Matrix'!B11*'S29 Distances Matrix'!B11</f>
        <v>0</v>
      </c>
      <c r="C11" s="3">
        <f>'S28 Transportation Matrix'!C11*'S29 Distances Matrix'!C11</f>
        <v>0</v>
      </c>
      <c r="D11" s="3">
        <f>'S28 Transportation Matrix'!D11*'S29 Distances Matrix'!D11</f>
        <v>0</v>
      </c>
      <c r="E11" s="3">
        <f>'S28 Transportation Matrix'!E11*'S29 Distances Matrix'!E11</f>
        <v>0</v>
      </c>
      <c r="F11" s="3">
        <f>'S28 Transportation Matrix'!F11*'S29 Distances Matrix'!F11</f>
        <v>0</v>
      </c>
      <c r="G11" s="3">
        <f>'S28 Transportation Matrix'!G11*'S29 Distances Matrix'!G11</f>
        <v>0</v>
      </c>
      <c r="H11" s="3">
        <f>'S28 Transportation Matrix'!H11*'S29 Distances Matrix'!H11</f>
        <v>0</v>
      </c>
      <c r="I11" s="3">
        <f>'S28 Transportation Matrix'!I11*'S29 Distances Matrix'!I11</f>
        <v>0</v>
      </c>
      <c r="J11" s="3">
        <f>'S28 Transportation Matrix'!J11*'S29 Distances Matrix'!J11</f>
        <v>0</v>
      </c>
      <c r="K11" s="3">
        <f>'S28 Transportation Matrix'!K11*'S29 Distances Matrix'!K11</f>
        <v>0</v>
      </c>
      <c r="L11" s="3">
        <f>'S28 Transportation Matrix'!L11*'S29 Distances Matrix'!L11</f>
        <v>0</v>
      </c>
      <c r="M11" s="3">
        <f>'S28 Transportation Matrix'!M11*'S29 Distances Matrix'!M11</f>
        <v>0</v>
      </c>
      <c r="N11" s="3">
        <f>'S28 Transportation Matrix'!N11*'S29 Distances Matrix'!N11</f>
        <v>0</v>
      </c>
      <c r="O11" s="3">
        <f>'S28 Transportation Matrix'!O11*'S29 Distances Matrix'!O11</f>
        <v>0</v>
      </c>
      <c r="P11" s="3">
        <f>'S28 Transportation Matrix'!P11*'S29 Distances Matrix'!P11</f>
        <v>0</v>
      </c>
      <c r="Q11" s="3">
        <f>'S28 Transportation Matrix'!Q11*'S29 Distances Matrix'!Q11</f>
        <v>0</v>
      </c>
      <c r="R11" s="3">
        <f>'S28 Transportation Matrix'!R11*'S29 Distances Matrix'!R11</f>
        <v>0</v>
      </c>
      <c r="S11" s="3">
        <f>'S28 Transportation Matrix'!S11*'S29 Distances Matrix'!S11</f>
        <v>0</v>
      </c>
      <c r="T11" s="3">
        <f>'S28 Transportation Matrix'!T11*'S29 Distances Matrix'!T11</f>
        <v>0</v>
      </c>
      <c r="U11" s="3">
        <f>'S28 Transportation Matrix'!U11*'S29 Distances Matrix'!U11</f>
        <v>138</v>
      </c>
      <c r="V11" s="3">
        <f>'S28 Transportation Matrix'!V11*'S29 Distances Matrix'!V11</f>
        <v>0</v>
      </c>
      <c r="W11" s="3">
        <f>'S28 Transportation Matrix'!W11*'S29 Distances Matrix'!W11</f>
        <v>0</v>
      </c>
      <c r="X11" s="3">
        <f>'S28 Transportation Matrix'!X11*'S29 Distances Matrix'!X11</f>
        <v>0</v>
      </c>
      <c r="Y11" s="3">
        <f>'S28 Transportation Matrix'!Y11*'S29 Distances Matrix'!Y11</f>
        <v>0</v>
      </c>
      <c r="Z11" s="3">
        <f>'S28 Transportation Matrix'!Z11*'S29 Distances Matrix'!Z11</f>
        <v>0</v>
      </c>
      <c r="AA11" s="3">
        <f>'S28 Transportation Matrix'!AA11*'S29 Distances Matrix'!AA11</f>
        <v>0</v>
      </c>
      <c r="AB11" s="3">
        <f>'S28 Transportation Matrix'!AB11*'S29 Distances Matrix'!AB11</f>
        <v>0</v>
      </c>
      <c r="AC11" s="3">
        <f>'S28 Transportation Matrix'!AC11*'S29 Distances Matrix'!AC11</f>
        <v>0</v>
      </c>
      <c r="AD11" s="3">
        <f>'S28 Transportation Matrix'!AD11*'S29 Distances Matrix'!AD11</f>
        <v>0</v>
      </c>
      <c r="AE11" s="3">
        <f>'S28 Transportation Matrix'!AE11*'S29 Distances Matrix'!AE11</f>
        <v>0</v>
      </c>
      <c r="AF11" s="3">
        <f>'S28 Transportation Matrix'!AF11*'S29 Distances Matrix'!AF11</f>
        <v>0</v>
      </c>
      <c r="AG11" s="3">
        <f>'S28 Transportation Matrix'!AG11*'S29 Distances Matrix'!AG11</f>
        <v>0</v>
      </c>
      <c r="AH11" s="3">
        <f>'S28 Transportation Matrix'!AH11*'S29 Distances Matrix'!AH11</f>
        <v>0</v>
      </c>
      <c r="AI11" s="3">
        <f>'S28 Transportation Matrix'!AI11*'S29 Distances Matrix'!AI11</f>
        <v>0</v>
      </c>
      <c r="AJ11" s="3">
        <f>'S28 Transportation Matrix'!AJ11*'S29 Distances Matrix'!AJ11</f>
        <v>0</v>
      </c>
      <c r="AK11" s="3">
        <f>'S28 Transportation Matrix'!AK11*'S29 Distances Matrix'!AK11</f>
        <v>0</v>
      </c>
      <c r="AL11" s="3">
        <f>'S28 Transportation Matrix'!AL11*'S29 Distances Matrix'!AL11</f>
        <v>0</v>
      </c>
      <c r="AM11" s="3">
        <f>'S28 Transportation Matrix'!AM11*'S29 Distances Matrix'!AM11</f>
        <v>0</v>
      </c>
      <c r="AN11" s="3">
        <f>'S28 Transportation Matrix'!AN11*'S29 Distances Matrix'!AN11</f>
        <v>0</v>
      </c>
      <c r="AO11" s="3">
        <f>'S28 Transportation Matrix'!AO11*'S29 Distances Matrix'!AO11</f>
        <v>0</v>
      </c>
      <c r="AP11" s="3">
        <f>'S28 Transportation Matrix'!AP11*'S29 Distances Matrix'!AP11</f>
        <v>0</v>
      </c>
      <c r="AQ11" s="3">
        <f>'S28 Transportation Matrix'!AQ11*'S29 Distances Matrix'!AQ11</f>
        <v>0</v>
      </c>
      <c r="AR11" s="3">
        <f>'S28 Transportation Matrix'!AR11*'S29 Distances Matrix'!AR11</f>
        <v>0</v>
      </c>
      <c r="AS11" s="3">
        <f>'S28 Transportation Matrix'!AS11*'S29 Distances Matrix'!AS11</f>
        <v>0</v>
      </c>
    </row>
    <row r="12" spans="1:45">
      <c r="A12" s="392" t="s">
        <v>1049</v>
      </c>
      <c r="B12" s="3">
        <f>'S28 Transportation Matrix'!B12*'S29 Distances Matrix'!B12</f>
        <v>0</v>
      </c>
      <c r="C12" s="3">
        <f>'S28 Transportation Matrix'!C12*'S29 Distances Matrix'!C12</f>
        <v>0</v>
      </c>
      <c r="D12" s="3">
        <f>'S28 Transportation Matrix'!D12*'S29 Distances Matrix'!D12</f>
        <v>0</v>
      </c>
      <c r="E12" s="3">
        <f>'S28 Transportation Matrix'!E12*'S29 Distances Matrix'!E12</f>
        <v>0</v>
      </c>
      <c r="F12" s="3">
        <f>'S28 Transportation Matrix'!F12*'S29 Distances Matrix'!F12</f>
        <v>0</v>
      </c>
      <c r="G12" s="3">
        <f>'S28 Transportation Matrix'!G12*'S29 Distances Matrix'!G12</f>
        <v>0</v>
      </c>
      <c r="H12" s="3">
        <f>'S28 Transportation Matrix'!H12*'S29 Distances Matrix'!H12</f>
        <v>0</v>
      </c>
      <c r="I12" s="3">
        <f>'S28 Transportation Matrix'!I12*'S29 Distances Matrix'!I12</f>
        <v>0</v>
      </c>
      <c r="J12" s="3">
        <f>'S28 Transportation Matrix'!J12*'S29 Distances Matrix'!J12</f>
        <v>0</v>
      </c>
      <c r="K12" s="3">
        <f>'S28 Transportation Matrix'!K12*'S29 Distances Matrix'!K12</f>
        <v>0</v>
      </c>
      <c r="L12" s="3">
        <f>'S28 Transportation Matrix'!L12*'S29 Distances Matrix'!L12</f>
        <v>0</v>
      </c>
      <c r="M12" s="3">
        <f>'S28 Transportation Matrix'!M12*'S29 Distances Matrix'!M12</f>
        <v>0</v>
      </c>
      <c r="N12" s="3">
        <f>'S28 Transportation Matrix'!N12*'S29 Distances Matrix'!N12</f>
        <v>0</v>
      </c>
      <c r="O12" s="3">
        <f>'S28 Transportation Matrix'!O12*'S29 Distances Matrix'!O12</f>
        <v>0</v>
      </c>
      <c r="P12" s="3">
        <f>'S28 Transportation Matrix'!P12*'S29 Distances Matrix'!P12</f>
        <v>0</v>
      </c>
      <c r="Q12" s="3">
        <f>'S28 Transportation Matrix'!Q12*'S29 Distances Matrix'!Q12</f>
        <v>0</v>
      </c>
      <c r="R12" s="3">
        <f>'S28 Transportation Matrix'!R12*'S29 Distances Matrix'!R12</f>
        <v>0</v>
      </c>
      <c r="S12" s="3">
        <f>'S28 Transportation Matrix'!S12*'S29 Distances Matrix'!S12</f>
        <v>0</v>
      </c>
      <c r="T12" s="3">
        <f>'S28 Transportation Matrix'!T12*'S29 Distances Matrix'!T12</f>
        <v>0</v>
      </c>
      <c r="U12" s="3">
        <f>'S28 Transportation Matrix'!U12*'S29 Distances Matrix'!U12</f>
        <v>0</v>
      </c>
      <c r="V12" s="3">
        <f>'S28 Transportation Matrix'!V12*'S29 Distances Matrix'!V12</f>
        <v>0</v>
      </c>
      <c r="W12" s="3">
        <f>'S28 Transportation Matrix'!W12*'S29 Distances Matrix'!W12</f>
        <v>0</v>
      </c>
      <c r="X12" s="3">
        <f>'S28 Transportation Matrix'!X12*'S29 Distances Matrix'!X12</f>
        <v>0</v>
      </c>
      <c r="Y12" s="3">
        <f>'S28 Transportation Matrix'!Y12*'S29 Distances Matrix'!Y12</f>
        <v>0</v>
      </c>
      <c r="Z12" s="3">
        <f>'S28 Transportation Matrix'!Z12*'S29 Distances Matrix'!Z12</f>
        <v>0</v>
      </c>
      <c r="AA12" s="3">
        <f>'S28 Transportation Matrix'!AA12*'S29 Distances Matrix'!AA12</f>
        <v>0</v>
      </c>
      <c r="AB12" s="3">
        <f>'S28 Transportation Matrix'!AB12*'S29 Distances Matrix'!AB12</f>
        <v>0</v>
      </c>
      <c r="AC12" s="3">
        <f>'S28 Transportation Matrix'!AC12*'S29 Distances Matrix'!AC12</f>
        <v>0</v>
      </c>
      <c r="AD12" s="3">
        <f>'S28 Transportation Matrix'!AD12*'S29 Distances Matrix'!AD12</f>
        <v>0</v>
      </c>
      <c r="AE12" s="3">
        <f>'S28 Transportation Matrix'!AE12*'S29 Distances Matrix'!AE12</f>
        <v>0</v>
      </c>
      <c r="AF12" s="3">
        <f>'S28 Transportation Matrix'!AF12*'S29 Distances Matrix'!AF12</f>
        <v>0</v>
      </c>
      <c r="AG12" s="3">
        <f>'S28 Transportation Matrix'!AG12*'S29 Distances Matrix'!AG12</f>
        <v>0</v>
      </c>
      <c r="AH12" s="3">
        <f>'S28 Transportation Matrix'!AH12*'S29 Distances Matrix'!AH12</f>
        <v>0</v>
      </c>
      <c r="AI12" s="3">
        <f>'S28 Transportation Matrix'!AI12*'S29 Distances Matrix'!AI12</f>
        <v>0</v>
      </c>
      <c r="AJ12" s="3">
        <f>'S28 Transportation Matrix'!AJ12*'S29 Distances Matrix'!AJ12</f>
        <v>0</v>
      </c>
      <c r="AK12" s="3">
        <f>'S28 Transportation Matrix'!AK12*'S29 Distances Matrix'!AK12</f>
        <v>0</v>
      </c>
      <c r="AL12" s="3">
        <f>'S28 Transportation Matrix'!AL12*'S29 Distances Matrix'!AL12</f>
        <v>0</v>
      </c>
      <c r="AM12" s="3">
        <f>'S28 Transportation Matrix'!AM12*'S29 Distances Matrix'!AM12</f>
        <v>0</v>
      </c>
      <c r="AN12" s="3">
        <f>'S28 Transportation Matrix'!AN12*'S29 Distances Matrix'!AN12</f>
        <v>0</v>
      </c>
      <c r="AO12" s="3">
        <f>'S28 Transportation Matrix'!AO12*'S29 Distances Matrix'!AO12</f>
        <v>0</v>
      </c>
      <c r="AP12" s="3">
        <f>'S28 Transportation Matrix'!AP12*'S29 Distances Matrix'!AP12</f>
        <v>0</v>
      </c>
      <c r="AQ12" s="3">
        <f>'S28 Transportation Matrix'!AQ12*'S29 Distances Matrix'!AQ12</f>
        <v>0</v>
      </c>
      <c r="AR12" s="3">
        <f>'S28 Transportation Matrix'!AR12*'S29 Distances Matrix'!AR12</f>
        <v>0</v>
      </c>
      <c r="AS12" s="3">
        <f>'S28 Transportation Matrix'!AS12*'S29 Distances Matrix'!AS12</f>
        <v>0</v>
      </c>
    </row>
    <row r="13" spans="1:45">
      <c r="A13" s="392" t="s">
        <v>1051</v>
      </c>
      <c r="B13" s="3">
        <f>'S28 Transportation Matrix'!B13*'S29 Distances Matrix'!B13</f>
        <v>0</v>
      </c>
      <c r="C13" s="3">
        <f>'S28 Transportation Matrix'!C13*'S29 Distances Matrix'!C13</f>
        <v>0</v>
      </c>
      <c r="D13" s="3">
        <f>'S28 Transportation Matrix'!D13*'S29 Distances Matrix'!D13</f>
        <v>0</v>
      </c>
      <c r="E13" s="3">
        <f>'S28 Transportation Matrix'!E13*'S29 Distances Matrix'!E13</f>
        <v>0</v>
      </c>
      <c r="F13" s="3">
        <f>'S28 Transportation Matrix'!F13*'S29 Distances Matrix'!F13</f>
        <v>0</v>
      </c>
      <c r="G13" s="3">
        <f>'S28 Transportation Matrix'!G13*'S29 Distances Matrix'!G13</f>
        <v>0</v>
      </c>
      <c r="H13" s="3">
        <f>'S28 Transportation Matrix'!H13*'S29 Distances Matrix'!H13</f>
        <v>0</v>
      </c>
      <c r="I13" s="3">
        <f>'S28 Transportation Matrix'!I13*'S29 Distances Matrix'!I13</f>
        <v>0</v>
      </c>
      <c r="J13" s="3">
        <f>'S28 Transportation Matrix'!J13*'S29 Distances Matrix'!J13</f>
        <v>0</v>
      </c>
      <c r="K13" s="3">
        <f>'S28 Transportation Matrix'!K13*'S29 Distances Matrix'!K13</f>
        <v>0</v>
      </c>
      <c r="L13" s="3">
        <f>'S28 Transportation Matrix'!L13*'S29 Distances Matrix'!L13</f>
        <v>0</v>
      </c>
      <c r="M13" s="3">
        <f>'S28 Transportation Matrix'!M13*'S29 Distances Matrix'!M13</f>
        <v>0</v>
      </c>
      <c r="N13" s="3">
        <f>'S28 Transportation Matrix'!N13*'S29 Distances Matrix'!N13</f>
        <v>0</v>
      </c>
      <c r="O13" s="3">
        <f>'S28 Transportation Matrix'!O13*'S29 Distances Matrix'!O13</f>
        <v>0</v>
      </c>
      <c r="P13" s="3">
        <f>'S28 Transportation Matrix'!P13*'S29 Distances Matrix'!P13</f>
        <v>0</v>
      </c>
      <c r="Q13" s="3">
        <f>'S28 Transportation Matrix'!Q13*'S29 Distances Matrix'!Q13</f>
        <v>0</v>
      </c>
      <c r="R13" s="3">
        <f>'S28 Transportation Matrix'!R13*'S29 Distances Matrix'!R13</f>
        <v>0</v>
      </c>
      <c r="S13" s="3">
        <f>'S28 Transportation Matrix'!S13*'S29 Distances Matrix'!S13</f>
        <v>0</v>
      </c>
      <c r="T13" s="3">
        <f>'S28 Transportation Matrix'!T13*'S29 Distances Matrix'!T13</f>
        <v>0</v>
      </c>
      <c r="U13" s="3">
        <f>'S28 Transportation Matrix'!U13*'S29 Distances Matrix'!U13</f>
        <v>0</v>
      </c>
      <c r="V13" s="3">
        <f>'S28 Transportation Matrix'!V13*'S29 Distances Matrix'!V13</f>
        <v>0</v>
      </c>
      <c r="W13" s="3">
        <f>'S28 Transportation Matrix'!W13*'S29 Distances Matrix'!W13</f>
        <v>0</v>
      </c>
      <c r="X13" s="3">
        <f>'S28 Transportation Matrix'!X13*'S29 Distances Matrix'!X13</f>
        <v>0</v>
      </c>
      <c r="Y13" s="3">
        <f>'S28 Transportation Matrix'!Y13*'S29 Distances Matrix'!Y13</f>
        <v>0</v>
      </c>
      <c r="Z13" s="3">
        <f>'S28 Transportation Matrix'!Z13*'S29 Distances Matrix'!Z13</f>
        <v>0</v>
      </c>
      <c r="AA13" s="3">
        <f>'S28 Transportation Matrix'!AA13*'S29 Distances Matrix'!AA13</f>
        <v>0</v>
      </c>
      <c r="AB13" s="3">
        <f>'S28 Transportation Matrix'!AB13*'S29 Distances Matrix'!AB13</f>
        <v>0</v>
      </c>
      <c r="AC13" s="3">
        <f>'S28 Transportation Matrix'!AC13*'S29 Distances Matrix'!AC13</f>
        <v>0</v>
      </c>
      <c r="AD13" s="3">
        <f>'S28 Transportation Matrix'!AD13*'S29 Distances Matrix'!AD13</f>
        <v>0</v>
      </c>
      <c r="AE13" s="3">
        <f>'S28 Transportation Matrix'!AE13*'S29 Distances Matrix'!AE13</f>
        <v>0</v>
      </c>
      <c r="AF13" s="3">
        <f>'S28 Transportation Matrix'!AF13*'S29 Distances Matrix'!AF13</f>
        <v>0</v>
      </c>
      <c r="AG13" s="3">
        <f>'S28 Transportation Matrix'!AG13*'S29 Distances Matrix'!AG13</f>
        <v>0</v>
      </c>
      <c r="AH13" s="3">
        <f>'S28 Transportation Matrix'!AH13*'S29 Distances Matrix'!AH13</f>
        <v>0</v>
      </c>
      <c r="AI13" s="3">
        <f>'S28 Transportation Matrix'!AI13*'S29 Distances Matrix'!AI13</f>
        <v>0</v>
      </c>
      <c r="AJ13" s="3">
        <f>'S28 Transportation Matrix'!AJ13*'S29 Distances Matrix'!AJ13</f>
        <v>0</v>
      </c>
      <c r="AK13" s="3">
        <f>'S28 Transportation Matrix'!AK13*'S29 Distances Matrix'!AK13</f>
        <v>0</v>
      </c>
      <c r="AL13" s="3">
        <f>'S28 Transportation Matrix'!AL13*'S29 Distances Matrix'!AL13</f>
        <v>0</v>
      </c>
      <c r="AM13" s="3">
        <f>'S28 Transportation Matrix'!AM13*'S29 Distances Matrix'!AM13</f>
        <v>0</v>
      </c>
      <c r="AN13" s="3">
        <f>'S28 Transportation Matrix'!AN13*'S29 Distances Matrix'!AN13</f>
        <v>0</v>
      </c>
      <c r="AO13" s="3">
        <f>'S28 Transportation Matrix'!AO13*'S29 Distances Matrix'!AO13</f>
        <v>0</v>
      </c>
      <c r="AP13" s="3">
        <f>'S28 Transportation Matrix'!AP13*'S29 Distances Matrix'!AP13</f>
        <v>0</v>
      </c>
      <c r="AQ13" s="3">
        <f>'S28 Transportation Matrix'!AQ13*'S29 Distances Matrix'!AQ13</f>
        <v>0</v>
      </c>
      <c r="AR13" s="3">
        <f>'S28 Transportation Matrix'!AR13*'S29 Distances Matrix'!AR13</f>
        <v>0</v>
      </c>
      <c r="AS13" s="3">
        <f>'S28 Transportation Matrix'!AS13*'S29 Distances Matrix'!AS13</f>
        <v>0</v>
      </c>
    </row>
    <row r="14" spans="1:45">
      <c r="A14" s="392" t="s">
        <v>1053</v>
      </c>
      <c r="B14" s="3">
        <f>'S28 Transportation Matrix'!B14*'S29 Distances Matrix'!B14</f>
        <v>0</v>
      </c>
      <c r="C14" s="3">
        <f>'S28 Transportation Matrix'!C14*'S29 Distances Matrix'!C14</f>
        <v>0</v>
      </c>
      <c r="D14" s="3">
        <f>'S28 Transportation Matrix'!D14*'S29 Distances Matrix'!D14</f>
        <v>0</v>
      </c>
      <c r="E14" s="3">
        <f>'S28 Transportation Matrix'!E14*'S29 Distances Matrix'!E14</f>
        <v>0</v>
      </c>
      <c r="F14" s="3">
        <f>'S28 Transportation Matrix'!F14*'S29 Distances Matrix'!F14</f>
        <v>0</v>
      </c>
      <c r="G14" s="3">
        <f>'S28 Transportation Matrix'!G14*'S29 Distances Matrix'!G14</f>
        <v>0</v>
      </c>
      <c r="H14" s="3">
        <f>'S28 Transportation Matrix'!H14*'S29 Distances Matrix'!H14</f>
        <v>0</v>
      </c>
      <c r="I14" s="3">
        <f>'S28 Transportation Matrix'!I14*'S29 Distances Matrix'!I14</f>
        <v>0</v>
      </c>
      <c r="J14" s="3">
        <f>'S28 Transportation Matrix'!J14*'S29 Distances Matrix'!J14</f>
        <v>0</v>
      </c>
      <c r="K14" s="3">
        <f>'S28 Transportation Matrix'!K14*'S29 Distances Matrix'!K14</f>
        <v>0</v>
      </c>
      <c r="L14" s="3">
        <f>'S28 Transportation Matrix'!L14*'S29 Distances Matrix'!L14</f>
        <v>0</v>
      </c>
      <c r="M14" s="3">
        <f>'S28 Transportation Matrix'!M14*'S29 Distances Matrix'!M14</f>
        <v>0</v>
      </c>
      <c r="N14" s="3">
        <f>'S28 Transportation Matrix'!N14*'S29 Distances Matrix'!N14</f>
        <v>0</v>
      </c>
      <c r="O14" s="3">
        <f>'S28 Transportation Matrix'!O14*'S29 Distances Matrix'!O14</f>
        <v>0</v>
      </c>
      <c r="P14" s="3">
        <f>'S28 Transportation Matrix'!P14*'S29 Distances Matrix'!P14</f>
        <v>0</v>
      </c>
      <c r="Q14" s="3">
        <f>'S28 Transportation Matrix'!Q14*'S29 Distances Matrix'!Q14</f>
        <v>0</v>
      </c>
      <c r="R14" s="3">
        <f>'S28 Transportation Matrix'!R14*'S29 Distances Matrix'!R14</f>
        <v>0</v>
      </c>
      <c r="S14" s="3">
        <f>'S28 Transportation Matrix'!S14*'S29 Distances Matrix'!S14</f>
        <v>0</v>
      </c>
      <c r="T14" s="3">
        <f>'S28 Transportation Matrix'!T14*'S29 Distances Matrix'!T14</f>
        <v>0</v>
      </c>
      <c r="U14" s="3">
        <f>'S28 Transportation Matrix'!U14*'S29 Distances Matrix'!U14</f>
        <v>0</v>
      </c>
      <c r="V14" s="3">
        <f>'S28 Transportation Matrix'!V14*'S29 Distances Matrix'!V14</f>
        <v>0</v>
      </c>
      <c r="W14" s="3">
        <f>'S28 Transportation Matrix'!W14*'S29 Distances Matrix'!W14</f>
        <v>0</v>
      </c>
      <c r="X14" s="3">
        <f>'S28 Transportation Matrix'!X14*'S29 Distances Matrix'!X14</f>
        <v>0</v>
      </c>
      <c r="Y14" s="3">
        <f>'S28 Transportation Matrix'!Y14*'S29 Distances Matrix'!Y14</f>
        <v>0</v>
      </c>
      <c r="Z14" s="3">
        <f>'S28 Transportation Matrix'!Z14*'S29 Distances Matrix'!Z14</f>
        <v>0</v>
      </c>
      <c r="AA14" s="3">
        <f>'S28 Transportation Matrix'!AA14*'S29 Distances Matrix'!AA14</f>
        <v>0</v>
      </c>
      <c r="AB14" s="3">
        <f>'S28 Transportation Matrix'!AB14*'S29 Distances Matrix'!AB14</f>
        <v>0</v>
      </c>
      <c r="AC14" s="3">
        <f>'S28 Transportation Matrix'!AC14*'S29 Distances Matrix'!AC14</f>
        <v>0</v>
      </c>
      <c r="AD14" s="3">
        <f>'S28 Transportation Matrix'!AD14*'S29 Distances Matrix'!AD14</f>
        <v>0</v>
      </c>
      <c r="AE14" s="3">
        <f>'S28 Transportation Matrix'!AE14*'S29 Distances Matrix'!AE14</f>
        <v>0</v>
      </c>
      <c r="AF14" s="3">
        <f>'S28 Transportation Matrix'!AF14*'S29 Distances Matrix'!AF14</f>
        <v>0</v>
      </c>
      <c r="AG14" s="3">
        <f>'S28 Transportation Matrix'!AG14*'S29 Distances Matrix'!AG14</f>
        <v>0</v>
      </c>
      <c r="AH14" s="3">
        <f>'S28 Transportation Matrix'!AH14*'S29 Distances Matrix'!AH14</f>
        <v>0</v>
      </c>
      <c r="AI14" s="3">
        <f>'S28 Transportation Matrix'!AI14*'S29 Distances Matrix'!AI14</f>
        <v>0</v>
      </c>
      <c r="AJ14" s="3">
        <f>'S28 Transportation Matrix'!AJ14*'S29 Distances Matrix'!AJ14</f>
        <v>0</v>
      </c>
      <c r="AK14" s="3">
        <f>'S28 Transportation Matrix'!AK14*'S29 Distances Matrix'!AK14</f>
        <v>0</v>
      </c>
      <c r="AL14" s="3">
        <f>'S28 Transportation Matrix'!AL14*'S29 Distances Matrix'!AL14</f>
        <v>0</v>
      </c>
      <c r="AM14" s="3">
        <f>'S28 Transportation Matrix'!AM14*'S29 Distances Matrix'!AM14</f>
        <v>0</v>
      </c>
      <c r="AN14" s="3">
        <f>'S28 Transportation Matrix'!AN14*'S29 Distances Matrix'!AN14</f>
        <v>0</v>
      </c>
      <c r="AO14" s="3">
        <f>'S28 Transportation Matrix'!AO14*'S29 Distances Matrix'!AO14</f>
        <v>0</v>
      </c>
      <c r="AP14" s="3">
        <f>'S28 Transportation Matrix'!AP14*'S29 Distances Matrix'!AP14</f>
        <v>0</v>
      </c>
      <c r="AQ14" s="3">
        <f>'S28 Transportation Matrix'!AQ14*'S29 Distances Matrix'!AQ14</f>
        <v>0</v>
      </c>
      <c r="AR14" s="3">
        <f>'S28 Transportation Matrix'!AR14*'S29 Distances Matrix'!AR14</f>
        <v>0</v>
      </c>
      <c r="AS14" s="3">
        <f>'S28 Transportation Matrix'!AS14*'S29 Distances Matrix'!AS14</f>
        <v>0</v>
      </c>
    </row>
    <row r="15" spans="1:45">
      <c r="A15" s="392" t="s">
        <v>1055</v>
      </c>
      <c r="B15" s="3">
        <f>'S28 Transportation Matrix'!B15*'S29 Distances Matrix'!B15</f>
        <v>0</v>
      </c>
      <c r="C15" s="3">
        <f>'S28 Transportation Matrix'!C15*'S29 Distances Matrix'!C15</f>
        <v>0</v>
      </c>
      <c r="D15" s="3">
        <f>'S28 Transportation Matrix'!D15*'S29 Distances Matrix'!D15</f>
        <v>0</v>
      </c>
      <c r="E15" s="3">
        <f>'S28 Transportation Matrix'!E15*'S29 Distances Matrix'!E15</f>
        <v>0</v>
      </c>
      <c r="F15" s="3">
        <f>'S28 Transportation Matrix'!F15*'S29 Distances Matrix'!F15</f>
        <v>0</v>
      </c>
      <c r="G15" s="3">
        <f>'S28 Transportation Matrix'!G15*'S29 Distances Matrix'!G15</f>
        <v>0</v>
      </c>
      <c r="H15" s="3">
        <f>'S28 Transportation Matrix'!H15*'S29 Distances Matrix'!H15</f>
        <v>0</v>
      </c>
      <c r="I15" s="3">
        <f>'S28 Transportation Matrix'!I15*'S29 Distances Matrix'!I15</f>
        <v>0</v>
      </c>
      <c r="J15" s="3">
        <f>'S28 Transportation Matrix'!J15*'S29 Distances Matrix'!J15</f>
        <v>0</v>
      </c>
      <c r="K15" s="3">
        <f>'S28 Transportation Matrix'!K15*'S29 Distances Matrix'!K15</f>
        <v>0</v>
      </c>
      <c r="L15" s="3">
        <f>'S28 Transportation Matrix'!L15*'S29 Distances Matrix'!L15</f>
        <v>0</v>
      </c>
      <c r="M15" s="3">
        <f>'S28 Transportation Matrix'!M15*'S29 Distances Matrix'!M15</f>
        <v>0</v>
      </c>
      <c r="N15" s="3">
        <f>'S28 Transportation Matrix'!N15*'S29 Distances Matrix'!N15</f>
        <v>0</v>
      </c>
      <c r="O15" s="3">
        <f>'S28 Transportation Matrix'!O15*'S29 Distances Matrix'!O15</f>
        <v>0</v>
      </c>
      <c r="P15" s="3">
        <f>'S28 Transportation Matrix'!P15*'S29 Distances Matrix'!P15</f>
        <v>0</v>
      </c>
      <c r="Q15" s="3">
        <f>'S28 Transportation Matrix'!Q15*'S29 Distances Matrix'!Q15</f>
        <v>0</v>
      </c>
      <c r="R15" s="3">
        <f>'S28 Transportation Matrix'!R15*'S29 Distances Matrix'!R15</f>
        <v>0</v>
      </c>
      <c r="S15" s="3">
        <f>'S28 Transportation Matrix'!S15*'S29 Distances Matrix'!S15</f>
        <v>0</v>
      </c>
      <c r="T15" s="3">
        <f>'S28 Transportation Matrix'!T15*'S29 Distances Matrix'!T15</f>
        <v>0</v>
      </c>
      <c r="U15" s="3">
        <f>'S28 Transportation Matrix'!U15*'S29 Distances Matrix'!U15</f>
        <v>0</v>
      </c>
      <c r="V15" s="3">
        <f>'S28 Transportation Matrix'!V15*'S29 Distances Matrix'!V15</f>
        <v>0</v>
      </c>
      <c r="W15" s="3">
        <f>'S28 Transportation Matrix'!W15*'S29 Distances Matrix'!W15</f>
        <v>0</v>
      </c>
      <c r="X15" s="3">
        <f>'S28 Transportation Matrix'!X15*'S29 Distances Matrix'!X15</f>
        <v>0</v>
      </c>
      <c r="Y15" s="3">
        <f>'S28 Transportation Matrix'!Y15*'S29 Distances Matrix'!Y15</f>
        <v>0</v>
      </c>
      <c r="Z15" s="3">
        <f>'S28 Transportation Matrix'!Z15*'S29 Distances Matrix'!Z15</f>
        <v>0</v>
      </c>
      <c r="AA15" s="3">
        <f>'S28 Transportation Matrix'!AA15*'S29 Distances Matrix'!AA15</f>
        <v>0</v>
      </c>
      <c r="AB15" s="3">
        <f>'S28 Transportation Matrix'!AB15*'S29 Distances Matrix'!AB15</f>
        <v>0</v>
      </c>
      <c r="AC15" s="3">
        <f>'S28 Transportation Matrix'!AC15*'S29 Distances Matrix'!AC15</f>
        <v>0</v>
      </c>
      <c r="AD15" s="3">
        <f>'S28 Transportation Matrix'!AD15*'S29 Distances Matrix'!AD15</f>
        <v>0</v>
      </c>
      <c r="AE15" s="3">
        <f>'S28 Transportation Matrix'!AE15*'S29 Distances Matrix'!AE15</f>
        <v>0</v>
      </c>
      <c r="AF15" s="3">
        <f>'S28 Transportation Matrix'!AF15*'S29 Distances Matrix'!AF15</f>
        <v>0</v>
      </c>
      <c r="AG15" s="3">
        <f>'S28 Transportation Matrix'!AG15*'S29 Distances Matrix'!AG15</f>
        <v>0</v>
      </c>
      <c r="AH15" s="3">
        <f>'S28 Transportation Matrix'!AH15*'S29 Distances Matrix'!AH15</f>
        <v>0</v>
      </c>
      <c r="AI15" s="3">
        <f>'S28 Transportation Matrix'!AI15*'S29 Distances Matrix'!AI15</f>
        <v>0</v>
      </c>
      <c r="AJ15" s="3">
        <f>'S28 Transportation Matrix'!AJ15*'S29 Distances Matrix'!AJ15</f>
        <v>0</v>
      </c>
      <c r="AK15" s="3">
        <f>'S28 Transportation Matrix'!AK15*'S29 Distances Matrix'!AK15</f>
        <v>0</v>
      </c>
      <c r="AL15" s="3">
        <f>'S28 Transportation Matrix'!AL15*'S29 Distances Matrix'!AL15</f>
        <v>0</v>
      </c>
      <c r="AM15" s="3">
        <f>'S28 Transportation Matrix'!AM15*'S29 Distances Matrix'!AM15</f>
        <v>0</v>
      </c>
      <c r="AN15" s="3">
        <f>'S28 Transportation Matrix'!AN15*'S29 Distances Matrix'!AN15</f>
        <v>0</v>
      </c>
      <c r="AO15" s="3">
        <f>'S28 Transportation Matrix'!AO15*'S29 Distances Matrix'!AO15</f>
        <v>0</v>
      </c>
      <c r="AP15" s="3">
        <f>'S28 Transportation Matrix'!AP15*'S29 Distances Matrix'!AP15</f>
        <v>0</v>
      </c>
      <c r="AQ15" s="3">
        <f>'S28 Transportation Matrix'!AQ15*'S29 Distances Matrix'!AQ15</f>
        <v>0</v>
      </c>
      <c r="AR15" s="3">
        <f>'S28 Transportation Matrix'!AR15*'S29 Distances Matrix'!AR15</f>
        <v>0</v>
      </c>
      <c r="AS15" s="3">
        <f>'S28 Transportation Matrix'!AS15*'S29 Distances Matrix'!AS15</f>
        <v>0</v>
      </c>
    </row>
    <row r="16" spans="1:45">
      <c r="A16" s="392" t="s">
        <v>1057</v>
      </c>
      <c r="B16" s="3">
        <f>'S28 Transportation Matrix'!B16*'S29 Distances Matrix'!B16</f>
        <v>0</v>
      </c>
      <c r="C16" s="3">
        <f>'S28 Transportation Matrix'!C16*'S29 Distances Matrix'!C16</f>
        <v>0</v>
      </c>
      <c r="D16" s="3">
        <f>'S28 Transportation Matrix'!D16*'S29 Distances Matrix'!D16</f>
        <v>0</v>
      </c>
      <c r="E16" s="3">
        <f>'S28 Transportation Matrix'!E16*'S29 Distances Matrix'!E16</f>
        <v>0</v>
      </c>
      <c r="F16" s="3">
        <f>'S28 Transportation Matrix'!F16*'S29 Distances Matrix'!F16</f>
        <v>0</v>
      </c>
      <c r="G16" s="3">
        <f>'S28 Transportation Matrix'!G16*'S29 Distances Matrix'!G16</f>
        <v>0</v>
      </c>
      <c r="H16" s="3">
        <f>'S28 Transportation Matrix'!H16*'S29 Distances Matrix'!H16</f>
        <v>0</v>
      </c>
      <c r="I16" s="3">
        <f>'S28 Transportation Matrix'!I16*'S29 Distances Matrix'!I16</f>
        <v>0</v>
      </c>
      <c r="J16" s="3">
        <f>'S28 Transportation Matrix'!J16*'S29 Distances Matrix'!J16</f>
        <v>0</v>
      </c>
      <c r="K16" s="3">
        <f>'S28 Transportation Matrix'!K16*'S29 Distances Matrix'!K16</f>
        <v>0</v>
      </c>
      <c r="L16" s="3">
        <f>'S28 Transportation Matrix'!L16*'S29 Distances Matrix'!L16</f>
        <v>0</v>
      </c>
      <c r="M16" s="3">
        <f>'S28 Transportation Matrix'!M16*'S29 Distances Matrix'!M16</f>
        <v>0</v>
      </c>
      <c r="N16" s="3">
        <f>'S28 Transportation Matrix'!N16*'S29 Distances Matrix'!N16</f>
        <v>0</v>
      </c>
      <c r="O16" s="3">
        <f>'S28 Transportation Matrix'!O16*'S29 Distances Matrix'!O16</f>
        <v>0</v>
      </c>
      <c r="P16" s="3">
        <f>'S28 Transportation Matrix'!P16*'S29 Distances Matrix'!P16</f>
        <v>0</v>
      </c>
      <c r="Q16" s="3">
        <f>'S28 Transportation Matrix'!Q16*'S29 Distances Matrix'!Q16</f>
        <v>0</v>
      </c>
      <c r="R16" s="3">
        <f>'S28 Transportation Matrix'!R16*'S29 Distances Matrix'!R16</f>
        <v>0</v>
      </c>
      <c r="S16" s="3">
        <f>'S28 Transportation Matrix'!S16*'S29 Distances Matrix'!S16</f>
        <v>0</v>
      </c>
      <c r="T16" s="3">
        <f>'S28 Transportation Matrix'!T16*'S29 Distances Matrix'!T16</f>
        <v>0</v>
      </c>
      <c r="U16" s="3">
        <f>'S28 Transportation Matrix'!U16*'S29 Distances Matrix'!U16</f>
        <v>0</v>
      </c>
      <c r="V16" s="3">
        <f>'S28 Transportation Matrix'!V16*'S29 Distances Matrix'!V16</f>
        <v>0</v>
      </c>
      <c r="W16" s="3">
        <f>'S28 Transportation Matrix'!W16*'S29 Distances Matrix'!W16</f>
        <v>0</v>
      </c>
      <c r="X16" s="3">
        <f>'S28 Transportation Matrix'!X16*'S29 Distances Matrix'!X16</f>
        <v>0</v>
      </c>
      <c r="Y16" s="3">
        <f>'S28 Transportation Matrix'!Y16*'S29 Distances Matrix'!Y16</f>
        <v>0</v>
      </c>
      <c r="Z16" s="3">
        <f>'S28 Transportation Matrix'!Z16*'S29 Distances Matrix'!Z16</f>
        <v>0</v>
      </c>
      <c r="AA16" s="3">
        <f>'S28 Transportation Matrix'!AA16*'S29 Distances Matrix'!AA16</f>
        <v>0</v>
      </c>
      <c r="AB16" s="3">
        <f>'S28 Transportation Matrix'!AB16*'S29 Distances Matrix'!AB16</f>
        <v>0</v>
      </c>
      <c r="AC16" s="3">
        <f>'S28 Transportation Matrix'!AC16*'S29 Distances Matrix'!AC16</f>
        <v>0</v>
      </c>
      <c r="AD16" s="3">
        <f>'S28 Transportation Matrix'!AD16*'S29 Distances Matrix'!AD16</f>
        <v>0</v>
      </c>
      <c r="AE16" s="3">
        <f>'S28 Transportation Matrix'!AE16*'S29 Distances Matrix'!AE16</f>
        <v>0</v>
      </c>
      <c r="AF16" s="3">
        <f>'S28 Transportation Matrix'!AF16*'S29 Distances Matrix'!AF16</f>
        <v>0</v>
      </c>
      <c r="AG16" s="3">
        <f>'S28 Transportation Matrix'!AG16*'S29 Distances Matrix'!AG16</f>
        <v>0</v>
      </c>
      <c r="AH16" s="3">
        <f>'S28 Transportation Matrix'!AH16*'S29 Distances Matrix'!AH16</f>
        <v>0</v>
      </c>
      <c r="AI16" s="3">
        <f>'S28 Transportation Matrix'!AI16*'S29 Distances Matrix'!AI16</f>
        <v>0</v>
      </c>
      <c r="AJ16" s="3">
        <f>'S28 Transportation Matrix'!AJ16*'S29 Distances Matrix'!AJ16</f>
        <v>0</v>
      </c>
      <c r="AK16" s="3">
        <f>'S28 Transportation Matrix'!AK16*'S29 Distances Matrix'!AK16</f>
        <v>0</v>
      </c>
      <c r="AL16" s="3">
        <f>'S28 Transportation Matrix'!AL16*'S29 Distances Matrix'!AL16</f>
        <v>0</v>
      </c>
      <c r="AM16" s="3">
        <f>'S28 Transportation Matrix'!AM16*'S29 Distances Matrix'!AM16</f>
        <v>0</v>
      </c>
      <c r="AN16" s="3">
        <f>'S28 Transportation Matrix'!AN16*'S29 Distances Matrix'!AN16</f>
        <v>0</v>
      </c>
      <c r="AO16" s="3">
        <f>'S28 Transportation Matrix'!AO16*'S29 Distances Matrix'!AO16</f>
        <v>0</v>
      </c>
      <c r="AP16" s="3">
        <f>'S28 Transportation Matrix'!AP16*'S29 Distances Matrix'!AP16</f>
        <v>0</v>
      </c>
      <c r="AQ16" s="3">
        <f>'S28 Transportation Matrix'!AQ16*'S29 Distances Matrix'!AQ16</f>
        <v>0</v>
      </c>
      <c r="AR16" s="3">
        <f>'S28 Transportation Matrix'!AR16*'S29 Distances Matrix'!AR16</f>
        <v>0</v>
      </c>
      <c r="AS16" s="3">
        <f>'S28 Transportation Matrix'!AS16*'S29 Distances Matrix'!AS16</f>
        <v>0</v>
      </c>
    </row>
    <row r="17" spans="1:45">
      <c r="A17" s="392" t="s">
        <v>1059</v>
      </c>
      <c r="B17" s="3">
        <f>'S28 Transportation Matrix'!B17*'S29 Distances Matrix'!B17</f>
        <v>0</v>
      </c>
      <c r="C17" s="3">
        <f>'S28 Transportation Matrix'!C17*'S29 Distances Matrix'!C17</f>
        <v>0</v>
      </c>
      <c r="D17" s="3">
        <f>'S28 Transportation Matrix'!D17*'S29 Distances Matrix'!D17</f>
        <v>0</v>
      </c>
      <c r="E17" s="3">
        <f>'S28 Transportation Matrix'!E17*'S29 Distances Matrix'!E17</f>
        <v>0</v>
      </c>
      <c r="F17" s="3">
        <f>'S28 Transportation Matrix'!F17*'S29 Distances Matrix'!F17</f>
        <v>0</v>
      </c>
      <c r="G17" s="3">
        <f>'S28 Transportation Matrix'!G17*'S29 Distances Matrix'!G17</f>
        <v>0</v>
      </c>
      <c r="H17" s="3">
        <f>'S28 Transportation Matrix'!H17*'S29 Distances Matrix'!H17</f>
        <v>0</v>
      </c>
      <c r="I17" s="3">
        <f>'S28 Transportation Matrix'!I17*'S29 Distances Matrix'!I17</f>
        <v>0</v>
      </c>
      <c r="J17" s="3">
        <f>'S28 Transportation Matrix'!J17*'S29 Distances Matrix'!J17</f>
        <v>0</v>
      </c>
      <c r="K17" s="3">
        <f>'S28 Transportation Matrix'!K17*'S29 Distances Matrix'!K17</f>
        <v>0</v>
      </c>
      <c r="L17" s="3">
        <f>'S28 Transportation Matrix'!L17*'S29 Distances Matrix'!L17</f>
        <v>0</v>
      </c>
      <c r="M17" s="3">
        <f>'S28 Transportation Matrix'!M17*'S29 Distances Matrix'!M17</f>
        <v>0</v>
      </c>
      <c r="N17" s="3">
        <f>'S28 Transportation Matrix'!N17*'S29 Distances Matrix'!N17</f>
        <v>0</v>
      </c>
      <c r="O17" s="3">
        <f>'S28 Transportation Matrix'!O17*'S29 Distances Matrix'!O17</f>
        <v>0</v>
      </c>
      <c r="P17" s="3">
        <f>'S28 Transportation Matrix'!P17*'S29 Distances Matrix'!P17</f>
        <v>0</v>
      </c>
      <c r="Q17" s="3">
        <f>'S28 Transportation Matrix'!Q17*'S29 Distances Matrix'!Q17</f>
        <v>0</v>
      </c>
      <c r="R17" s="3">
        <f>'S28 Transportation Matrix'!R17*'S29 Distances Matrix'!R17</f>
        <v>0</v>
      </c>
      <c r="S17" s="3">
        <f>'S28 Transportation Matrix'!S17*'S29 Distances Matrix'!S17</f>
        <v>0</v>
      </c>
      <c r="T17" s="3">
        <f>'S28 Transportation Matrix'!T17*'S29 Distances Matrix'!T17</f>
        <v>0</v>
      </c>
      <c r="U17" s="3">
        <f>'S28 Transportation Matrix'!U17*'S29 Distances Matrix'!U17</f>
        <v>0</v>
      </c>
      <c r="V17" s="3">
        <f>'S28 Transportation Matrix'!V17*'S29 Distances Matrix'!V17</f>
        <v>0</v>
      </c>
      <c r="W17" s="3">
        <f>'S28 Transportation Matrix'!W17*'S29 Distances Matrix'!W17</f>
        <v>0</v>
      </c>
      <c r="X17" s="3">
        <f>'S28 Transportation Matrix'!X17*'S29 Distances Matrix'!X17</f>
        <v>0</v>
      </c>
      <c r="Y17" s="3">
        <f>'S28 Transportation Matrix'!Y17*'S29 Distances Matrix'!Y17</f>
        <v>0</v>
      </c>
      <c r="Z17" s="3">
        <f>'S28 Transportation Matrix'!Z17*'S29 Distances Matrix'!Z17</f>
        <v>0</v>
      </c>
      <c r="AA17" s="3">
        <f>'S28 Transportation Matrix'!AA17*'S29 Distances Matrix'!AA17</f>
        <v>0</v>
      </c>
      <c r="AB17" s="3">
        <f>'S28 Transportation Matrix'!AB17*'S29 Distances Matrix'!AB17</f>
        <v>0</v>
      </c>
      <c r="AC17" s="3">
        <f>'S28 Transportation Matrix'!AC17*'S29 Distances Matrix'!AC17</f>
        <v>0</v>
      </c>
      <c r="AD17" s="3">
        <f>'S28 Transportation Matrix'!AD17*'S29 Distances Matrix'!AD17</f>
        <v>0</v>
      </c>
      <c r="AE17" s="3">
        <f>'S28 Transportation Matrix'!AE17*'S29 Distances Matrix'!AE17</f>
        <v>0</v>
      </c>
      <c r="AF17" s="3">
        <f>'S28 Transportation Matrix'!AF17*'S29 Distances Matrix'!AF17</f>
        <v>0</v>
      </c>
      <c r="AG17" s="3">
        <f>'S28 Transportation Matrix'!AG17*'S29 Distances Matrix'!AG17</f>
        <v>0</v>
      </c>
      <c r="AH17" s="3">
        <f>'S28 Transportation Matrix'!AH17*'S29 Distances Matrix'!AH17</f>
        <v>0</v>
      </c>
      <c r="AI17" s="3">
        <f>'S28 Transportation Matrix'!AI17*'S29 Distances Matrix'!AI17</f>
        <v>0</v>
      </c>
      <c r="AJ17" s="3">
        <f>'S28 Transportation Matrix'!AJ17*'S29 Distances Matrix'!AJ17</f>
        <v>0</v>
      </c>
      <c r="AK17" s="3">
        <f>'S28 Transportation Matrix'!AK17*'S29 Distances Matrix'!AK17</f>
        <v>0</v>
      </c>
      <c r="AL17" s="3">
        <f>'S28 Transportation Matrix'!AL17*'S29 Distances Matrix'!AL17</f>
        <v>0</v>
      </c>
      <c r="AM17" s="3">
        <f>'S28 Transportation Matrix'!AM17*'S29 Distances Matrix'!AM17</f>
        <v>0</v>
      </c>
      <c r="AN17" s="3">
        <f>'S28 Transportation Matrix'!AN17*'S29 Distances Matrix'!AN17</f>
        <v>0</v>
      </c>
      <c r="AO17" s="3">
        <f>'S28 Transportation Matrix'!AO17*'S29 Distances Matrix'!AO17</f>
        <v>0</v>
      </c>
      <c r="AP17" s="3">
        <f>'S28 Transportation Matrix'!AP17*'S29 Distances Matrix'!AP17</f>
        <v>0</v>
      </c>
      <c r="AQ17" s="3">
        <f>'S28 Transportation Matrix'!AQ17*'S29 Distances Matrix'!AQ17</f>
        <v>0</v>
      </c>
      <c r="AR17" s="3">
        <f>'S28 Transportation Matrix'!AR17*'S29 Distances Matrix'!AR17</f>
        <v>0</v>
      </c>
      <c r="AS17" s="3">
        <f>'S28 Transportation Matrix'!AS17*'S29 Distances Matrix'!AS17</f>
        <v>0</v>
      </c>
    </row>
    <row r="18" spans="1:45">
      <c r="A18" s="392" t="s">
        <v>1061</v>
      </c>
      <c r="B18" s="3">
        <f>'S28 Transportation Matrix'!B18*'S29 Distances Matrix'!B18</f>
        <v>0</v>
      </c>
      <c r="C18" s="3">
        <f>'S28 Transportation Matrix'!C18*'S29 Distances Matrix'!C18</f>
        <v>0</v>
      </c>
      <c r="D18" s="3">
        <f>'S28 Transportation Matrix'!D18*'S29 Distances Matrix'!D18</f>
        <v>0</v>
      </c>
      <c r="E18" s="3">
        <f>'S28 Transportation Matrix'!E18*'S29 Distances Matrix'!E18</f>
        <v>0</v>
      </c>
      <c r="F18" s="3">
        <f>'S28 Transportation Matrix'!F18*'S29 Distances Matrix'!F18</f>
        <v>0</v>
      </c>
      <c r="G18" s="3">
        <f>'S28 Transportation Matrix'!G18*'S29 Distances Matrix'!G18</f>
        <v>0</v>
      </c>
      <c r="H18" s="3">
        <f>'S28 Transportation Matrix'!H18*'S29 Distances Matrix'!H18</f>
        <v>0</v>
      </c>
      <c r="I18" s="3">
        <f>'S28 Transportation Matrix'!I18*'S29 Distances Matrix'!I18</f>
        <v>0</v>
      </c>
      <c r="J18" s="3">
        <f>'S28 Transportation Matrix'!J18*'S29 Distances Matrix'!J18</f>
        <v>0</v>
      </c>
      <c r="K18" s="3">
        <f>'S28 Transportation Matrix'!K18*'S29 Distances Matrix'!K18</f>
        <v>0</v>
      </c>
      <c r="L18" s="3">
        <f>'S28 Transportation Matrix'!L18*'S29 Distances Matrix'!L18</f>
        <v>0</v>
      </c>
      <c r="M18" s="3">
        <f>'S28 Transportation Matrix'!M18*'S29 Distances Matrix'!M18</f>
        <v>0</v>
      </c>
      <c r="N18" s="3">
        <f>'S28 Transportation Matrix'!N18*'S29 Distances Matrix'!N18</f>
        <v>0</v>
      </c>
      <c r="O18" s="3">
        <f>'S28 Transportation Matrix'!O18*'S29 Distances Matrix'!O18</f>
        <v>0</v>
      </c>
      <c r="P18" s="3">
        <f>'S28 Transportation Matrix'!P18*'S29 Distances Matrix'!P18</f>
        <v>0</v>
      </c>
      <c r="Q18" s="3">
        <f>'S28 Transportation Matrix'!Q18*'S29 Distances Matrix'!Q18</f>
        <v>0</v>
      </c>
      <c r="R18" s="3">
        <f>'S28 Transportation Matrix'!R18*'S29 Distances Matrix'!R18</f>
        <v>0</v>
      </c>
      <c r="S18" s="3">
        <f>'S28 Transportation Matrix'!S18*'S29 Distances Matrix'!S18</f>
        <v>0</v>
      </c>
      <c r="T18" s="3">
        <f>'S28 Transportation Matrix'!T18*'S29 Distances Matrix'!T18</f>
        <v>0</v>
      </c>
      <c r="U18" s="3">
        <f>'S28 Transportation Matrix'!U18*'S29 Distances Matrix'!U18</f>
        <v>0</v>
      </c>
      <c r="V18" s="3">
        <f>'S28 Transportation Matrix'!V18*'S29 Distances Matrix'!V18</f>
        <v>0</v>
      </c>
      <c r="W18" s="3">
        <f>'S28 Transportation Matrix'!W18*'S29 Distances Matrix'!W18</f>
        <v>0</v>
      </c>
      <c r="X18" s="3">
        <f>'S28 Transportation Matrix'!X18*'S29 Distances Matrix'!X18</f>
        <v>0</v>
      </c>
      <c r="Y18" s="3">
        <f>'S28 Transportation Matrix'!Y18*'S29 Distances Matrix'!Y18</f>
        <v>0</v>
      </c>
      <c r="Z18" s="3">
        <f>'S28 Transportation Matrix'!Z18*'S29 Distances Matrix'!Z18</f>
        <v>0</v>
      </c>
      <c r="AA18" s="3">
        <f>'S28 Transportation Matrix'!AA18*'S29 Distances Matrix'!AA18</f>
        <v>0</v>
      </c>
      <c r="AB18" s="3">
        <f>'S28 Transportation Matrix'!AB18*'S29 Distances Matrix'!AB18</f>
        <v>0</v>
      </c>
      <c r="AC18" s="3">
        <f>'S28 Transportation Matrix'!AC18*'S29 Distances Matrix'!AC18</f>
        <v>0</v>
      </c>
      <c r="AD18" s="3">
        <f>'S28 Transportation Matrix'!AD18*'S29 Distances Matrix'!AD18</f>
        <v>0</v>
      </c>
      <c r="AE18" s="3">
        <f>'S28 Transportation Matrix'!AE18*'S29 Distances Matrix'!AE18</f>
        <v>0</v>
      </c>
      <c r="AF18" s="3">
        <f>'S28 Transportation Matrix'!AF18*'S29 Distances Matrix'!AF18</f>
        <v>0</v>
      </c>
      <c r="AG18" s="3">
        <f>'S28 Transportation Matrix'!AG18*'S29 Distances Matrix'!AG18</f>
        <v>0</v>
      </c>
      <c r="AH18" s="3">
        <f>'S28 Transportation Matrix'!AH18*'S29 Distances Matrix'!AH18</f>
        <v>0</v>
      </c>
      <c r="AI18" s="3">
        <f>'S28 Transportation Matrix'!AI18*'S29 Distances Matrix'!AI18</f>
        <v>0</v>
      </c>
      <c r="AJ18" s="3">
        <f>'S28 Transportation Matrix'!AJ18*'S29 Distances Matrix'!AJ18</f>
        <v>0</v>
      </c>
      <c r="AK18" s="3">
        <f>'S28 Transportation Matrix'!AK18*'S29 Distances Matrix'!AK18</f>
        <v>0</v>
      </c>
      <c r="AL18" s="3">
        <f>'S28 Transportation Matrix'!AL18*'S29 Distances Matrix'!AL18</f>
        <v>0</v>
      </c>
      <c r="AM18" s="3">
        <f>'S28 Transportation Matrix'!AM18*'S29 Distances Matrix'!AM18</f>
        <v>0</v>
      </c>
      <c r="AN18" s="3">
        <f>'S28 Transportation Matrix'!AN18*'S29 Distances Matrix'!AN18</f>
        <v>0</v>
      </c>
      <c r="AO18" s="3">
        <f>'S28 Transportation Matrix'!AO18*'S29 Distances Matrix'!AO18</f>
        <v>0</v>
      </c>
      <c r="AP18" s="3">
        <f>'S28 Transportation Matrix'!AP18*'S29 Distances Matrix'!AP18</f>
        <v>0</v>
      </c>
      <c r="AQ18" s="3">
        <f>'S28 Transportation Matrix'!AQ18*'S29 Distances Matrix'!AQ18</f>
        <v>0</v>
      </c>
      <c r="AR18" s="3">
        <f>'S28 Transportation Matrix'!AR18*'S29 Distances Matrix'!AR18</f>
        <v>0</v>
      </c>
      <c r="AS18" s="3">
        <f>'S28 Transportation Matrix'!AS18*'S29 Distances Matrix'!AS18</f>
        <v>0</v>
      </c>
    </row>
    <row r="19" spans="1:45">
      <c r="A19" s="392" t="s">
        <v>1063</v>
      </c>
      <c r="B19" s="3">
        <f>'S28 Transportation Matrix'!B19*'S29 Distances Matrix'!B19</f>
        <v>0</v>
      </c>
      <c r="C19" s="3">
        <f>'S28 Transportation Matrix'!C19*'S29 Distances Matrix'!C19</f>
        <v>0</v>
      </c>
      <c r="D19" s="3">
        <f>'S28 Transportation Matrix'!D19*'S29 Distances Matrix'!D19</f>
        <v>0</v>
      </c>
      <c r="E19" s="3">
        <f>'S28 Transportation Matrix'!E19*'S29 Distances Matrix'!E19</f>
        <v>0</v>
      </c>
      <c r="F19" s="3">
        <f>'S28 Transportation Matrix'!F19*'S29 Distances Matrix'!F19</f>
        <v>0</v>
      </c>
      <c r="G19" s="3">
        <f>'S28 Transportation Matrix'!G19*'S29 Distances Matrix'!G19</f>
        <v>0</v>
      </c>
      <c r="H19" s="3">
        <f>'S28 Transportation Matrix'!H19*'S29 Distances Matrix'!H19</f>
        <v>0</v>
      </c>
      <c r="I19" s="3">
        <f>'S28 Transportation Matrix'!I19*'S29 Distances Matrix'!I19</f>
        <v>0</v>
      </c>
      <c r="J19" s="3">
        <f>'S28 Transportation Matrix'!J19*'S29 Distances Matrix'!J19</f>
        <v>0</v>
      </c>
      <c r="K19" s="3">
        <f>'S28 Transportation Matrix'!K19*'S29 Distances Matrix'!K19</f>
        <v>0</v>
      </c>
      <c r="L19" s="3">
        <f>'S28 Transportation Matrix'!L19*'S29 Distances Matrix'!L19</f>
        <v>0</v>
      </c>
      <c r="M19" s="3">
        <f>'S28 Transportation Matrix'!M19*'S29 Distances Matrix'!M19</f>
        <v>0</v>
      </c>
      <c r="N19" s="3">
        <f>'S28 Transportation Matrix'!N19*'S29 Distances Matrix'!N19</f>
        <v>0</v>
      </c>
      <c r="O19" s="3">
        <f>'S28 Transportation Matrix'!O19*'S29 Distances Matrix'!O19</f>
        <v>0</v>
      </c>
      <c r="P19" s="3">
        <f>'S28 Transportation Matrix'!P19*'S29 Distances Matrix'!P19</f>
        <v>0</v>
      </c>
      <c r="Q19" s="3">
        <f>'S28 Transportation Matrix'!Q19*'S29 Distances Matrix'!Q19</f>
        <v>0</v>
      </c>
      <c r="R19" s="3">
        <f>'S28 Transportation Matrix'!R19*'S29 Distances Matrix'!R19</f>
        <v>0</v>
      </c>
      <c r="S19" s="3">
        <f>'S28 Transportation Matrix'!S19*'S29 Distances Matrix'!S19</f>
        <v>0</v>
      </c>
      <c r="T19" s="3">
        <f>'S28 Transportation Matrix'!T19*'S29 Distances Matrix'!T19</f>
        <v>0</v>
      </c>
      <c r="U19" s="3">
        <f>'S28 Transportation Matrix'!U19*'S29 Distances Matrix'!U19</f>
        <v>0</v>
      </c>
      <c r="V19" s="3">
        <f>'S28 Transportation Matrix'!V19*'S29 Distances Matrix'!V19</f>
        <v>0</v>
      </c>
      <c r="W19" s="3">
        <f>'S28 Transportation Matrix'!W19*'S29 Distances Matrix'!W19</f>
        <v>0</v>
      </c>
      <c r="X19" s="3">
        <f>'S28 Transportation Matrix'!X19*'S29 Distances Matrix'!X19</f>
        <v>0</v>
      </c>
      <c r="Y19" s="3">
        <f>'S28 Transportation Matrix'!Y19*'S29 Distances Matrix'!Y19</f>
        <v>0</v>
      </c>
      <c r="Z19" s="3">
        <f>'S28 Transportation Matrix'!Z19*'S29 Distances Matrix'!Z19</f>
        <v>0</v>
      </c>
      <c r="AA19" s="3">
        <f>'S28 Transportation Matrix'!AA19*'S29 Distances Matrix'!AA19</f>
        <v>0</v>
      </c>
      <c r="AB19" s="3">
        <f>'S28 Transportation Matrix'!AB19*'S29 Distances Matrix'!AB19</f>
        <v>0</v>
      </c>
      <c r="AC19" s="3">
        <f>'S28 Transportation Matrix'!AC19*'S29 Distances Matrix'!AC19</f>
        <v>0</v>
      </c>
      <c r="AD19" s="3">
        <f>'S28 Transportation Matrix'!AD19*'S29 Distances Matrix'!AD19</f>
        <v>0</v>
      </c>
      <c r="AE19" s="3">
        <f>'S28 Transportation Matrix'!AE19*'S29 Distances Matrix'!AE19</f>
        <v>0</v>
      </c>
      <c r="AF19" s="3">
        <f>'S28 Transportation Matrix'!AF19*'S29 Distances Matrix'!AF19</f>
        <v>0</v>
      </c>
      <c r="AG19" s="3">
        <f>'S28 Transportation Matrix'!AG19*'S29 Distances Matrix'!AG19</f>
        <v>0</v>
      </c>
      <c r="AH19" s="3">
        <f>'S28 Transportation Matrix'!AH19*'S29 Distances Matrix'!AH19</f>
        <v>0</v>
      </c>
      <c r="AI19" s="3">
        <f>'S28 Transportation Matrix'!AI19*'S29 Distances Matrix'!AI19</f>
        <v>0</v>
      </c>
      <c r="AJ19" s="3">
        <f>'S28 Transportation Matrix'!AJ19*'S29 Distances Matrix'!AJ19</f>
        <v>0</v>
      </c>
      <c r="AK19" s="3">
        <f>'S28 Transportation Matrix'!AK19*'S29 Distances Matrix'!AK19</f>
        <v>0</v>
      </c>
      <c r="AL19" s="3">
        <f>'S28 Transportation Matrix'!AL19*'S29 Distances Matrix'!AL19</f>
        <v>0</v>
      </c>
      <c r="AM19" s="3">
        <f>'S28 Transportation Matrix'!AM19*'S29 Distances Matrix'!AM19</f>
        <v>0</v>
      </c>
      <c r="AN19" s="3">
        <f>'S28 Transportation Matrix'!AN19*'S29 Distances Matrix'!AN19</f>
        <v>0</v>
      </c>
      <c r="AO19" s="3">
        <f>'S28 Transportation Matrix'!AO19*'S29 Distances Matrix'!AO19</f>
        <v>0</v>
      </c>
      <c r="AP19" s="3">
        <f>'S28 Transportation Matrix'!AP19*'S29 Distances Matrix'!AP19</f>
        <v>0</v>
      </c>
      <c r="AQ19" s="3">
        <f>'S28 Transportation Matrix'!AQ19*'S29 Distances Matrix'!AQ19</f>
        <v>0</v>
      </c>
      <c r="AR19" s="3">
        <f>'S28 Transportation Matrix'!AR19*'S29 Distances Matrix'!AR19</f>
        <v>0</v>
      </c>
      <c r="AS19" s="3">
        <f>'S28 Transportation Matrix'!AS19*'S29 Distances Matrix'!AS19</f>
        <v>0</v>
      </c>
    </row>
    <row r="20" spans="1:45">
      <c r="A20" s="392" t="s">
        <v>1065</v>
      </c>
      <c r="B20" s="3">
        <f>'S28 Transportation Matrix'!B20*'S29 Distances Matrix'!B20</f>
        <v>0</v>
      </c>
      <c r="C20" s="3">
        <f>'S28 Transportation Matrix'!C20*'S29 Distances Matrix'!C20</f>
        <v>0</v>
      </c>
      <c r="D20" s="3">
        <f>'S28 Transportation Matrix'!D20*'S29 Distances Matrix'!D20</f>
        <v>0</v>
      </c>
      <c r="E20" s="3">
        <f>'S28 Transportation Matrix'!E20*'S29 Distances Matrix'!E20</f>
        <v>0</v>
      </c>
      <c r="F20" s="3">
        <f>'S28 Transportation Matrix'!F20*'S29 Distances Matrix'!F20</f>
        <v>0</v>
      </c>
      <c r="G20" s="3">
        <f>'S28 Transportation Matrix'!G20*'S29 Distances Matrix'!G20</f>
        <v>0</v>
      </c>
      <c r="H20" s="3">
        <f>'S28 Transportation Matrix'!H20*'S29 Distances Matrix'!H20</f>
        <v>0</v>
      </c>
      <c r="I20" s="3">
        <f>'S28 Transportation Matrix'!I20*'S29 Distances Matrix'!I20</f>
        <v>0</v>
      </c>
      <c r="J20" s="3">
        <f>'S28 Transportation Matrix'!J20*'S29 Distances Matrix'!J20</f>
        <v>0</v>
      </c>
      <c r="K20" s="3">
        <f>'S28 Transportation Matrix'!K20*'S29 Distances Matrix'!K20</f>
        <v>0</v>
      </c>
      <c r="L20" s="3">
        <f>'S28 Transportation Matrix'!L20*'S29 Distances Matrix'!L20</f>
        <v>0</v>
      </c>
      <c r="M20" s="3">
        <f>'S28 Transportation Matrix'!M20*'S29 Distances Matrix'!M20</f>
        <v>0</v>
      </c>
      <c r="N20" s="3">
        <f>'S28 Transportation Matrix'!N20*'S29 Distances Matrix'!N20</f>
        <v>0</v>
      </c>
      <c r="O20" s="3">
        <f>'S28 Transportation Matrix'!O20*'S29 Distances Matrix'!O20</f>
        <v>0</v>
      </c>
      <c r="P20" s="3">
        <f>'S28 Transportation Matrix'!P20*'S29 Distances Matrix'!P20</f>
        <v>0</v>
      </c>
      <c r="Q20" s="3">
        <f>'S28 Transportation Matrix'!Q20*'S29 Distances Matrix'!Q20</f>
        <v>0</v>
      </c>
      <c r="R20" s="3">
        <f>'S28 Transportation Matrix'!R20*'S29 Distances Matrix'!R20</f>
        <v>0</v>
      </c>
      <c r="S20" s="3">
        <f>'S28 Transportation Matrix'!S20*'S29 Distances Matrix'!S20</f>
        <v>0</v>
      </c>
      <c r="T20" s="3">
        <f>'S28 Transportation Matrix'!T20*'S29 Distances Matrix'!T20</f>
        <v>0</v>
      </c>
      <c r="U20" s="3">
        <f>'S28 Transportation Matrix'!U20*'S29 Distances Matrix'!U20</f>
        <v>0</v>
      </c>
      <c r="V20" s="3">
        <f>'S28 Transportation Matrix'!V20*'S29 Distances Matrix'!V20</f>
        <v>0</v>
      </c>
      <c r="W20" s="3">
        <f>'S28 Transportation Matrix'!W20*'S29 Distances Matrix'!W20</f>
        <v>0</v>
      </c>
      <c r="X20" s="3">
        <f>'S28 Transportation Matrix'!X20*'S29 Distances Matrix'!X20</f>
        <v>0</v>
      </c>
      <c r="Y20" s="3">
        <f>'S28 Transportation Matrix'!Y20*'S29 Distances Matrix'!Y20</f>
        <v>0</v>
      </c>
      <c r="Z20" s="3">
        <f>'S28 Transportation Matrix'!Z20*'S29 Distances Matrix'!Z20</f>
        <v>0</v>
      </c>
      <c r="AA20" s="3">
        <f>'S28 Transportation Matrix'!AA20*'S29 Distances Matrix'!AA20</f>
        <v>0</v>
      </c>
      <c r="AB20" s="3">
        <f>'S28 Transportation Matrix'!AB20*'S29 Distances Matrix'!AB20</f>
        <v>0</v>
      </c>
      <c r="AC20" s="3">
        <f>'S28 Transportation Matrix'!AC20*'S29 Distances Matrix'!AC20</f>
        <v>0</v>
      </c>
      <c r="AD20" s="3">
        <f>'S28 Transportation Matrix'!AD20*'S29 Distances Matrix'!AD20</f>
        <v>0</v>
      </c>
      <c r="AE20" s="3">
        <f>'S28 Transportation Matrix'!AE20*'S29 Distances Matrix'!AE20</f>
        <v>0</v>
      </c>
      <c r="AF20" s="3">
        <f>'S28 Transportation Matrix'!AF20*'S29 Distances Matrix'!AF20</f>
        <v>0</v>
      </c>
      <c r="AG20" s="3">
        <f>'S28 Transportation Matrix'!AG20*'S29 Distances Matrix'!AG20</f>
        <v>0</v>
      </c>
      <c r="AH20" s="3">
        <f>'S28 Transportation Matrix'!AH20*'S29 Distances Matrix'!AH20</f>
        <v>0</v>
      </c>
      <c r="AI20" s="3">
        <f>'S28 Transportation Matrix'!AI20*'S29 Distances Matrix'!AI20</f>
        <v>0</v>
      </c>
      <c r="AJ20" s="3">
        <f>'S28 Transportation Matrix'!AJ20*'S29 Distances Matrix'!AJ20</f>
        <v>0</v>
      </c>
      <c r="AK20" s="3">
        <f>'S28 Transportation Matrix'!AK20*'S29 Distances Matrix'!AK20</f>
        <v>0</v>
      </c>
      <c r="AL20" s="3">
        <f>'S28 Transportation Matrix'!AL20*'S29 Distances Matrix'!AL20</f>
        <v>0</v>
      </c>
      <c r="AM20" s="3">
        <f>'S28 Transportation Matrix'!AM20*'S29 Distances Matrix'!AM20</f>
        <v>0</v>
      </c>
      <c r="AN20" s="3">
        <f>'S28 Transportation Matrix'!AN20*'S29 Distances Matrix'!AN20</f>
        <v>0</v>
      </c>
      <c r="AO20" s="3">
        <f>'S28 Transportation Matrix'!AO20*'S29 Distances Matrix'!AO20</f>
        <v>0</v>
      </c>
      <c r="AP20" s="3">
        <f>'S28 Transportation Matrix'!AP20*'S29 Distances Matrix'!AP20</f>
        <v>0</v>
      </c>
      <c r="AQ20" s="3">
        <f>'S28 Transportation Matrix'!AQ20*'S29 Distances Matrix'!AQ20</f>
        <v>0</v>
      </c>
      <c r="AR20" s="3">
        <f>'S28 Transportation Matrix'!AR20*'S29 Distances Matrix'!AR20</f>
        <v>0</v>
      </c>
      <c r="AS20" s="3">
        <f>'S28 Transportation Matrix'!AS20*'S29 Distances Matrix'!AS20</f>
        <v>0</v>
      </c>
    </row>
    <row r="21" spans="1:45">
      <c r="A21" s="392" t="s">
        <v>1067</v>
      </c>
      <c r="B21" s="3">
        <f>'S28 Transportation Matrix'!B21*'S29 Distances Matrix'!B21</f>
        <v>0</v>
      </c>
      <c r="C21" s="3">
        <f>'S28 Transportation Matrix'!C21*'S29 Distances Matrix'!C21</f>
        <v>0</v>
      </c>
      <c r="D21" s="3">
        <f>'S28 Transportation Matrix'!D21*'S29 Distances Matrix'!D21</f>
        <v>0</v>
      </c>
      <c r="E21" s="3">
        <f>'S28 Transportation Matrix'!E21*'S29 Distances Matrix'!E21</f>
        <v>0</v>
      </c>
      <c r="F21" s="3">
        <f>'S28 Transportation Matrix'!F21*'S29 Distances Matrix'!F21</f>
        <v>0</v>
      </c>
      <c r="G21" s="3">
        <f>'S28 Transportation Matrix'!G21*'S29 Distances Matrix'!G21</f>
        <v>0</v>
      </c>
      <c r="H21" s="3">
        <f>'S28 Transportation Matrix'!H21*'S29 Distances Matrix'!H21</f>
        <v>0</v>
      </c>
      <c r="I21" s="3">
        <f>'S28 Transportation Matrix'!I21*'S29 Distances Matrix'!I21</f>
        <v>0</v>
      </c>
      <c r="J21" s="3">
        <f>'S28 Transportation Matrix'!J21*'S29 Distances Matrix'!J21</f>
        <v>0</v>
      </c>
      <c r="K21" s="3">
        <f>'S28 Transportation Matrix'!K21*'S29 Distances Matrix'!K21</f>
        <v>0</v>
      </c>
      <c r="L21" s="3">
        <f>'S28 Transportation Matrix'!L21*'S29 Distances Matrix'!L21</f>
        <v>0</v>
      </c>
      <c r="M21" s="3">
        <f>'S28 Transportation Matrix'!M21*'S29 Distances Matrix'!M21</f>
        <v>0</v>
      </c>
      <c r="N21" s="3">
        <f>'S28 Transportation Matrix'!N21*'S29 Distances Matrix'!N21</f>
        <v>0</v>
      </c>
      <c r="O21" s="3">
        <f>'S28 Transportation Matrix'!O21*'S29 Distances Matrix'!O21</f>
        <v>0</v>
      </c>
      <c r="P21" s="3">
        <f>'S28 Transportation Matrix'!P21*'S29 Distances Matrix'!P21</f>
        <v>0</v>
      </c>
      <c r="Q21" s="3">
        <f>'S28 Transportation Matrix'!Q21*'S29 Distances Matrix'!Q21</f>
        <v>0</v>
      </c>
      <c r="R21" s="3">
        <f>'S28 Transportation Matrix'!R21*'S29 Distances Matrix'!R21</f>
        <v>0</v>
      </c>
      <c r="S21" s="3">
        <f>'S28 Transportation Matrix'!S21*'S29 Distances Matrix'!S21</f>
        <v>0</v>
      </c>
      <c r="T21" s="3">
        <f>'S28 Transportation Matrix'!T21*'S29 Distances Matrix'!T21</f>
        <v>0</v>
      </c>
      <c r="U21" s="3">
        <f>'S28 Transportation Matrix'!U21*'S29 Distances Matrix'!U21</f>
        <v>0</v>
      </c>
      <c r="V21" s="3">
        <f>'S28 Transportation Matrix'!V21*'S29 Distances Matrix'!V21</f>
        <v>0</v>
      </c>
      <c r="W21" s="3">
        <f>'S28 Transportation Matrix'!W21*'S29 Distances Matrix'!W21</f>
        <v>0</v>
      </c>
      <c r="X21" s="3">
        <f>'S28 Transportation Matrix'!X21*'S29 Distances Matrix'!X21</f>
        <v>0</v>
      </c>
      <c r="Y21" s="3">
        <f>'S28 Transportation Matrix'!Y21*'S29 Distances Matrix'!Y21</f>
        <v>2265</v>
      </c>
      <c r="Z21" s="3">
        <f>'S28 Transportation Matrix'!Z21*'S29 Distances Matrix'!Z21</f>
        <v>0</v>
      </c>
      <c r="AA21" s="3">
        <f>'S28 Transportation Matrix'!AA21*'S29 Distances Matrix'!AA21</f>
        <v>0</v>
      </c>
      <c r="AB21" s="3">
        <f>'S28 Transportation Matrix'!AB21*'S29 Distances Matrix'!AB21</f>
        <v>0</v>
      </c>
      <c r="AC21" s="3">
        <f>'S28 Transportation Matrix'!AC21*'S29 Distances Matrix'!AC21</f>
        <v>0</v>
      </c>
      <c r="AD21" s="3">
        <f>'S28 Transportation Matrix'!AD21*'S29 Distances Matrix'!AD21</f>
        <v>0</v>
      </c>
      <c r="AE21" s="3">
        <f>'S28 Transportation Matrix'!AE21*'S29 Distances Matrix'!AE21</f>
        <v>0</v>
      </c>
      <c r="AF21" s="3">
        <f>'S28 Transportation Matrix'!AF21*'S29 Distances Matrix'!AF21</f>
        <v>0</v>
      </c>
      <c r="AG21" s="3">
        <f>'S28 Transportation Matrix'!AG21*'S29 Distances Matrix'!AG21</f>
        <v>0</v>
      </c>
      <c r="AH21" s="3">
        <f>'S28 Transportation Matrix'!AH21*'S29 Distances Matrix'!AH21</f>
        <v>0</v>
      </c>
      <c r="AI21" s="3">
        <f>'S28 Transportation Matrix'!AI21*'S29 Distances Matrix'!AI21</f>
        <v>0</v>
      </c>
      <c r="AJ21" s="3">
        <f>'S28 Transportation Matrix'!AJ21*'S29 Distances Matrix'!AJ21</f>
        <v>0</v>
      </c>
      <c r="AK21" s="3">
        <f>'S28 Transportation Matrix'!AK21*'S29 Distances Matrix'!AK21</f>
        <v>0</v>
      </c>
      <c r="AL21" s="3">
        <f>'S28 Transportation Matrix'!AL21*'S29 Distances Matrix'!AL21</f>
        <v>0</v>
      </c>
      <c r="AM21" s="3">
        <f>'S28 Transportation Matrix'!AM21*'S29 Distances Matrix'!AM21</f>
        <v>0</v>
      </c>
      <c r="AN21" s="3">
        <f>'S28 Transportation Matrix'!AN21*'S29 Distances Matrix'!AN21</f>
        <v>0</v>
      </c>
      <c r="AO21" s="3">
        <f>'S28 Transportation Matrix'!AO21*'S29 Distances Matrix'!AO21</f>
        <v>0</v>
      </c>
      <c r="AP21" s="3">
        <f>'S28 Transportation Matrix'!AP21*'S29 Distances Matrix'!AP21</f>
        <v>0</v>
      </c>
      <c r="AQ21" s="3">
        <f>'S28 Transportation Matrix'!AQ21*'S29 Distances Matrix'!AQ21</f>
        <v>0</v>
      </c>
      <c r="AR21" s="3">
        <f>'S28 Transportation Matrix'!AR21*'S29 Distances Matrix'!AR21</f>
        <v>0</v>
      </c>
      <c r="AS21" s="3">
        <f>'S28 Transportation Matrix'!AS21*'S29 Distances Matrix'!AS21</f>
        <v>0</v>
      </c>
    </row>
    <row r="22" spans="1:45">
      <c r="A22" s="392" t="s">
        <v>1069</v>
      </c>
      <c r="B22" s="3">
        <f>'S28 Transportation Matrix'!B22*'S29 Distances Matrix'!B22</f>
        <v>0</v>
      </c>
      <c r="C22" s="3">
        <f>'S28 Transportation Matrix'!C22*'S29 Distances Matrix'!C22</f>
        <v>0</v>
      </c>
      <c r="D22" s="3">
        <f>'S28 Transportation Matrix'!D22*'S29 Distances Matrix'!D22</f>
        <v>0</v>
      </c>
      <c r="E22" s="3">
        <f>'S28 Transportation Matrix'!E22*'S29 Distances Matrix'!E22</f>
        <v>0</v>
      </c>
      <c r="F22" s="3">
        <f>'S28 Transportation Matrix'!F22*'S29 Distances Matrix'!F22</f>
        <v>0</v>
      </c>
      <c r="G22" s="3">
        <f>'S28 Transportation Matrix'!G22*'S29 Distances Matrix'!G22</f>
        <v>0</v>
      </c>
      <c r="H22" s="3">
        <f>'S28 Transportation Matrix'!H22*'S29 Distances Matrix'!H22</f>
        <v>0</v>
      </c>
      <c r="I22" s="3">
        <f>'S28 Transportation Matrix'!I22*'S29 Distances Matrix'!I22</f>
        <v>0</v>
      </c>
      <c r="J22" s="3">
        <f>'S28 Transportation Matrix'!J22*'S29 Distances Matrix'!J22</f>
        <v>0</v>
      </c>
      <c r="K22" s="3">
        <f>'S28 Transportation Matrix'!K22*'S29 Distances Matrix'!K22</f>
        <v>0</v>
      </c>
      <c r="L22" s="3">
        <f>'S28 Transportation Matrix'!L22*'S29 Distances Matrix'!L22</f>
        <v>0</v>
      </c>
      <c r="M22" s="3">
        <f>'S28 Transportation Matrix'!M22*'S29 Distances Matrix'!M22</f>
        <v>0</v>
      </c>
      <c r="N22" s="3">
        <f>'S28 Transportation Matrix'!N22*'S29 Distances Matrix'!N22</f>
        <v>0</v>
      </c>
      <c r="O22" s="3">
        <f>'S28 Transportation Matrix'!O22*'S29 Distances Matrix'!O22</f>
        <v>0</v>
      </c>
      <c r="P22" s="3">
        <f>'S28 Transportation Matrix'!P22*'S29 Distances Matrix'!P22</f>
        <v>0</v>
      </c>
      <c r="Q22" s="3">
        <f>'S28 Transportation Matrix'!Q22*'S29 Distances Matrix'!Q22</f>
        <v>0</v>
      </c>
      <c r="R22" s="3">
        <f>'S28 Transportation Matrix'!R22*'S29 Distances Matrix'!R22</f>
        <v>0</v>
      </c>
      <c r="S22" s="3">
        <f>'S28 Transportation Matrix'!S22*'S29 Distances Matrix'!S22</f>
        <v>0</v>
      </c>
      <c r="T22" s="3">
        <f>'S28 Transportation Matrix'!T22*'S29 Distances Matrix'!T22</f>
        <v>0</v>
      </c>
      <c r="U22" s="3">
        <f>'S28 Transportation Matrix'!U22*'S29 Distances Matrix'!U22</f>
        <v>0</v>
      </c>
      <c r="V22" s="3">
        <f>'S28 Transportation Matrix'!V22*'S29 Distances Matrix'!V22</f>
        <v>0</v>
      </c>
      <c r="W22" s="3">
        <f>'S28 Transportation Matrix'!W22*'S29 Distances Matrix'!W22</f>
        <v>0</v>
      </c>
      <c r="X22" s="3">
        <f>'S28 Transportation Matrix'!X22*'S29 Distances Matrix'!X22</f>
        <v>0</v>
      </c>
      <c r="Y22" s="3">
        <f>'S28 Transportation Matrix'!Y22*'S29 Distances Matrix'!Y22</f>
        <v>0</v>
      </c>
      <c r="Z22" s="3">
        <f>'S28 Transportation Matrix'!Z22*'S29 Distances Matrix'!Z22</f>
        <v>0</v>
      </c>
      <c r="AA22" s="3">
        <f>'S28 Transportation Matrix'!AA22*'S29 Distances Matrix'!AA22</f>
        <v>0</v>
      </c>
      <c r="AB22" s="3">
        <f>'S28 Transportation Matrix'!AB22*'S29 Distances Matrix'!AB22</f>
        <v>0</v>
      </c>
      <c r="AC22" s="3">
        <f>'S28 Transportation Matrix'!AC22*'S29 Distances Matrix'!AC22</f>
        <v>0</v>
      </c>
      <c r="AD22" s="3">
        <f>'S28 Transportation Matrix'!AD22*'S29 Distances Matrix'!AD22</f>
        <v>0</v>
      </c>
      <c r="AE22" s="3">
        <f>'S28 Transportation Matrix'!AE22*'S29 Distances Matrix'!AE22</f>
        <v>0</v>
      </c>
      <c r="AF22" s="3">
        <f>'S28 Transportation Matrix'!AF22*'S29 Distances Matrix'!AF22</f>
        <v>0</v>
      </c>
      <c r="AG22" s="3">
        <f>'S28 Transportation Matrix'!AG22*'S29 Distances Matrix'!AG22</f>
        <v>0</v>
      </c>
      <c r="AH22" s="3">
        <f>'S28 Transportation Matrix'!AH22*'S29 Distances Matrix'!AH22</f>
        <v>0</v>
      </c>
      <c r="AI22" s="3">
        <f>'S28 Transportation Matrix'!AI22*'S29 Distances Matrix'!AI22</f>
        <v>0</v>
      </c>
      <c r="AJ22" s="3">
        <f>'S28 Transportation Matrix'!AJ22*'S29 Distances Matrix'!AJ22</f>
        <v>0</v>
      </c>
      <c r="AK22" s="3">
        <f>'S28 Transportation Matrix'!AK22*'S29 Distances Matrix'!AK22</f>
        <v>0</v>
      </c>
      <c r="AL22" s="3">
        <f>'S28 Transportation Matrix'!AL22*'S29 Distances Matrix'!AL22</f>
        <v>0</v>
      </c>
      <c r="AM22" s="3">
        <f>'S28 Transportation Matrix'!AM22*'S29 Distances Matrix'!AM22</f>
        <v>0</v>
      </c>
      <c r="AN22" s="3">
        <f>'S28 Transportation Matrix'!AN22*'S29 Distances Matrix'!AN22</f>
        <v>0</v>
      </c>
      <c r="AO22" s="3">
        <f>'S28 Transportation Matrix'!AO22*'S29 Distances Matrix'!AO22</f>
        <v>0</v>
      </c>
      <c r="AP22" s="3">
        <f>'S28 Transportation Matrix'!AP22*'S29 Distances Matrix'!AP22</f>
        <v>0</v>
      </c>
      <c r="AQ22" s="3">
        <f>'S28 Transportation Matrix'!AQ22*'S29 Distances Matrix'!AQ22</f>
        <v>0</v>
      </c>
      <c r="AR22" s="3">
        <f>'S28 Transportation Matrix'!AR22*'S29 Distances Matrix'!AR22</f>
        <v>0</v>
      </c>
      <c r="AS22" s="3">
        <f>'S28 Transportation Matrix'!AS22*'S29 Distances Matrix'!AS22</f>
        <v>0</v>
      </c>
    </row>
    <row r="23" spans="1:45">
      <c r="A23" s="392" t="s">
        <v>1071</v>
      </c>
      <c r="B23" s="3">
        <f>'S28 Transportation Matrix'!B23*'S29 Distances Matrix'!B23</f>
        <v>0</v>
      </c>
      <c r="C23" s="3">
        <f>'S28 Transportation Matrix'!C23*'S29 Distances Matrix'!C23</f>
        <v>0</v>
      </c>
      <c r="D23" s="3">
        <f>'S28 Transportation Matrix'!D23*'S29 Distances Matrix'!D23</f>
        <v>0</v>
      </c>
      <c r="E23" s="3">
        <f>'S28 Transportation Matrix'!E23*'S29 Distances Matrix'!E23</f>
        <v>0</v>
      </c>
      <c r="F23" s="3">
        <f>'S28 Transportation Matrix'!F23*'S29 Distances Matrix'!F23</f>
        <v>0</v>
      </c>
      <c r="G23" s="3">
        <f>'S28 Transportation Matrix'!G23*'S29 Distances Matrix'!G23</f>
        <v>0</v>
      </c>
      <c r="H23" s="3">
        <f>'S28 Transportation Matrix'!H23*'S29 Distances Matrix'!H23</f>
        <v>0</v>
      </c>
      <c r="I23" s="3">
        <f>'S28 Transportation Matrix'!I23*'S29 Distances Matrix'!I23</f>
        <v>0</v>
      </c>
      <c r="J23" s="3">
        <f>'S28 Transportation Matrix'!J23*'S29 Distances Matrix'!J23</f>
        <v>0</v>
      </c>
      <c r="K23" s="3">
        <f>'S28 Transportation Matrix'!K23*'S29 Distances Matrix'!K23</f>
        <v>0</v>
      </c>
      <c r="L23" s="3">
        <f>'S28 Transportation Matrix'!L23*'S29 Distances Matrix'!L23</f>
        <v>0</v>
      </c>
      <c r="M23" s="3">
        <f>'S28 Transportation Matrix'!M23*'S29 Distances Matrix'!M23</f>
        <v>0</v>
      </c>
      <c r="N23" s="3">
        <f>'S28 Transportation Matrix'!N23*'S29 Distances Matrix'!N23</f>
        <v>0</v>
      </c>
      <c r="O23" s="3">
        <f>'S28 Transportation Matrix'!O23*'S29 Distances Matrix'!O23</f>
        <v>0</v>
      </c>
      <c r="P23" s="3">
        <f>'S28 Transportation Matrix'!P23*'S29 Distances Matrix'!P23</f>
        <v>0</v>
      </c>
      <c r="Q23" s="3">
        <f>'S28 Transportation Matrix'!Q23*'S29 Distances Matrix'!Q23</f>
        <v>0</v>
      </c>
      <c r="R23" s="3">
        <f>'S28 Transportation Matrix'!R23*'S29 Distances Matrix'!R23</f>
        <v>0</v>
      </c>
      <c r="S23" s="3">
        <f>'S28 Transportation Matrix'!S23*'S29 Distances Matrix'!S23</f>
        <v>0</v>
      </c>
      <c r="T23" s="3">
        <f>'S28 Transportation Matrix'!T23*'S29 Distances Matrix'!T23</f>
        <v>0</v>
      </c>
      <c r="U23" s="3">
        <f>'S28 Transportation Matrix'!U23*'S29 Distances Matrix'!U23</f>
        <v>0</v>
      </c>
      <c r="V23" s="3">
        <f>'S28 Transportation Matrix'!V23*'S29 Distances Matrix'!V23</f>
        <v>0</v>
      </c>
      <c r="W23" s="3">
        <f>'S28 Transportation Matrix'!W23*'S29 Distances Matrix'!W23</f>
        <v>0</v>
      </c>
      <c r="X23" s="3">
        <f>'S28 Transportation Matrix'!X23*'S29 Distances Matrix'!X23</f>
        <v>0</v>
      </c>
      <c r="Y23" s="3">
        <f>'S28 Transportation Matrix'!Y23*'S29 Distances Matrix'!Y23</f>
        <v>0</v>
      </c>
      <c r="Z23" s="3">
        <f>'S28 Transportation Matrix'!Z23*'S29 Distances Matrix'!Z23</f>
        <v>0</v>
      </c>
      <c r="AA23" s="3">
        <f>'S28 Transportation Matrix'!AA23*'S29 Distances Matrix'!AA23</f>
        <v>1725</v>
      </c>
      <c r="AB23" s="3">
        <f>'S28 Transportation Matrix'!AB23*'S29 Distances Matrix'!AB23</f>
        <v>0</v>
      </c>
      <c r="AC23" s="3">
        <f>'S28 Transportation Matrix'!AC23*'S29 Distances Matrix'!AC23</f>
        <v>0</v>
      </c>
      <c r="AD23" s="3">
        <f>'S28 Transportation Matrix'!AD23*'S29 Distances Matrix'!AD23</f>
        <v>0</v>
      </c>
      <c r="AE23" s="3">
        <f>'S28 Transportation Matrix'!AE23*'S29 Distances Matrix'!AE23</f>
        <v>0</v>
      </c>
      <c r="AF23" s="3">
        <f>'S28 Transportation Matrix'!AF23*'S29 Distances Matrix'!AF23</f>
        <v>0</v>
      </c>
      <c r="AG23" s="3">
        <f>'S28 Transportation Matrix'!AG23*'S29 Distances Matrix'!AG23</f>
        <v>0</v>
      </c>
      <c r="AH23" s="3">
        <f>'S28 Transportation Matrix'!AH23*'S29 Distances Matrix'!AH23</f>
        <v>0</v>
      </c>
      <c r="AI23" s="3">
        <f>'S28 Transportation Matrix'!AI23*'S29 Distances Matrix'!AI23</f>
        <v>0</v>
      </c>
      <c r="AJ23" s="3">
        <f>'S28 Transportation Matrix'!AJ23*'S29 Distances Matrix'!AJ23</f>
        <v>0</v>
      </c>
      <c r="AK23" s="3">
        <f>'S28 Transportation Matrix'!AK23*'S29 Distances Matrix'!AK23</f>
        <v>0</v>
      </c>
      <c r="AL23" s="3">
        <f>'S28 Transportation Matrix'!AL23*'S29 Distances Matrix'!AL23</f>
        <v>0</v>
      </c>
      <c r="AM23" s="3">
        <f>'S28 Transportation Matrix'!AM23*'S29 Distances Matrix'!AM23</f>
        <v>0</v>
      </c>
      <c r="AN23" s="3">
        <f>'S28 Transportation Matrix'!AN23*'S29 Distances Matrix'!AN23</f>
        <v>0</v>
      </c>
      <c r="AO23" s="3">
        <f>'S28 Transportation Matrix'!AO23*'S29 Distances Matrix'!AO23</f>
        <v>0</v>
      </c>
      <c r="AP23" s="3">
        <f>'S28 Transportation Matrix'!AP23*'S29 Distances Matrix'!AP23</f>
        <v>0</v>
      </c>
      <c r="AQ23" s="3">
        <f>'S28 Transportation Matrix'!AQ23*'S29 Distances Matrix'!AQ23</f>
        <v>0</v>
      </c>
      <c r="AR23" s="3">
        <f>'S28 Transportation Matrix'!AR23*'S29 Distances Matrix'!AR23</f>
        <v>0</v>
      </c>
      <c r="AS23" s="3">
        <f>'S28 Transportation Matrix'!AS23*'S29 Distances Matrix'!AS23</f>
        <v>0</v>
      </c>
    </row>
    <row r="24" spans="1:45">
      <c r="A24" s="392" t="s">
        <v>1072</v>
      </c>
      <c r="B24" s="3">
        <f>'S28 Transportation Matrix'!B24*'S29 Distances Matrix'!B24</f>
        <v>0</v>
      </c>
      <c r="C24" s="3">
        <f>'S28 Transportation Matrix'!C24*'S29 Distances Matrix'!C24</f>
        <v>0</v>
      </c>
      <c r="D24" s="3">
        <f>'S28 Transportation Matrix'!D24*'S29 Distances Matrix'!D24</f>
        <v>0</v>
      </c>
      <c r="E24" s="3">
        <f>'S28 Transportation Matrix'!E24*'S29 Distances Matrix'!E24</f>
        <v>0</v>
      </c>
      <c r="F24" s="3">
        <f>'S28 Transportation Matrix'!F24*'S29 Distances Matrix'!F24</f>
        <v>0</v>
      </c>
      <c r="G24" s="3">
        <f>'S28 Transportation Matrix'!G24*'S29 Distances Matrix'!G24</f>
        <v>0</v>
      </c>
      <c r="H24" s="3">
        <f>'S28 Transportation Matrix'!H24*'S29 Distances Matrix'!H24</f>
        <v>0</v>
      </c>
      <c r="I24" s="3">
        <f>'S28 Transportation Matrix'!I24*'S29 Distances Matrix'!I24</f>
        <v>0</v>
      </c>
      <c r="J24" s="3">
        <f>'S28 Transportation Matrix'!J24*'S29 Distances Matrix'!J24</f>
        <v>0</v>
      </c>
      <c r="K24" s="3">
        <f>'S28 Transportation Matrix'!K24*'S29 Distances Matrix'!K24</f>
        <v>0</v>
      </c>
      <c r="L24" s="3">
        <f>'S28 Transportation Matrix'!L24*'S29 Distances Matrix'!L24</f>
        <v>0</v>
      </c>
      <c r="M24" s="3">
        <f>'S28 Transportation Matrix'!M24*'S29 Distances Matrix'!M24</f>
        <v>0</v>
      </c>
      <c r="N24" s="3">
        <f>'S28 Transportation Matrix'!N24*'S29 Distances Matrix'!N24</f>
        <v>0</v>
      </c>
      <c r="O24" s="3">
        <f>'S28 Transportation Matrix'!O24*'S29 Distances Matrix'!O24</f>
        <v>0</v>
      </c>
      <c r="P24" s="3">
        <f>'S28 Transportation Matrix'!P24*'S29 Distances Matrix'!P24</f>
        <v>0</v>
      </c>
      <c r="Q24" s="3">
        <f>'S28 Transportation Matrix'!Q24*'S29 Distances Matrix'!Q24</f>
        <v>0</v>
      </c>
      <c r="R24" s="3">
        <f>'S28 Transportation Matrix'!R24*'S29 Distances Matrix'!R24</f>
        <v>0</v>
      </c>
      <c r="S24" s="3">
        <f>'S28 Transportation Matrix'!S24*'S29 Distances Matrix'!S24</f>
        <v>0</v>
      </c>
      <c r="T24" s="3">
        <f>'S28 Transportation Matrix'!T24*'S29 Distances Matrix'!T24</f>
        <v>0</v>
      </c>
      <c r="U24" s="3">
        <f>'S28 Transportation Matrix'!U24*'S29 Distances Matrix'!U24</f>
        <v>0</v>
      </c>
      <c r="V24" s="3">
        <f>'S28 Transportation Matrix'!V24*'S29 Distances Matrix'!V24</f>
        <v>0</v>
      </c>
      <c r="W24" s="3">
        <f>'S28 Transportation Matrix'!W24*'S29 Distances Matrix'!W24</f>
        <v>0</v>
      </c>
      <c r="X24" s="3">
        <f>'S28 Transportation Matrix'!X24*'S29 Distances Matrix'!X24</f>
        <v>0</v>
      </c>
      <c r="Y24" s="3">
        <f>'S28 Transportation Matrix'!Y24*'S29 Distances Matrix'!Y24</f>
        <v>0</v>
      </c>
      <c r="Z24" s="3">
        <f>'S28 Transportation Matrix'!Z24*'S29 Distances Matrix'!Z24</f>
        <v>0</v>
      </c>
      <c r="AA24" s="3">
        <f>'S28 Transportation Matrix'!AA24*'S29 Distances Matrix'!AA24</f>
        <v>0</v>
      </c>
      <c r="AB24" s="3">
        <f>'S28 Transportation Matrix'!AB24*'S29 Distances Matrix'!AB24</f>
        <v>0</v>
      </c>
      <c r="AC24" s="3">
        <f>'S28 Transportation Matrix'!AC24*'S29 Distances Matrix'!AC24</f>
        <v>2136</v>
      </c>
      <c r="AD24" s="3">
        <f>'S28 Transportation Matrix'!AD24*'S29 Distances Matrix'!AD24</f>
        <v>0</v>
      </c>
      <c r="AE24" s="3">
        <f>'S28 Transportation Matrix'!AE24*'S29 Distances Matrix'!AE24</f>
        <v>0</v>
      </c>
      <c r="AF24" s="3">
        <f>'S28 Transportation Matrix'!AF24*'S29 Distances Matrix'!AF24</f>
        <v>0</v>
      </c>
      <c r="AG24" s="3">
        <f>'S28 Transportation Matrix'!AG24*'S29 Distances Matrix'!AG24</f>
        <v>0</v>
      </c>
      <c r="AH24" s="3">
        <f>'S28 Transportation Matrix'!AH24*'S29 Distances Matrix'!AH24</f>
        <v>0</v>
      </c>
      <c r="AI24" s="3">
        <f>'S28 Transportation Matrix'!AI24*'S29 Distances Matrix'!AI24</f>
        <v>0</v>
      </c>
      <c r="AJ24" s="3">
        <f>'S28 Transportation Matrix'!AJ24*'S29 Distances Matrix'!AJ24</f>
        <v>0</v>
      </c>
      <c r="AK24" s="3">
        <f>'S28 Transportation Matrix'!AK24*'S29 Distances Matrix'!AK24</f>
        <v>0</v>
      </c>
      <c r="AL24" s="3">
        <f>'S28 Transportation Matrix'!AL24*'S29 Distances Matrix'!AL24</f>
        <v>0</v>
      </c>
      <c r="AM24" s="3">
        <f>'S28 Transportation Matrix'!AM24*'S29 Distances Matrix'!AM24</f>
        <v>0</v>
      </c>
      <c r="AN24" s="3">
        <f>'S28 Transportation Matrix'!AN24*'S29 Distances Matrix'!AN24</f>
        <v>0</v>
      </c>
      <c r="AO24" s="3">
        <f>'S28 Transportation Matrix'!AO24*'S29 Distances Matrix'!AO24</f>
        <v>0</v>
      </c>
      <c r="AP24" s="3">
        <f>'S28 Transportation Matrix'!AP24*'S29 Distances Matrix'!AP24</f>
        <v>0</v>
      </c>
      <c r="AQ24" s="3">
        <f>'S28 Transportation Matrix'!AQ24*'S29 Distances Matrix'!AQ24</f>
        <v>0</v>
      </c>
      <c r="AR24" s="3">
        <f>'S28 Transportation Matrix'!AR24*'S29 Distances Matrix'!AR24</f>
        <v>0</v>
      </c>
      <c r="AS24" s="3">
        <f>'S28 Transportation Matrix'!AS24*'S29 Distances Matrix'!AS24</f>
        <v>0</v>
      </c>
    </row>
    <row r="25" spans="1:45">
      <c r="A25" s="392" t="s">
        <v>1074</v>
      </c>
      <c r="B25" s="3">
        <f>'S28 Transportation Matrix'!B25*'S29 Distances Matrix'!B25</f>
        <v>0</v>
      </c>
      <c r="C25" s="3">
        <f>'S28 Transportation Matrix'!C25*'S29 Distances Matrix'!C25</f>
        <v>0</v>
      </c>
      <c r="D25" s="3">
        <f>'S28 Transportation Matrix'!D25*'S29 Distances Matrix'!D25</f>
        <v>0</v>
      </c>
      <c r="E25" s="3">
        <f>'S28 Transportation Matrix'!E25*'S29 Distances Matrix'!E25</f>
        <v>0</v>
      </c>
      <c r="F25" s="3">
        <f>'S28 Transportation Matrix'!F25*'S29 Distances Matrix'!F25</f>
        <v>0</v>
      </c>
      <c r="G25" s="3">
        <f>'S28 Transportation Matrix'!G25*'S29 Distances Matrix'!G25</f>
        <v>0</v>
      </c>
      <c r="H25" s="3">
        <f>'S28 Transportation Matrix'!H25*'S29 Distances Matrix'!H25</f>
        <v>0</v>
      </c>
      <c r="I25" s="3">
        <f>'S28 Transportation Matrix'!I25*'S29 Distances Matrix'!I25</f>
        <v>0</v>
      </c>
      <c r="J25" s="3">
        <f>'S28 Transportation Matrix'!J25*'S29 Distances Matrix'!J25</f>
        <v>0</v>
      </c>
      <c r="K25" s="3">
        <f>'S28 Transportation Matrix'!K25*'S29 Distances Matrix'!K25</f>
        <v>0</v>
      </c>
      <c r="L25" s="3">
        <f>'S28 Transportation Matrix'!L25*'S29 Distances Matrix'!L25</f>
        <v>0</v>
      </c>
      <c r="M25" s="3">
        <f>'S28 Transportation Matrix'!M25*'S29 Distances Matrix'!M25</f>
        <v>0</v>
      </c>
      <c r="N25" s="3">
        <f>'S28 Transportation Matrix'!N25*'S29 Distances Matrix'!N25</f>
        <v>0</v>
      </c>
      <c r="O25" s="3">
        <f>'S28 Transportation Matrix'!O25*'S29 Distances Matrix'!O25</f>
        <v>0</v>
      </c>
      <c r="P25" s="3">
        <f>'S28 Transportation Matrix'!P25*'S29 Distances Matrix'!P25</f>
        <v>0</v>
      </c>
      <c r="Q25" s="3">
        <f>'S28 Transportation Matrix'!Q25*'S29 Distances Matrix'!Q25</f>
        <v>0</v>
      </c>
      <c r="R25" s="3">
        <f>'S28 Transportation Matrix'!R25*'S29 Distances Matrix'!R25</f>
        <v>0</v>
      </c>
      <c r="S25" s="3">
        <f>'S28 Transportation Matrix'!S25*'S29 Distances Matrix'!S25</f>
        <v>0</v>
      </c>
      <c r="T25" s="3">
        <f>'S28 Transportation Matrix'!T25*'S29 Distances Matrix'!T25</f>
        <v>0</v>
      </c>
      <c r="U25" s="3">
        <f>'S28 Transportation Matrix'!U25*'S29 Distances Matrix'!U25</f>
        <v>0</v>
      </c>
      <c r="V25" s="3">
        <f>'S28 Transportation Matrix'!V25*'S29 Distances Matrix'!V25</f>
        <v>0</v>
      </c>
      <c r="W25" s="3">
        <f>'S28 Transportation Matrix'!W25*'S29 Distances Matrix'!W25</f>
        <v>0</v>
      </c>
      <c r="X25" s="3">
        <f>'S28 Transportation Matrix'!X25*'S29 Distances Matrix'!X25</f>
        <v>0</v>
      </c>
      <c r="Y25" s="3">
        <f>'S28 Transportation Matrix'!Y25*'S29 Distances Matrix'!Y25</f>
        <v>0</v>
      </c>
      <c r="Z25" s="3">
        <f>'S28 Transportation Matrix'!Z25*'S29 Distances Matrix'!Z25</f>
        <v>0</v>
      </c>
      <c r="AA25" s="3">
        <f>'S28 Transportation Matrix'!AA25*'S29 Distances Matrix'!AA25</f>
        <v>0</v>
      </c>
      <c r="AB25" s="3">
        <f>'S28 Transportation Matrix'!AB25*'S29 Distances Matrix'!AB25</f>
        <v>0</v>
      </c>
      <c r="AC25" s="3">
        <f>'S28 Transportation Matrix'!AC25*'S29 Distances Matrix'!AC25</f>
        <v>0</v>
      </c>
      <c r="AD25" s="3">
        <f>'S28 Transportation Matrix'!AD25*'S29 Distances Matrix'!AD25</f>
        <v>0</v>
      </c>
      <c r="AE25" s="3">
        <f>'S28 Transportation Matrix'!AE25*'S29 Distances Matrix'!AE25</f>
        <v>0</v>
      </c>
      <c r="AF25" s="3">
        <f>'S28 Transportation Matrix'!AF25*'S29 Distances Matrix'!AF25</f>
        <v>0</v>
      </c>
      <c r="AG25" s="3">
        <f>'S28 Transportation Matrix'!AG25*'S29 Distances Matrix'!AG25</f>
        <v>0</v>
      </c>
      <c r="AH25" s="3">
        <f>'S28 Transportation Matrix'!AH25*'S29 Distances Matrix'!AH25</f>
        <v>0</v>
      </c>
      <c r="AI25" s="3">
        <f>'S28 Transportation Matrix'!AI25*'S29 Distances Matrix'!AI25</f>
        <v>0</v>
      </c>
      <c r="AJ25" s="3">
        <f>'S28 Transportation Matrix'!AJ25*'S29 Distances Matrix'!AJ25</f>
        <v>0</v>
      </c>
      <c r="AK25" s="3">
        <f>'S28 Transportation Matrix'!AK25*'S29 Distances Matrix'!AK25</f>
        <v>0</v>
      </c>
      <c r="AL25" s="3">
        <f>'S28 Transportation Matrix'!AL25*'S29 Distances Matrix'!AL25</f>
        <v>0</v>
      </c>
      <c r="AM25" s="3">
        <f>'S28 Transportation Matrix'!AM25*'S29 Distances Matrix'!AM25</f>
        <v>0</v>
      </c>
      <c r="AN25" s="3">
        <f>'S28 Transportation Matrix'!AN25*'S29 Distances Matrix'!AN25</f>
        <v>0</v>
      </c>
      <c r="AO25" s="3">
        <f>'S28 Transportation Matrix'!AO25*'S29 Distances Matrix'!AO25</f>
        <v>0</v>
      </c>
      <c r="AP25" s="3">
        <f>'S28 Transportation Matrix'!AP25*'S29 Distances Matrix'!AP25</f>
        <v>0</v>
      </c>
      <c r="AQ25" s="3">
        <f>'S28 Transportation Matrix'!AQ25*'S29 Distances Matrix'!AQ25</f>
        <v>0</v>
      </c>
      <c r="AR25" s="3">
        <f>'S28 Transportation Matrix'!AR25*'S29 Distances Matrix'!AR25</f>
        <v>0</v>
      </c>
      <c r="AS25" s="3">
        <f>'S28 Transportation Matrix'!AS25*'S29 Distances Matrix'!AS25</f>
        <v>0</v>
      </c>
    </row>
    <row r="26" spans="1:45">
      <c r="A26" s="392" t="s">
        <v>1076</v>
      </c>
      <c r="B26" s="3">
        <f>'S28 Transportation Matrix'!B26*'S29 Distances Matrix'!B26</f>
        <v>0</v>
      </c>
      <c r="C26" s="3">
        <f>'S28 Transportation Matrix'!C26*'S29 Distances Matrix'!C26</f>
        <v>0</v>
      </c>
      <c r="D26" s="3">
        <f>'S28 Transportation Matrix'!D26*'S29 Distances Matrix'!D26</f>
        <v>0</v>
      </c>
      <c r="E26" s="3">
        <f>'S28 Transportation Matrix'!E26*'S29 Distances Matrix'!E26</f>
        <v>0</v>
      </c>
      <c r="F26" s="3">
        <f>'S28 Transportation Matrix'!F26*'S29 Distances Matrix'!F26</f>
        <v>0</v>
      </c>
      <c r="G26" s="3">
        <f>'S28 Transportation Matrix'!G26*'S29 Distances Matrix'!G26</f>
        <v>0</v>
      </c>
      <c r="H26" s="3">
        <f>'S28 Transportation Matrix'!H26*'S29 Distances Matrix'!H26</f>
        <v>0</v>
      </c>
      <c r="I26" s="3">
        <f>'S28 Transportation Matrix'!I26*'S29 Distances Matrix'!I26</f>
        <v>0</v>
      </c>
      <c r="J26" s="3">
        <f>'S28 Transportation Matrix'!J26*'S29 Distances Matrix'!J26</f>
        <v>0</v>
      </c>
      <c r="K26" s="3">
        <f>'S28 Transportation Matrix'!K26*'S29 Distances Matrix'!K26</f>
        <v>0</v>
      </c>
      <c r="L26" s="3">
        <f>'S28 Transportation Matrix'!L26*'S29 Distances Matrix'!L26</f>
        <v>0</v>
      </c>
      <c r="M26" s="3">
        <f>'S28 Transportation Matrix'!M26*'S29 Distances Matrix'!M26</f>
        <v>0</v>
      </c>
      <c r="N26" s="3">
        <f>'S28 Transportation Matrix'!N26*'S29 Distances Matrix'!N26</f>
        <v>0</v>
      </c>
      <c r="O26" s="3">
        <f>'S28 Transportation Matrix'!O26*'S29 Distances Matrix'!O26</f>
        <v>0</v>
      </c>
      <c r="P26" s="3">
        <f>'S28 Transportation Matrix'!P26*'S29 Distances Matrix'!P26</f>
        <v>0</v>
      </c>
      <c r="Q26" s="3">
        <f>'S28 Transportation Matrix'!Q26*'S29 Distances Matrix'!Q26</f>
        <v>0</v>
      </c>
      <c r="R26" s="3">
        <f>'S28 Transportation Matrix'!R26*'S29 Distances Matrix'!R26</f>
        <v>0</v>
      </c>
      <c r="S26" s="3">
        <f>'S28 Transportation Matrix'!S26*'S29 Distances Matrix'!S26</f>
        <v>0</v>
      </c>
      <c r="T26" s="3">
        <f>'S28 Transportation Matrix'!T26*'S29 Distances Matrix'!T26</f>
        <v>0</v>
      </c>
      <c r="U26" s="3">
        <f>'S28 Transportation Matrix'!U26*'S29 Distances Matrix'!U26</f>
        <v>0</v>
      </c>
      <c r="V26" s="3">
        <f>'S28 Transportation Matrix'!V26*'S29 Distances Matrix'!V26</f>
        <v>0</v>
      </c>
      <c r="W26" s="3">
        <f>'S28 Transportation Matrix'!W26*'S29 Distances Matrix'!W26</f>
        <v>0</v>
      </c>
      <c r="X26" s="3">
        <f>'S28 Transportation Matrix'!X26*'S29 Distances Matrix'!X26</f>
        <v>0</v>
      </c>
      <c r="Y26" s="3">
        <f>'S28 Transportation Matrix'!Y26*'S29 Distances Matrix'!Y26</f>
        <v>0</v>
      </c>
      <c r="Z26" s="3">
        <f>'S28 Transportation Matrix'!Z26*'S29 Distances Matrix'!Z26</f>
        <v>0</v>
      </c>
      <c r="AA26" s="3">
        <f>'S28 Transportation Matrix'!AA26*'S29 Distances Matrix'!AA26</f>
        <v>0</v>
      </c>
      <c r="AB26" s="3">
        <f>'S28 Transportation Matrix'!AB26*'S29 Distances Matrix'!AB26</f>
        <v>0</v>
      </c>
      <c r="AC26" s="3">
        <f>'S28 Transportation Matrix'!AC26*'S29 Distances Matrix'!AC26</f>
        <v>0</v>
      </c>
      <c r="AD26" s="3">
        <f>'S28 Transportation Matrix'!AD26*'S29 Distances Matrix'!AD26</f>
        <v>0</v>
      </c>
      <c r="AE26" s="3">
        <f>'S28 Transportation Matrix'!AE26*'S29 Distances Matrix'!AE26</f>
        <v>0</v>
      </c>
      <c r="AF26" s="3">
        <f>'S28 Transportation Matrix'!AF26*'S29 Distances Matrix'!AF26</f>
        <v>1420</v>
      </c>
      <c r="AG26" s="3">
        <f>'S28 Transportation Matrix'!AG26*'S29 Distances Matrix'!AG26</f>
        <v>0</v>
      </c>
      <c r="AH26" s="3">
        <f>'S28 Transportation Matrix'!AH26*'S29 Distances Matrix'!AH26</f>
        <v>0</v>
      </c>
      <c r="AI26" s="3">
        <f>'S28 Transportation Matrix'!AI26*'S29 Distances Matrix'!AI26</f>
        <v>0</v>
      </c>
      <c r="AJ26" s="3">
        <f>'S28 Transportation Matrix'!AJ26*'S29 Distances Matrix'!AJ26</f>
        <v>0</v>
      </c>
      <c r="AK26" s="3">
        <f>'S28 Transportation Matrix'!AK26*'S29 Distances Matrix'!AK26</f>
        <v>0</v>
      </c>
      <c r="AL26" s="3">
        <f>'S28 Transportation Matrix'!AL26*'S29 Distances Matrix'!AL26</f>
        <v>0</v>
      </c>
      <c r="AM26" s="3">
        <f>'S28 Transportation Matrix'!AM26*'S29 Distances Matrix'!AM26</f>
        <v>0</v>
      </c>
      <c r="AN26" s="3">
        <f>'S28 Transportation Matrix'!AN26*'S29 Distances Matrix'!AN26</f>
        <v>0</v>
      </c>
      <c r="AO26" s="3">
        <f>'S28 Transportation Matrix'!AO26*'S29 Distances Matrix'!AO26</f>
        <v>0</v>
      </c>
      <c r="AP26" s="3">
        <f>'S28 Transportation Matrix'!AP26*'S29 Distances Matrix'!AP26</f>
        <v>0</v>
      </c>
      <c r="AQ26" s="3">
        <f>'S28 Transportation Matrix'!AQ26*'S29 Distances Matrix'!AQ26</f>
        <v>0</v>
      </c>
      <c r="AR26" s="3">
        <f>'S28 Transportation Matrix'!AR26*'S29 Distances Matrix'!AR26</f>
        <v>0</v>
      </c>
      <c r="AS26" s="3">
        <f>'S28 Transportation Matrix'!AS26*'S29 Distances Matrix'!AS26</f>
        <v>0</v>
      </c>
    </row>
    <row r="27" spans="1:45">
      <c r="A27" s="392" t="s">
        <v>1078</v>
      </c>
      <c r="B27" s="3">
        <f>'S28 Transportation Matrix'!B27*'S29 Distances Matrix'!B27</f>
        <v>0</v>
      </c>
      <c r="C27" s="3">
        <f>'S28 Transportation Matrix'!C27*'S29 Distances Matrix'!C27</f>
        <v>0</v>
      </c>
      <c r="D27" s="3">
        <f>'S28 Transportation Matrix'!D27*'S29 Distances Matrix'!D27</f>
        <v>0</v>
      </c>
      <c r="E27" s="3">
        <f>'S28 Transportation Matrix'!E27*'S29 Distances Matrix'!E27</f>
        <v>0</v>
      </c>
      <c r="F27" s="3">
        <f>'S28 Transportation Matrix'!F27*'S29 Distances Matrix'!F27</f>
        <v>0</v>
      </c>
      <c r="G27" s="3">
        <f>'S28 Transportation Matrix'!G27*'S29 Distances Matrix'!G27</f>
        <v>0</v>
      </c>
      <c r="H27" s="3">
        <f>'S28 Transportation Matrix'!H27*'S29 Distances Matrix'!H27</f>
        <v>0</v>
      </c>
      <c r="I27" s="3">
        <f>'S28 Transportation Matrix'!I27*'S29 Distances Matrix'!I27</f>
        <v>0</v>
      </c>
      <c r="J27" s="3">
        <f>'S28 Transportation Matrix'!J27*'S29 Distances Matrix'!J27</f>
        <v>0</v>
      </c>
      <c r="K27" s="3">
        <f>'S28 Transportation Matrix'!K27*'S29 Distances Matrix'!K27</f>
        <v>0</v>
      </c>
      <c r="L27" s="3">
        <f>'S28 Transportation Matrix'!L27*'S29 Distances Matrix'!L27</f>
        <v>0</v>
      </c>
      <c r="M27" s="3">
        <f>'S28 Transportation Matrix'!M27*'S29 Distances Matrix'!M27</f>
        <v>0</v>
      </c>
      <c r="N27" s="3">
        <f>'S28 Transportation Matrix'!N27*'S29 Distances Matrix'!N27</f>
        <v>0</v>
      </c>
      <c r="O27" s="3">
        <f>'S28 Transportation Matrix'!O27*'S29 Distances Matrix'!O27</f>
        <v>0</v>
      </c>
      <c r="P27" s="3">
        <f>'S28 Transportation Matrix'!P27*'S29 Distances Matrix'!P27</f>
        <v>0</v>
      </c>
      <c r="Q27" s="3">
        <f>'S28 Transportation Matrix'!Q27*'S29 Distances Matrix'!Q27</f>
        <v>0</v>
      </c>
      <c r="R27" s="3">
        <f>'S28 Transportation Matrix'!R27*'S29 Distances Matrix'!R27</f>
        <v>0</v>
      </c>
      <c r="S27" s="3">
        <f>'S28 Transportation Matrix'!S27*'S29 Distances Matrix'!S27</f>
        <v>0</v>
      </c>
      <c r="T27" s="3">
        <f>'S28 Transportation Matrix'!T27*'S29 Distances Matrix'!T27</f>
        <v>0</v>
      </c>
      <c r="U27" s="3">
        <f>'S28 Transportation Matrix'!U27*'S29 Distances Matrix'!U27</f>
        <v>0</v>
      </c>
      <c r="V27" s="3">
        <f>'S28 Transportation Matrix'!V27*'S29 Distances Matrix'!V27</f>
        <v>0</v>
      </c>
      <c r="W27" s="3">
        <f>'S28 Transportation Matrix'!W27*'S29 Distances Matrix'!W27</f>
        <v>0</v>
      </c>
      <c r="X27" s="3">
        <f>'S28 Transportation Matrix'!X27*'S29 Distances Matrix'!X27</f>
        <v>0</v>
      </c>
      <c r="Y27" s="3">
        <f>'S28 Transportation Matrix'!Y27*'S29 Distances Matrix'!Y27</f>
        <v>0</v>
      </c>
      <c r="Z27" s="3">
        <f>'S28 Transportation Matrix'!Z27*'S29 Distances Matrix'!Z27</f>
        <v>0</v>
      </c>
      <c r="AA27" s="3">
        <f>'S28 Transportation Matrix'!AA27*'S29 Distances Matrix'!AA27</f>
        <v>0</v>
      </c>
      <c r="AB27" s="3">
        <f>'S28 Transportation Matrix'!AB27*'S29 Distances Matrix'!AB27</f>
        <v>0</v>
      </c>
      <c r="AC27" s="3">
        <f>'S28 Transportation Matrix'!AC27*'S29 Distances Matrix'!AC27</f>
        <v>0</v>
      </c>
      <c r="AD27" s="3">
        <f>'S28 Transportation Matrix'!AD27*'S29 Distances Matrix'!AD27</f>
        <v>4379</v>
      </c>
      <c r="AE27" s="3">
        <f>'S28 Transportation Matrix'!AE27*'S29 Distances Matrix'!AE27</f>
        <v>0</v>
      </c>
      <c r="AF27" s="3">
        <f>'S28 Transportation Matrix'!AF27*'S29 Distances Matrix'!AF27</f>
        <v>0</v>
      </c>
      <c r="AG27" s="3">
        <f>'S28 Transportation Matrix'!AG27*'S29 Distances Matrix'!AG27</f>
        <v>0</v>
      </c>
      <c r="AH27" s="3">
        <f>'S28 Transportation Matrix'!AH27*'S29 Distances Matrix'!AH27</f>
        <v>0</v>
      </c>
      <c r="AI27" s="3">
        <f>'S28 Transportation Matrix'!AI27*'S29 Distances Matrix'!AI27</f>
        <v>0</v>
      </c>
      <c r="AJ27" s="3">
        <f>'S28 Transportation Matrix'!AJ27*'S29 Distances Matrix'!AJ27</f>
        <v>0</v>
      </c>
      <c r="AK27" s="3">
        <f>'S28 Transportation Matrix'!AK27*'S29 Distances Matrix'!AK27</f>
        <v>0</v>
      </c>
      <c r="AL27" s="3">
        <f>'S28 Transportation Matrix'!AL27*'S29 Distances Matrix'!AL27</f>
        <v>0</v>
      </c>
      <c r="AM27" s="3">
        <f>'S28 Transportation Matrix'!AM27*'S29 Distances Matrix'!AM27</f>
        <v>0</v>
      </c>
      <c r="AN27" s="3">
        <f>'S28 Transportation Matrix'!AN27*'S29 Distances Matrix'!AN27</f>
        <v>0</v>
      </c>
      <c r="AO27" s="3">
        <f>'S28 Transportation Matrix'!AO27*'S29 Distances Matrix'!AO27</f>
        <v>0</v>
      </c>
      <c r="AP27" s="3">
        <f>'S28 Transportation Matrix'!AP27*'S29 Distances Matrix'!AP27</f>
        <v>0</v>
      </c>
      <c r="AQ27" s="3">
        <f>'S28 Transportation Matrix'!AQ27*'S29 Distances Matrix'!AQ27</f>
        <v>0</v>
      </c>
      <c r="AR27" s="3">
        <f>'S28 Transportation Matrix'!AR27*'S29 Distances Matrix'!AR27</f>
        <v>0</v>
      </c>
      <c r="AS27" s="3">
        <f>'S28 Transportation Matrix'!AS27*'S29 Distances Matrix'!AS27</f>
        <v>0</v>
      </c>
    </row>
    <row r="28" spans="1:45">
      <c r="A28" s="392" t="s">
        <v>1080</v>
      </c>
      <c r="B28" s="3">
        <f>'S28 Transportation Matrix'!B28*'S29 Distances Matrix'!B28</f>
        <v>0</v>
      </c>
      <c r="C28" s="3">
        <f>'S28 Transportation Matrix'!C28*'S29 Distances Matrix'!C28</f>
        <v>0</v>
      </c>
      <c r="D28" s="3">
        <f>'S28 Transportation Matrix'!D28*'S29 Distances Matrix'!D28</f>
        <v>0</v>
      </c>
      <c r="E28" s="3">
        <f>'S28 Transportation Matrix'!E28*'S29 Distances Matrix'!E28</f>
        <v>0</v>
      </c>
      <c r="F28" s="3">
        <f>'S28 Transportation Matrix'!F28*'S29 Distances Matrix'!F28</f>
        <v>0</v>
      </c>
      <c r="G28" s="3">
        <f>'S28 Transportation Matrix'!G28*'S29 Distances Matrix'!G28</f>
        <v>0</v>
      </c>
      <c r="H28" s="3">
        <f>'S28 Transportation Matrix'!H28*'S29 Distances Matrix'!H28</f>
        <v>0</v>
      </c>
      <c r="I28" s="3">
        <f>'S28 Transportation Matrix'!I28*'S29 Distances Matrix'!I28</f>
        <v>0</v>
      </c>
      <c r="J28" s="3">
        <f>'S28 Transportation Matrix'!J28*'S29 Distances Matrix'!J28</f>
        <v>0</v>
      </c>
      <c r="K28" s="3">
        <f>'S28 Transportation Matrix'!K28*'S29 Distances Matrix'!K28</f>
        <v>0</v>
      </c>
      <c r="L28" s="3">
        <f>'S28 Transportation Matrix'!L28*'S29 Distances Matrix'!L28</f>
        <v>0</v>
      </c>
      <c r="M28" s="3">
        <f>'S28 Transportation Matrix'!M28*'S29 Distances Matrix'!M28</f>
        <v>0</v>
      </c>
      <c r="N28" s="3">
        <f>'S28 Transportation Matrix'!N28*'S29 Distances Matrix'!N28</f>
        <v>0</v>
      </c>
      <c r="O28" s="3">
        <f>'S28 Transportation Matrix'!O28*'S29 Distances Matrix'!O28</f>
        <v>0</v>
      </c>
      <c r="P28" s="3">
        <f>'S28 Transportation Matrix'!P28*'S29 Distances Matrix'!P28</f>
        <v>0</v>
      </c>
      <c r="Q28" s="3">
        <f>'S28 Transportation Matrix'!Q28*'S29 Distances Matrix'!Q28</f>
        <v>0</v>
      </c>
      <c r="R28" s="3">
        <f>'S28 Transportation Matrix'!R28*'S29 Distances Matrix'!R28</f>
        <v>0</v>
      </c>
      <c r="S28" s="3">
        <f>'S28 Transportation Matrix'!S28*'S29 Distances Matrix'!S28</f>
        <v>0</v>
      </c>
      <c r="T28" s="3">
        <f>'S28 Transportation Matrix'!T28*'S29 Distances Matrix'!T28</f>
        <v>0</v>
      </c>
      <c r="U28" s="3">
        <f>'S28 Transportation Matrix'!U28*'S29 Distances Matrix'!U28</f>
        <v>0</v>
      </c>
      <c r="V28" s="3">
        <f>'S28 Transportation Matrix'!V28*'S29 Distances Matrix'!V28</f>
        <v>0</v>
      </c>
      <c r="W28" s="3">
        <f>'S28 Transportation Matrix'!W28*'S29 Distances Matrix'!W28</f>
        <v>0</v>
      </c>
      <c r="X28" s="3">
        <f>'S28 Transportation Matrix'!X28*'S29 Distances Matrix'!X28</f>
        <v>0</v>
      </c>
      <c r="Y28" s="3">
        <f>'S28 Transportation Matrix'!Y28*'S29 Distances Matrix'!Y28</f>
        <v>0</v>
      </c>
      <c r="Z28" s="3">
        <f>'S28 Transportation Matrix'!Z28*'S29 Distances Matrix'!Z28</f>
        <v>0</v>
      </c>
      <c r="AA28" s="3">
        <f>'S28 Transportation Matrix'!AA28*'S29 Distances Matrix'!AA28</f>
        <v>0</v>
      </c>
      <c r="AB28" s="3">
        <f>'S28 Transportation Matrix'!AB28*'S29 Distances Matrix'!AB28</f>
        <v>0</v>
      </c>
      <c r="AC28" s="3">
        <f>'S28 Transportation Matrix'!AC28*'S29 Distances Matrix'!AC28</f>
        <v>0</v>
      </c>
      <c r="AD28" s="3">
        <f>'S28 Transportation Matrix'!AD28*'S29 Distances Matrix'!AD28</f>
        <v>0</v>
      </c>
      <c r="AE28" s="3">
        <f>'S28 Transportation Matrix'!AE28*'S29 Distances Matrix'!AE28</f>
        <v>0</v>
      </c>
      <c r="AF28" s="3">
        <f>'S28 Transportation Matrix'!AF28*'S29 Distances Matrix'!AF28</f>
        <v>0</v>
      </c>
      <c r="AG28" s="3">
        <f>'S28 Transportation Matrix'!AG28*'S29 Distances Matrix'!AG28</f>
        <v>0</v>
      </c>
      <c r="AH28" s="3">
        <f>'S28 Transportation Matrix'!AH28*'S29 Distances Matrix'!AH28</f>
        <v>0</v>
      </c>
      <c r="AI28" s="3">
        <f>'S28 Transportation Matrix'!AI28*'S29 Distances Matrix'!AI28</f>
        <v>213</v>
      </c>
      <c r="AJ28" s="3">
        <f>'S28 Transportation Matrix'!AJ28*'S29 Distances Matrix'!AJ28</f>
        <v>0</v>
      </c>
      <c r="AK28" s="3">
        <f>'S28 Transportation Matrix'!AK28*'S29 Distances Matrix'!AK28</f>
        <v>0</v>
      </c>
      <c r="AL28" s="3">
        <f>'S28 Transportation Matrix'!AL28*'S29 Distances Matrix'!AL28</f>
        <v>0</v>
      </c>
      <c r="AM28" s="3">
        <f>'S28 Transportation Matrix'!AM28*'S29 Distances Matrix'!AM28</f>
        <v>0</v>
      </c>
      <c r="AN28" s="3">
        <f>'S28 Transportation Matrix'!AN28*'S29 Distances Matrix'!AN28</f>
        <v>0</v>
      </c>
      <c r="AO28" s="3">
        <f>'S28 Transportation Matrix'!AO28*'S29 Distances Matrix'!AO28</f>
        <v>0</v>
      </c>
      <c r="AP28" s="3">
        <f>'S28 Transportation Matrix'!AP28*'S29 Distances Matrix'!AP28</f>
        <v>0</v>
      </c>
      <c r="AQ28" s="3">
        <f>'S28 Transportation Matrix'!AQ28*'S29 Distances Matrix'!AQ28</f>
        <v>0</v>
      </c>
      <c r="AR28" s="3">
        <f>'S28 Transportation Matrix'!AR28*'S29 Distances Matrix'!AR28</f>
        <v>0</v>
      </c>
      <c r="AS28" s="3">
        <f>'S28 Transportation Matrix'!AS28*'S29 Distances Matrix'!AS28</f>
        <v>0</v>
      </c>
    </row>
    <row r="29" spans="1:45">
      <c r="A29" s="392" t="s">
        <v>1082</v>
      </c>
      <c r="B29" s="3">
        <f>'S28 Transportation Matrix'!B29*'S29 Distances Matrix'!B29</f>
        <v>0</v>
      </c>
      <c r="C29" s="3">
        <f>'S28 Transportation Matrix'!C29*'S29 Distances Matrix'!C29</f>
        <v>0</v>
      </c>
      <c r="D29" s="3">
        <f>'S28 Transportation Matrix'!D29*'S29 Distances Matrix'!D29</f>
        <v>0</v>
      </c>
      <c r="E29" s="3">
        <f>'S28 Transportation Matrix'!E29*'S29 Distances Matrix'!E29</f>
        <v>0</v>
      </c>
      <c r="F29" s="3">
        <f>'S28 Transportation Matrix'!F29*'S29 Distances Matrix'!F29</f>
        <v>0</v>
      </c>
      <c r="G29" s="3">
        <f>'S28 Transportation Matrix'!G29*'S29 Distances Matrix'!G29</f>
        <v>0</v>
      </c>
      <c r="H29" s="3">
        <f>'S28 Transportation Matrix'!H29*'S29 Distances Matrix'!H29</f>
        <v>0</v>
      </c>
      <c r="I29" s="3">
        <f>'S28 Transportation Matrix'!I29*'S29 Distances Matrix'!I29</f>
        <v>0</v>
      </c>
      <c r="J29" s="3">
        <f>'S28 Transportation Matrix'!J29*'S29 Distances Matrix'!J29</f>
        <v>0</v>
      </c>
      <c r="K29" s="3">
        <f>'S28 Transportation Matrix'!K29*'S29 Distances Matrix'!K29</f>
        <v>0</v>
      </c>
      <c r="L29" s="3">
        <f>'S28 Transportation Matrix'!L29*'S29 Distances Matrix'!L29</f>
        <v>0</v>
      </c>
      <c r="M29" s="3">
        <f>'S28 Transportation Matrix'!M29*'S29 Distances Matrix'!M29</f>
        <v>0</v>
      </c>
      <c r="N29" s="3">
        <f>'S28 Transportation Matrix'!N29*'S29 Distances Matrix'!N29</f>
        <v>0</v>
      </c>
      <c r="O29" s="3">
        <f>'S28 Transportation Matrix'!O29*'S29 Distances Matrix'!O29</f>
        <v>0</v>
      </c>
      <c r="P29" s="3">
        <f>'S28 Transportation Matrix'!P29*'S29 Distances Matrix'!P29</f>
        <v>0</v>
      </c>
      <c r="Q29" s="3">
        <f>'S28 Transportation Matrix'!Q29*'S29 Distances Matrix'!Q29</f>
        <v>0</v>
      </c>
      <c r="R29" s="3">
        <f>'S28 Transportation Matrix'!R29*'S29 Distances Matrix'!R29</f>
        <v>0</v>
      </c>
      <c r="S29" s="3">
        <f>'S28 Transportation Matrix'!S29*'S29 Distances Matrix'!S29</f>
        <v>0</v>
      </c>
      <c r="T29" s="3">
        <f>'S28 Transportation Matrix'!T29*'S29 Distances Matrix'!T29</f>
        <v>0</v>
      </c>
      <c r="U29" s="3">
        <f>'S28 Transportation Matrix'!U29*'S29 Distances Matrix'!U29</f>
        <v>0</v>
      </c>
      <c r="V29" s="3">
        <f>'S28 Transportation Matrix'!V29*'S29 Distances Matrix'!V29</f>
        <v>0</v>
      </c>
      <c r="W29" s="3">
        <f>'S28 Transportation Matrix'!W29*'S29 Distances Matrix'!W29</f>
        <v>0</v>
      </c>
      <c r="X29" s="3">
        <f>'S28 Transportation Matrix'!X29*'S29 Distances Matrix'!X29</f>
        <v>0</v>
      </c>
      <c r="Y29" s="3">
        <f>'S28 Transportation Matrix'!Y29*'S29 Distances Matrix'!Y29</f>
        <v>0</v>
      </c>
      <c r="Z29" s="3">
        <f>'S28 Transportation Matrix'!Z29*'S29 Distances Matrix'!Z29</f>
        <v>0</v>
      </c>
      <c r="AA29" s="3">
        <f>'S28 Transportation Matrix'!AA29*'S29 Distances Matrix'!AA29</f>
        <v>0</v>
      </c>
      <c r="AB29" s="3">
        <f>'S28 Transportation Matrix'!AB29*'S29 Distances Matrix'!AB29</f>
        <v>0</v>
      </c>
      <c r="AC29" s="3">
        <f>'S28 Transportation Matrix'!AC29*'S29 Distances Matrix'!AC29</f>
        <v>0</v>
      </c>
      <c r="AD29" s="3">
        <f>'S28 Transportation Matrix'!AD29*'S29 Distances Matrix'!AD29</f>
        <v>0</v>
      </c>
      <c r="AE29" s="3">
        <f>'S28 Transportation Matrix'!AE29*'S29 Distances Matrix'!AE29</f>
        <v>0</v>
      </c>
      <c r="AF29" s="3">
        <f>'S28 Transportation Matrix'!AF29*'S29 Distances Matrix'!AF29</f>
        <v>0</v>
      </c>
      <c r="AG29" s="3">
        <f>'S28 Transportation Matrix'!AG29*'S29 Distances Matrix'!AG29</f>
        <v>1311</v>
      </c>
      <c r="AH29" s="3">
        <f>'S28 Transportation Matrix'!AH29*'S29 Distances Matrix'!AH29</f>
        <v>0</v>
      </c>
      <c r="AI29" s="3">
        <f>'S28 Transportation Matrix'!AI29*'S29 Distances Matrix'!AI29</f>
        <v>0</v>
      </c>
      <c r="AJ29" s="3">
        <f>'S28 Transportation Matrix'!AJ29*'S29 Distances Matrix'!AJ29</f>
        <v>0</v>
      </c>
      <c r="AK29" s="3">
        <f>'S28 Transportation Matrix'!AK29*'S29 Distances Matrix'!AK29</f>
        <v>0</v>
      </c>
      <c r="AL29" s="3">
        <f>'S28 Transportation Matrix'!AL29*'S29 Distances Matrix'!AL29</f>
        <v>0</v>
      </c>
      <c r="AM29" s="3">
        <f>'S28 Transportation Matrix'!AM29*'S29 Distances Matrix'!AM29</f>
        <v>0</v>
      </c>
      <c r="AN29" s="3">
        <f>'S28 Transportation Matrix'!AN29*'S29 Distances Matrix'!AN29</f>
        <v>0</v>
      </c>
      <c r="AO29" s="3">
        <f>'S28 Transportation Matrix'!AO29*'S29 Distances Matrix'!AO29</f>
        <v>0</v>
      </c>
      <c r="AP29" s="3">
        <f>'S28 Transportation Matrix'!AP29*'S29 Distances Matrix'!AP29</f>
        <v>0</v>
      </c>
      <c r="AQ29" s="3">
        <f>'S28 Transportation Matrix'!AQ29*'S29 Distances Matrix'!AQ29</f>
        <v>0</v>
      </c>
      <c r="AR29" s="3">
        <f>'S28 Transportation Matrix'!AR29*'S29 Distances Matrix'!AR29</f>
        <v>0</v>
      </c>
      <c r="AS29" s="3">
        <f>'S28 Transportation Matrix'!AS29*'S29 Distances Matrix'!AS29</f>
        <v>0</v>
      </c>
    </row>
    <row r="30" spans="1:45">
      <c r="A30" s="392" t="s">
        <v>1083</v>
      </c>
      <c r="B30" s="3">
        <f>'S28 Transportation Matrix'!B30*'S29 Distances Matrix'!B30</f>
        <v>0</v>
      </c>
      <c r="C30" s="3">
        <f>'S28 Transportation Matrix'!C30*'S29 Distances Matrix'!C30</f>
        <v>0</v>
      </c>
      <c r="D30" s="3">
        <f>'S28 Transportation Matrix'!D30*'S29 Distances Matrix'!D30</f>
        <v>0</v>
      </c>
      <c r="E30" s="3">
        <f>'S28 Transportation Matrix'!E30*'S29 Distances Matrix'!E30</f>
        <v>0</v>
      </c>
      <c r="F30" s="3">
        <f>'S28 Transportation Matrix'!F30*'S29 Distances Matrix'!F30</f>
        <v>0</v>
      </c>
      <c r="G30" s="3">
        <f>'S28 Transportation Matrix'!G30*'S29 Distances Matrix'!G30</f>
        <v>0</v>
      </c>
      <c r="H30" s="3">
        <f>'S28 Transportation Matrix'!H30*'S29 Distances Matrix'!H30</f>
        <v>0</v>
      </c>
      <c r="I30" s="3">
        <f>'S28 Transportation Matrix'!I30*'S29 Distances Matrix'!I30</f>
        <v>0</v>
      </c>
      <c r="J30" s="3">
        <f>'S28 Transportation Matrix'!J30*'S29 Distances Matrix'!J30</f>
        <v>0</v>
      </c>
      <c r="K30" s="3">
        <f>'S28 Transportation Matrix'!K30*'S29 Distances Matrix'!K30</f>
        <v>0</v>
      </c>
      <c r="L30" s="3">
        <f>'S28 Transportation Matrix'!L30*'S29 Distances Matrix'!L30</f>
        <v>0</v>
      </c>
      <c r="M30" s="3">
        <f>'S28 Transportation Matrix'!M30*'S29 Distances Matrix'!M30</f>
        <v>0</v>
      </c>
      <c r="N30" s="3">
        <f>'S28 Transportation Matrix'!N30*'S29 Distances Matrix'!N30</f>
        <v>0</v>
      </c>
      <c r="O30" s="3">
        <f>'S28 Transportation Matrix'!O30*'S29 Distances Matrix'!O30</f>
        <v>0</v>
      </c>
      <c r="P30" s="3">
        <f>'S28 Transportation Matrix'!P30*'S29 Distances Matrix'!P30</f>
        <v>0</v>
      </c>
      <c r="Q30" s="3">
        <f>'S28 Transportation Matrix'!Q30*'S29 Distances Matrix'!Q30</f>
        <v>0</v>
      </c>
      <c r="R30" s="3">
        <f>'S28 Transportation Matrix'!R30*'S29 Distances Matrix'!R30</f>
        <v>0</v>
      </c>
      <c r="S30" s="3">
        <f>'S28 Transportation Matrix'!S30*'S29 Distances Matrix'!S30</f>
        <v>0</v>
      </c>
      <c r="T30" s="3">
        <f>'S28 Transportation Matrix'!T30*'S29 Distances Matrix'!T30</f>
        <v>0</v>
      </c>
      <c r="U30" s="3">
        <f>'S28 Transportation Matrix'!U30*'S29 Distances Matrix'!U30</f>
        <v>0</v>
      </c>
      <c r="V30" s="3">
        <f>'S28 Transportation Matrix'!V30*'S29 Distances Matrix'!V30</f>
        <v>0</v>
      </c>
      <c r="W30" s="3">
        <f>'S28 Transportation Matrix'!W30*'S29 Distances Matrix'!W30</f>
        <v>0</v>
      </c>
      <c r="X30" s="3">
        <f>'S28 Transportation Matrix'!X30*'S29 Distances Matrix'!X30</f>
        <v>0</v>
      </c>
      <c r="Y30" s="3">
        <f>'S28 Transportation Matrix'!Y30*'S29 Distances Matrix'!Y30</f>
        <v>0</v>
      </c>
      <c r="Z30" s="3">
        <f>'S28 Transportation Matrix'!Z30*'S29 Distances Matrix'!Z30</f>
        <v>0</v>
      </c>
      <c r="AA30" s="3">
        <f>'S28 Transportation Matrix'!AA30*'S29 Distances Matrix'!AA30</f>
        <v>0</v>
      </c>
      <c r="AB30" s="3">
        <f>'S28 Transportation Matrix'!AB30*'S29 Distances Matrix'!AB30</f>
        <v>0</v>
      </c>
      <c r="AC30" s="3">
        <f>'S28 Transportation Matrix'!AC30*'S29 Distances Matrix'!AC30</f>
        <v>0</v>
      </c>
      <c r="AD30" s="3">
        <f>'S28 Transportation Matrix'!AD30*'S29 Distances Matrix'!AD30</f>
        <v>0</v>
      </c>
      <c r="AE30" s="3">
        <f>'S28 Transportation Matrix'!AE30*'S29 Distances Matrix'!AE30</f>
        <v>0</v>
      </c>
      <c r="AF30" s="3">
        <f>'S28 Transportation Matrix'!AF30*'S29 Distances Matrix'!AF30</f>
        <v>0</v>
      </c>
      <c r="AG30" s="3">
        <f>'S28 Transportation Matrix'!AG30*'S29 Distances Matrix'!AG30</f>
        <v>3293</v>
      </c>
      <c r="AH30" s="3">
        <f>'S28 Transportation Matrix'!AH30*'S29 Distances Matrix'!AH30</f>
        <v>0</v>
      </c>
      <c r="AI30" s="3">
        <f>'S28 Transportation Matrix'!AI30*'S29 Distances Matrix'!AI30</f>
        <v>0</v>
      </c>
      <c r="AJ30" s="3">
        <f>'S28 Transportation Matrix'!AJ30*'S29 Distances Matrix'!AJ30</f>
        <v>0</v>
      </c>
      <c r="AK30" s="3">
        <f>'S28 Transportation Matrix'!AK30*'S29 Distances Matrix'!AK30</f>
        <v>0</v>
      </c>
      <c r="AL30" s="3">
        <f>'S28 Transportation Matrix'!AL30*'S29 Distances Matrix'!AL30</f>
        <v>0</v>
      </c>
      <c r="AM30" s="3">
        <f>'S28 Transportation Matrix'!AM30*'S29 Distances Matrix'!AM30</f>
        <v>0</v>
      </c>
      <c r="AN30" s="3">
        <f>'S28 Transportation Matrix'!AN30*'S29 Distances Matrix'!AN30</f>
        <v>0</v>
      </c>
      <c r="AO30" s="3">
        <f>'S28 Transportation Matrix'!AO30*'S29 Distances Matrix'!AO30</f>
        <v>0</v>
      </c>
      <c r="AP30" s="3">
        <f>'S28 Transportation Matrix'!AP30*'S29 Distances Matrix'!AP30</f>
        <v>0</v>
      </c>
      <c r="AQ30" s="3">
        <f>'S28 Transportation Matrix'!AQ30*'S29 Distances Matrix'!AQ30</f>
        <v>0</v>
      </c>
      <c r="AR30" s="3">
        <f>'S28 Transportation Matrix'!AR30*'S29 Distances Matrix'!AR30</f>
        <v>0</v>
      </c>
      <c r="AS30" s="3">
        <f>'S28 Transportation Matrix'!AS30*'S29 Distances Matrix'!AS30</f>
        <v>0</v>
      </c>
    </row>
    <row r="31" spans="1:45">
      <c r="A31" s="392" t="s">
        <v>1085</v>
      </c>
      <c r="B31" s="3">
        <f>'S28 Transportation Matrix'!B31*'S29 Distances Matrix'!B31</f>
        <v>0</v>
      </c>
      <c r="C31" s="3">
        <f>'S28 Transportation Matrix'!C31*'S29 Distances Matrix'!C31</f>
        <v>0</v>
      </c>
      <c r="D31" s="3">
        <f>'S28 Transportation Matrix'!D31*'S29 Distances Matrix'!D31</f>
        <v>0</v>
      </c>
      <c r="E31" s="3">
        <f>'S28 Transportation Matrix'!E31*'S29 Distances Matrix'!E31</f>
        <v>0</v>
      </c>
      <c r="F31" s="3">
        <f>'S28 Transportation Matrix'!F31*'S29 Distances Matrix'!F31</f>
        <v>0</v>
      </c>
      <c r="G31" s="3">
        <f>'S28 Transportation Matrix'!G31*'S29 Distances Matrix'!G31</f>
        <v>0</v>
      </c>
      <c r="H31" s="3">
        <f>'S28 Transportation Matrix'!H31*'S29 Distances Matrix'!H31</f>
        <v>0</v>
      </c>
      <c r="I31" s="3">
        <f>'S28 Transportation Matrix'!I31*'S29 Distances Matrix'!I31</f>
        <v>0</v>
      </c>
      <c r="J31" s="3">
        <f>'S28 Transportation Matrix'!J31*'S29 Distances Matrix'!J31</f>
        <v>0</v>
      </c>
      <c r="K31" s="3">
        <f>'S28 Transportation Matrix'!K31*'S29 Distances Matrix'!K31</f>
        <v>0</v>
      </c>
      <c r="L31" s="3">
        <f>'S28 Transportation Matrix'!L31*'S29 Distances Matrix'!L31</f>
        <v>0</v>
      </c>
      <c r="M31" s="3">
        <f>'S28 Transportation Matrix'!M31*'S29 Distances Matrix'!M31</f>
        <v>0</v>
      </c>
      <c r="N31" s="3">
        <f>'S28 Transportation Matrix'!N31*'S29 Distances Matrix'!N31</f>
        <v>0</v>
      </c>
      <c r="O31" s="3">
        <f>'S28 Transportation Matrix'!O31*'S29 Distances Matrix'!O31</f>
        <v>0</v>
      </c>
      <c r="P31" s="3">
        <f>'S28 Transportation Matrix'!P31*'S29 Distances Matrix'!P31</f>
        <v>0</v>
      </c>
      <c r="Q31" s="3">
        <f>'S28 Transportation Matrix'!Q31*'S29 Distances Matrix'!Q31</f>
        <v>0</v>
      </c>
      <c r="R31" s="3">
        <f>'S28 Transportation Matrix'!R31*'S29 Distances Matrix'!R31</f>
        <v>0</v>
      </c>
      <c r="S31" s="3">
        <f>'S28 Transportation Matrix'!S31*'S29 Distances Matrix'!S31</f>
        <v>0</v>
      </c>
      <c r="T31" s="3">
        <f>'S28 Transportation Matrix'!T31*'S29 Distances Matrix'!T31</f>
        <v>0</v>
      </c>
      <c r="U31" s="3">
        <f>'S28 Transportation Matrix'!U31*'S29 Distances Matrix'!U31</f>
        <v>0</v>
      </c>
      <c r="V31" s="3">
        <f>'S28 Transportation Matrix'!V31*'S29 Distances Matrix'!V31</f>
        <v>0</v>
      </c>
      <c r="W31" s="3">
        <f>'S28 Transportation Matrix'!W31*'S29 Distances Matrix'!W31</f>
        <v>0</v>
      </c>
      <c r="X31" s="3">
        <f>'S28 Transportation Matrix'!X31*'S29 Distances Matrix'!X31</f>
        <v>0</v>
      </c>
      <c r="Y31" s="3">
        <f>'S28 Transportation Matrix'!Y31*'S29 Distances Matrix'!Y31</f>
        <v>0</v>
      </c>
      <c r="Z31" s="3">
        <f>'S28 Transportation Matrix'!Z31*'S29 Distances Matrix'!Z31</f>
        <v>0</v>
      </c>
      <c r="AA31" s="3">
        <f>'S28 Transportation Matrix'!AA31*'S29 Distances Matrix'!AA31</f>
        <v>0</v>
      </c>
      <c r="AB31" s="3">
        <f>'S28 Transportation Matrix'!AB31*'S29 Distances Matrix'!AB31</f>
        <v>4539</v>
      </c>
      <c r="AC31" s="3">
        <f>'S28 Transportation Matrix'!AC31*'S29 Distances Matrix'!AC31</f>
        <v>0</v>
      </c>
      <c r="AD31" s="3">
        <f>'S28 Transportation Matrix'!AD31*'S29 Distances Matrix'!AD31</f>
        <v>0</v>
      </c>
      <c r="AE31" s="3">
        <f>'S28 Transportation Matrix'!AE31*'S29 Distances Matrix'!AE31</f>
        <v>0</v>
      </c>
      <c r="AF31" s="3">
        <f>'S28 Transportation Matrix'!AF31*'S29 Distances Matrix'!AF31</f>
        <v>0</v>
      </c>
      <c r="AG31" s="3">
        <f>'S28 Transportation Matrix'!AG31*'S29 Distances Matrix'!AG31</f>
        <v>0</v>
      </c>
      <c r="AH31" s="3">
        <f>'S28 Transportation Matrix'!AH31*'S29 Distances Matrix'!AH31</f>
        <v>0</v>
      </c>
      <c r="AI31" s="3">
        <f>'S28 Transportation Matrix'!AI31*'S29 Distances Matrix'!AI31</f>
        <v>0</v>
      </c>
      <c r="AJ31" s="3">
        <f>'S28 Transportation Matrix'!AJ31*'S29 Distances Matrix'!AJ31</f>
        <v>0</v>
      </c>
      <c r="AK31" s="3">
        <f>'S28 Transportation Matrix'!AK31*'S29 Distances Matrix'!AK31</f>
        <v>0</v>
      </c>
      <c r="AL31" s="3">
        <f>'S28 Transportation Matrix'!AL31*'S29 Distances Matrix'!AL31</f>
        <v>0</v>
      </c>
      <c r="AM31" s="3">
        <f>'S28 Transportation Matrix'!AM31*'S29 Distances Matrix'!AM31</f>
        <v>0</v>
      </c>
      <c r="AN31" s="3">
        <f>'S28 Transportation Matrix'!AN31*'S29 Distances Matrix'!AN31</f>
        <v>0</v>
      </c>
      <c r="AO31" s="3">
        <f>'S28 Transportation Matrix'!AO31*'S29 Distances Matrix'!AO31</f>
        <v>0</v>
      </c>
      <c r="AP31" s="3">
        <f>'S28 Transportation Matrix'!AP31*'S29 Distances Matrix'!AP31</f>
        <v>0</v>
      </c>
      <c r="AQ31" s="3">
        <f>'S28 Transportation Matrix'!AQ31*'S29 Distances Matrix'!AQ31</f>
        <v>0</v>
      </c>
      <c r="AR31" s="3">
        <f>'S28 Transportation Matrix'!AR31*'S29 Distances Matrix'!AR31</f>
        <v>0</v>
      </c>
      <c r="AS31" s="3">
        <f>'S28 Transportation Matrix'!AS31*'S29 Distances Matrix'!AS31</f>
        <v>0</v>
      </c>
    </row>
    <row r="32" spans="1:45">
      <c r="A32" s="392" t="s">
        <v>1087</v>
      </c>
      <c r="B32" s="3">
        <f>'S28 Transportation Matrix'!B32*'S29 Distances Matrix'!B32</f>
        <v>0</v>
      </c>
      <c r="C32" s="3">
        <f>'S28 Transportation Matrix'!C32*'S29 Distances Matrix'!C32</f>
        <v>0</v>
      </c>
      <c r="D32" s="3">
        <f>'S28 Transportation Matrix'!D32*'S29 Distances Matrix'!D32</f>
        <v>0</v>
      </c>
      <c r="E32" s="3">
        <f>'S28 Transportation Matrix'!E32*'S29 Distances Matrix'!E32</f>
        <v>0</v>
      </c>
      <c r="F32" s="3">
        <f>'S28 Transportation Matrix'!F32*'S29 Distances Matrix'!F32</f>
        <v>0</v>
      </c>
      <c r="G32" s="3">
        <f>'S28 Transportation Matrix'!G32*'S29 Distances Matrix'!G32</f>
        <v>0</v>
      </c>
      <c r="H32" s="3">
        <f>'S28 Transportation Matrix'!H32*'S29 Distances Matrix'!H32</f>
        <v>0</v>
      </c>
      <c r="I32" s="3">
        <f>'S28 Transportation Matrix'!I32*'S29 Distances Matrix'!I32</f>
        <v>0</v>
      </c>
      <c r="J32" s="3">
        <f>'S28 Transportation Matrix'!J32*'S29 Distances Matrix'!J32</f>
        <v>0</v>
      </c>
      <c r="K32" s="3">
        <f>'S28 Transportation Matrix'!K32*'S29 Distances Matrix'!K32</f>
        <v>0</v>
      </c>
      <c r="L32" s="3">
        <f>'S28 Transportation Matrix'!L32*'S29 Distances Matrix'!L32</f>
        <v>0</v>
      </c>
      <c r="M32" s="3">
        <f>'S28 Transportation Matrix'!M32*'S29 Distances Matrix'!M32</f>
        <v>0</v>
      </c>
      <c r="N32" s="3">
        <f>'S28 Transportation Matrix'!N32*'S29 Distances Matrix'!N32</f>
        <v>0</v>
      </c>
      <c r="O32" s="3">
        <f>'S28 Transportation Matrix'!O32*'S29 Distances Matrix'!O32</f>
        <v>0</v>
      </c>
      <c r="P32" s="3">
        <f>'S28 Transportation Matrix'!P32*'S29 Distances Matrix'!P32</f>
        <v>0</v>
      </c>
      <c r="Q32" s="3">
        <f>'S28 Transportation Matrix'!Q32*'S29 Distances Matrix'!Q32</f>
        <v>0</v>
      </c>
      <c r="R32" s="3">
        <f>'S28 Transportation Matrix'!R32*'S29 Distances Matrix'!R32</f>
        <v>0</v>
      </c>
      <c r="S32" s="3">
        <f>'S28 Transportation Matrix'!S32*'S29 Distances Matrix'!S32</f>
        <v>0</v>
      </c>
      <c r="T32" s="3">
        <f>'S28 Transportation Matrix'!T32*'S29 Distances Matrix'!T32</f>
        <v>0</v>
      </c>
      <c r="U32" s="3">
        <f>'S28 Transportation Matrix'!U32*'S29 Distances Matrix'!U32</f>
        <v>0</v>
      </c>
      <c r="V32" s="3">
        <f>'S28 Transportation Matrix'!V32*'S29 Distances Matrix'!V32</f>
        <v>0</v>
      </c>
      <c r="W32" s="3">
        <f>'S28 Transportation Matrix'!W32*'S29 Distances Matrix'!W32</f>
        <v>0</v>
      </c>
      <c r="X32" s="3">
        <f>'S28 Transportation Matrix'!X32*'S29 Distances Matrix'!X32</f>
        <v>0</v>
      </c>
      <c r="Y32" s="3">
        <f>'S28 Transportation Matrix'!Y32*'S29 Distances Matrix'!Y32</f>
        <v>0</v>
      </c>
      <c r="Z32" s="3">
        <f>'S28 Transportation Matrix'!Z32*'S29 Distances Matrix'!Z32</f>
        <v>0</v>
      </c>
      <c r="AA32" s="3">
        <f>'S28 Transportation Matrix'!AA32*'S29 Distances Matrix'!AA32</f>
        <v>0</v>
      </c>
      <c r="AB32" s="3">
        <f>'S28 Transportation Matrix'!AB32*'S29 Distances Matrix'!AB32</f>
        <v>0</v>
      </c>
      <c r="AC32" s="3">
        <f>'S28 Transportation Matrix'!AC32*'S29 Distances Matrix'!AC32</f>
        <v>0</v>
      </c>
      <c r="AD32" s="3">
        <f>'S28 Transportation Matrix'!AD32*'S29 Distances Matrix'!AD32</f>
        <v>0</v>
      </c>
      <c r="AE32" s="3">
        <f>'S28 Transportation Matrix'!AE32*'S29 Distances Matrix'!AE32</f>
        <v>0</v>
      </c>
      <c r="AF32" s="3">
        <f>'S28 Transportation Matrix'!AF32*'S29 Distances Matrix'!AF32</f>
        <v>0</v>
      </c>
      <c r="AG32" s="3">
        <f>'S28 Transportation Matrix'!AG32*'S29 Distances Matrix'!AG32</f>
        <v>0</v>
      </c>
      <c r="AH32" s="3">
        <f>'S28 Transportation Matrix'!AH32*'S29 Distances Matrix'!AH32</f>
        <v>1359</v>
      </c>
      <c r="AI32" s="3">
        <f>'S28 Transportation Matrix'!AI32*'S29 Distances Matrix'!AI32</f>
        <v>0</v>
      </c>
      <c r="AJ32" s="3">
        <f>'S28 Transportation Matrix'!AJ32*'S29 Distances Matrix'!AJ32</f>
        <v>0</v>
      </c>
      <c r="AK32" s="3">
        <f>'S28 Transportation Matrix'!AK32*'S29 Distances Matrix'!AK32</f>
        <v>0</v>
      </c>
      <c r="AL32" s="3">
        <f>'S28 Transportation Matrix'!AL32*'S29 Distances Matrix'!AL32</f>
        <v>0</v>
      </c>
      <c r="AM32" s="3">
        <f>'S28 Transportation Matrix'!AM32*'S29 Distances Matrix'!AM32</f>
        <v>0</v>
      </c>
      <c r="AN32" s="3">
        <f>'S28 Transportation Matrix'!AN32*'S29 Distances Matrix'!AN32</f>
        <v>0</v>
      </c>
      <c r="AO32" s="3">
        <f>'S28 Transportation Matrix'!AO32*'S29 Distances Matrix'!AO32</f>
        <v>0</v>
      </c>
      <c r="AP32" s="3">
        <f>'S28 Transportation Matrix'!AP32*'S29 Distances Matrix'!AP32</f>
        <v>0</v>
      </c>
      <c r="AQ32" s="3">
        <f>'S28 Transportation Matrix'!AQ32*'S29 Distances Matrix'!AQ32</f>
        <v>0</v>
      </c>
      <c r="AR32" s="3">
        <f>'S28 Transportation Matrix'!AR32*'S29 Distances Matrix'!AR32</f>
        <v>0</v>
      </c>
      <c r="AS32" s="3">
        <f>'S28 Transportation Matrix'!AS32*'S29 Distances Matrix'!AS32</f>
        <v>0</v>
      </c>
    </row>
    <row r="33" spans="1:45">
      <c r="A33" s="392" t="s">
        <v>1089</v>
      </c>
      <c r="B33" s="3">
        <f>'S28 Transportation Matrix'!B33*'S29 Distances Matrix'!B33</f>
        <v>0</v>
      </c>
      <c r="C33" s="3">
        <f>'S28 Transportation Matrix'!C33*'S29 Distances Matrix'!C33</f>
        <v>0</v>
      </c>
      <c r="D33" s="3">
        <f>'S28 Transportation Matrix'!D33*'S29 Distances Matrix'!D33</f>
        <v>0</v>
      </c>
      <c r="E33" s="3">
        <f>'S28 Transportation Matrix'!E33*'S29 Distances Matrix'!E33</f>
        <v>0</v>
      </c>
      <c r="F33" s="3">
        <f>'S28 Transportation Matrix'!F33*'S29 Distances Matrix'!F33</f>
        <v>0</v>
      </c>
      <c r="G33" s="3">
        <f>'S28 Transportation Matrix'!G33*'S29 Distances Matrix'!G33</f>
        <v>0</v>
      </c>
      <c r="H33" s="3">
        <f>'S28 Transportation Matrix'!H33*'S29 Distances Matrix'!H33</f>
        <v>0</v>
      </c>
      <c r="I33" s="3">
        <f>'S28 Transportation Matrix'!I33*'S29 Distances Matrix'!I33</f>
        <v>0</v>
      </c>
      <c r="J33" s="3">
        <f>'S28 Transportation Matrix'!J33*'S29 Distances Matrix'!J33</f>
        <v>0</v>
      </c>
      <c r="K33" s="3">
        <f>'S28 Transportation Matrix'!K33*'S29 Distances Matrix'!K33</f>
        <v>0</v>
      </c>
      <c r="L33" s="3">
        <f>'S28 Transportation Matrix'!L33*'S29 Distances Matrix'!L33</f>
        <v>0</v>
      </c>
      <c r="M33" s="3">
        <f>'S28 Transportation Matrix'!M33*'S29 Distances Matrix'!M33</f>
        <v>0</v>
      </c>
      <c r="N33" s="3">
        <f>'S28 Transportation Matrix'!N33*'S29 Distances Matrix'!N33</f>
        <v>0</v>
      </c>
      <c r="O33" s="3">
        <f>'S28 Transportation Matrix'!O33*'S29 Distances Matrix'!O33</f>
        <v>0</v>
      </c>
      <c r="P33" s="3">
        <f>'S28 Transportation Matrix'!P33*'S29 Distances Matrix'!P33</f>
        <v>0</v>
      </c>
      <c r="Q33" s="3">
        <f>'S28 Transportation Matrix'!Q33*'S29 Distances Matrix'!Q33</f>
        <v>0</v>
      </c>
      <c r="R33" s="3">
        <f>'S28 Transportation Matrix'!R33*'S29 Distances Matrix'!R33</f>
        <v>0</v>
      </c>
      <c r="S33" s="3">
        <f>'S28 Transportation Matrix'!S33*'S29 Distances Matrix'!S33</f>
        <v>0</v>
      </c>
      <c r="T33" s="3">
        <f>'S28 Transportation Matrix'!T33*'S29 Distances Matrix'!T33</f>
        <v>0</v>
      </c>
      <c r="U33" s="3">
        <f>'S28 Transportation Matrix'!U33*'S29 Distances Matrix'!U33</f>
        <v>0</v>
      </c>
      <c r="V33" s="3">
        <f>'S28 Transportation Matrix'!V33*'S29 Distances Matrix'!V33</f>
        <v>0</v>
      </c>
      <c r="W33" s="3">
        <f>'S28 Transportation Matrix'!W33*'S29 Distances Matrix'!W33</f>
        <v>0</v>
      </c>
      <c r="X33" s="3">
        <f>'S28 Transportation Matrix'!X33*'S29 Distances Matrix'!X33</f>
        <v>0</v>
      </c>
      <c r="Y33" s="3">
        <f>'S28 Transportation Matrix'!Y33*'S29 Distances Matrix'!Y33</f>
        <v>0</v>
      </c>
      <c r="Z33" s="3">
        <f>'S28 Transportation Matrix'!Z33*'S29 Distances Matrix'!Z33</f>
        <v>0</v>
      </c>
      <c r="AA33" s="3">
        <f>'S28 Transportation Matrix'!AA33*'S29 Distances Matrix'!AA33</f>
        <v>0</v>
      </c>
      <c r="AB33" s="3">
        <f>'S28 Transportation Matrix'!AB33*'S29 Distances Matrix'!AB33</f>
        <v>0</v>
      </c>
      <c r="AC33" s="3">
        <f>'S28 Transportation Matrix'!AC33*'S29 Distances Matrix'!AC33</f>
        <v>0</v>
      </c>
      <c r="AD33" s="3">
        <f>'S28 Transportation Matrix'!AD33*'S29 Distances Matrix'!AD33</f>
        <v>0</v>
      </c>
      <c r="AE33" s="3">
        <f>'S28 Transportation Matrix'!AE33*'S29 Distances Matrix'!AE33</f>
        <v>0</v>
      </c>
      <c r="AF33" s="3">
        <f>'S28 Transportation Matrix'!AF33*'S29 Distances Matrix'!AF33</f>
        <v>0</v>
      </c>
      <c r="AG33" s="3">
        <f>'S28 Transportation Matrix'!AG33*'S29 Distances Matrix'!AG33</f>
        <v>0</v>
      </c>
      <c r="AH33" s="3">
        <f>'S28 Transportation Matrix'!AH33*'S29 Distances Matrix'!AH33</f>
        <v>0</v>
      </c>
      <c r="AI33" s="3">
        <f>'S28 Transportation Matrix'!AI33*'S29 Distances Matrix'!AI33</f>
        <v>0</v>
      </c>
      <c r="AJ33" s="3">
        <f>'S28 Transportation Matrix'!AJ33*'S29 Distances Matrix'!AJ33</f>
        <v>0</v>
      </c>
      <c r="AK33" s="3">
        <f>'S28 Transportation Matrix'!AK33*'S29 Distances Matrix'!AK33</f>
        <v>0</v>
      </c>
      <c r="AL33" s="3">
        <f>'S28 Transportation Matrix'!AL33*'S29 Distances Matrix'!AL33</f>
        <v>0</v>
      </c>
      <c r="AM33" s="3">
        <f>'S28 Transportation Matrix'!AM33*'S29 Distances Matrix'!AM33</f>
        <v>0</v>
      </c>
      <c r="AN33" s="3">
        <f>'S28 Transportation Matrix'!AN33*'S29 Distances Matrix'!AN33</f>
        <v>0</v>
      </c>
      <c r="AO33" s="3">
        <f>'S28 Transportation Matrix'!AO33*'S29 Distances Matrix'!AO33</f>
        <v>0</v>
      </c>
      <c r="AP33" s="3">
        <f>'S28 Transportation Matrix'!AP33*'S29 Distances Matrix'!AP33</f>
        <v>0</v>
      </c>
      <c r="AQ33" s="3">
        <f>'S28 Transportation Matrix'!AQ33*'S29 Distances Matrix'!AQ33</f>
        <v>0</v>
      </c>
      <c r="AR33" s="3">
        <f>'S28 Transportation Matrix'!AR33*'S29 Distances Matrix'!AR33</f>
        <v>0</v>
      </c>
      <c r="AS33" s="3">
        <f>'S28 Transportation Matrix'!AS33*'S29 Distances Matrix'!AS33</f>
        <v>0</v>
      </c>
    </row>
    <row r="34" spans="1:45">
      <c r="A34" s="392" t="s">
        <v>1091</v>
      </c>
      <c r="B34" s="3">
        <f>'S28 Transportation Matrix'!B34*'S29 Distances Matrix'!B34</f>
        <v>0</v>
      </c>
      <c r="C34" s="3">
        <f>'S28 Transportation Matrix'!C34*'S29 Distances Matrix'!C34</f>
        <v>0</v>
      </c>
      <c r="D34" s="3">
        <f>'S28 Transportation Matrix'!D34*'S29 Distances Matrix'!D34</f>
        <v>0</v>
      </c>
      <c r="E34" s="3">
        <f>'S28 Transportation Matrix'!E34*'S29 Distances Matrix'!E34</f>
        <v>0</v>
      </c>
      <c r="F34" s="3">
        <f>'S28 Transportation Matrix'!F34*'S29 Distances Matrix'!F34</f>
        <v>0</v>
      </c>
      <c r="G34" s="3">
        <f>'S28 Transportation Matrix'!G34*'S29 Distances Matrix'!G34</f>
        <v>0</v>
      </c>
      <c r="H34" s="3">
        <f>'S28 Transportation Matrix'!H34*'S29 Distances Matrix'!H34</f>
        <v>0</v>
      </c>
      <c r="I34" s="3">
        <f>'S28 Transportation Matrix'!I34*'S29 Distances Matrix'!I34</f>
        <v>0</v>
      </c>
      <c r="J34" s="3">
        <f>'S28 Transportation Matrix'!J34*'S29 Distances Matrix'!J34</f>
        <v>0</v>
      </c>
      <c r="K34" s="3">
        <f>'S28 Transportation Matrix'!K34*'S29 Distances Matrix'!K34</f>
        <v>0</v>
      </c>
      <c r="L34" s="3">
        <f>'S28 Transportation Matrix'!L34*'S29 Distances Matrix'!L34</f>
        <v>0</v>
      </c>
      <c r="M34" s="3">
        <f>'S28 Transportation Matrix'!M34*'S29 Distances Matrix'!M34</f>
        <v>0</v>
      </c>
      <c r="N34" s="3">
        <f>'S28 Transportation Matrix'!N34*'S29 Distances Matrix'!N34</f>
        <v>0</v>
      </c>
      <c r="O34" s="3">
        <f>'S28 Transportation Matrix'!O34*'S29 Distances Matrix'!O34</f>
        <v>0</v>
      </c>
      <c r="P34" s="3">
        <f>'S28 Transportation Matrix'!P34*'S29 Distances Matrix'!P34</f>
        <v>0</v>
      </c>
      <c r="Q34" s="3">
        <f>'S28 Transportation Matrix'!Q34*'S29 Distances Matrix'!Q34</f>
        <v>0</v>
      </c>
      <c r="R34" s="3">
        <f>'S28 Transportation Matrix'!R34*'S29 Distances Matrix'!R34</f>
        <v>0</v>
      </c>
      <c r="S34" s="3">
        <f>'S28 Transportation Matrix'!S34*'S29 Distances Matrix'!S34</f>
        <v>0</v>
      </c>
      <c r="T34" s="3">
        <f>'S28 Transportation Matrix'!T34*'S29 Distances Matrix'!T34</f>
        <v>0</v>
      </c>
      <c r="U34" s="3">
        <f>'S28 Transportation Matrix'!U34*'S29 Distances Matrix'!U34</f>
        <v>0</v>
      </c>
      <c r="V34" s="3">
        <f>'S28 Transportation Matrix'!V34*'S29 Distances Matrix'!V34</f>
        <v>0</v>
      </c>
      <c r="W34" s="3">
        <f>'S28 Transportation Matrix'!W34*'S29 Distances Matrix'!W34</f>
        <v>0</v>
      </c>
      <c r="X34" s="3">
        <f>'S28 Transportation Matrix'!X34*'S29 Distances Matrix'!X34</f>
        <v>0</v>
      </c>
      <c r="Y34" s="3">
        <f>'S28 Transportation Matrix'!Y34*'S29 Distances Matrix'!Y34</f>
        <v>0</v>
      </c>
      <c r="Z34" s="3">
        <f>'S28 Transportation Matrix'!Z34*'S29 Distances Matrix'!Z34</f>
        <v>0</v>
      </c>
      <c r="AA34" s="3">
        <f>'S28 Transportation Matrix'!AA34*'S29 Distances Matrix'!AA34</f>
        <v>0</v>
      </c>
      <c r="AB34" s="3">
        <f>'S28 Transportation Matrix'!AB34*'S29 Distances Matrix'!AB34</f>
        <v>0</v>
      </c>
      <c r="AC34" s="3">
        <f>'S28 Transportation Matrix'!AC34*'S29 Distances Matrix'!AC34</f>
        <v>0</v>
      </c>
      <c r="AD34" s="3">
        <f>'S28 Transportation Matrix'!AD34*'S29 Distances Matrix'!AD34</f>
        <v>0</v>
      </c>
      <c r="AE34" s="3">
        <f>'S28 Transportation Matrix'!AE34*'S29 Distances Matrix'!AE34</f>
        <v>0</v>
      </c>
      <c r="AF34" s="3">
        <f>'S28 Transportation Matrix'!AF34*'S29 Distances Matrix'!AF34</f>
        <v>0</v>
      </c>
      <c r="AG34" s="3">
        <f>'S28 Transportation Matrix'!AG34*'S29 Distances Matrix'!AG34</f>
        <v>497</v>
      </c>
      <c r="AH34" s="3">
        <f>'S28 Transportation Matrix'!AH34*'S29 Distances Matrix'!AH34</f>
        <v>0</v>
      </c>
      <c r="AI34" s="3">
        <f>'S28 Transportation Matrix'!AI34*'S29 Distances Matrix'!AI34</f>
        <v>0</v>
      </c>
      <c r="AJ34" s="3">
        <f>'S28 Transportation Matrix'!AJ34*'S29 Distances Matrix'!AJ34</f>
        <v>0</v>
      </c>
      <c r="AK34" s="3">
        <f>'S28 Transportation Matrix'!AK34*'S29 Distances Matrix'!AK34</f>
        <v>0</v>
      </c>
      <c r="AL34" s="3">
        <f>'S28 Transportation Matrix'!AL34*'S29 Distances Matrix'!AL34</f>
        <v>0</v>
      </c>
      <c r="AM34" s="3">
        <f>'S28 Transportation Matrix'!AM34*'S29 Distances Matrix'!AM34</f>
        <v>0</v>
      </c>
      <c r="AN34" s="3">
        <f>'S28 Transportation Matrix'!AN34*'S29 Distances Matrix'!AN34</f>
        <v>0</v>
      </c>
      <c r="AO34" s="3">
        <f>'S28 Transportation Matrix'!AO34*'S29 Distances Matrix'!AO34</f>
        <v>0</v>
      </c>
      <c r="AP34" s="3">
        <f>'S28 Transportation Matrix'!AP34*'S29 Distances Matrix'!AP34</f>
        <v>0</v>
      </c>
      <c r="AQ34" s="3">
        <f>'S28 Transportation Matrix'!AQ34*'S29 Distances Matrix'!AQ34</f>
        <v>0</v>
      </c>
      <c r="AR34" s="3">
        <f>'S28 Transportation Matrix'!AR34*'S29 Distances Matrix'!AR34</f>
        <v>0</v>
      </c>
      <c r="AS34" s="3">
        <f>'S28 Transportation Matrix'!AS34*'S29 Distances Matrix'!AS34</f>
        <v>0</v>
      </c>
    </row>
    <row r="35" spans="1:45">
      <c r="A35" s="392" t="s">
        <v>1093</v>
      </c>
      <c r="B35" s="3">
        <f>'S28 Transportation Matrix'!B35*'S29 Distances Matrix'!B35</f>
        <v>0</v>
      </c>
      <c r="C35" s="3">
        <f>'S28 Transportation Matrix'!C35*'S29 Distances Matrix'!C35</f>
        <v>0</v>
      </c>
      <c r="D35" s="3">
        <f>'S28 Transportation Matrix'!D35*'S29 Distances Matrix'!D35</f>
        <v>0</v>
      </c>
      <c r="E35" s="3">
        <f>'S28 Transportation Matrix'!E35*'S29 Distances Matrix'!E35</f>
        <v>0</v>
      </c>
      <c r="F35" s="3">
        <f>'S28 Transportation Matrix'!F35*'S29 Distances Matrix'!F35</f>
        <v>0</v>
      </c>
      <c r="G35" s="3">
        <f>'S28 Transportation Matrix'!G35*'S29 Distances Matrix'!G35</f>
        <v>0</v>
      </c>
      <c r="H35" s="3">
        <f>'S28 Transportation Matrix'!H35*'S29 Distances Matrix'!H35</f>
        <v>0</v>
      </c>
      <c r="I35" s="3">
        <f>'S28 Transportation Matrix'!I35*'S29 Distances Matrix'!I35</f>
        <v>0</v>
      </c>
      <c r="J35" s="3">
        <f>'S28 Transportation Matrix'!J35*'S29 Distances Matrix'!J35</f>
        <v>0</v>
      </c>
      <c r="K35" s="3">
        <f>'S28 Transportation Matrix'!K35*'S29 Distances Matrix'!K35</f>
        <v>0</v>
      </c>
      <c r="L35" s="3">
        <f>'S28 Transportation Matrix'!L35*'S29 Distances Matrix'!L35</f>
        <v>0</v>
      </c>
      <c r="M35" s="3">
        <f>'S28 Transportation Matrix'!M35*'S29 Distances Matrix'!M35</f>
        <v>0</v>
      </c>
      <c r="N35" s="3">
        <f>'S28 Transportation Matrix'!N35*'S29 Distances Matrix'!N35</f>
        <v>0</v>
      </c>
      <c r="O35" s="3">
        <f>'S28 Transportation Matrix'!O35*'S29 Distances Matrix'!O35</f>
        <v>0</v>
      </c>
      <c r="P35" s="3">
        <f>'S28 Transportation Matrix'!P35*'S29 Distances Matrix'!P35</f>
        <v>0</v>
      </c>
      <c r="Q35" s="3">
        <f>'S28 Transportation Matrix'!Q35*'S29 Distances Matrix'!Q35</f>
        <v>0</v>
      </c>
      <c r="R35" s="3">
        <f>'S28 Transportation Matrix'!R35*'S29 Distances Matrix'!R35</f>
        <v>0</v>
      </c>
      <c r="S35" s="3">
        <f>'S28 Transportation Matrix'!S35*'S29 Distances Matrix'!S35</f>
        <v>0</v>
      </c>
      <c r="T35" s="3">
        <f>'S28 Transportation Matrix'!T35*'S29 Distances Matrix'!T35</f>
        <v>0</v>
      </c>
      <c r="U35" s="3">
        <f>'S28 Transportation Matrix'!U35*'S29 Distances Matrix'!U35</f>
        <v>0</v>
      </c>
      <c r="V35" s="3">
        <f>'S28 Transportation Matrix'!V35*'S29 Distances Matrix'!V35</f>
        <v>0</v>
      </c>
      <c r="W35" s="3">
        <f>'S28 Transportation Matrix'!W35*'S29 Distances Matrix'!W35</f>
        <v>0</v>
      </c>
      <c r="X35" s="3">
        <f>'S28 Transportation Matrix'!X35*'S29 Distances Matrix'!X35</f>
        <v>0</v>
      </c>
      <c r="Y35" s="3">
        <f>'S28 Transportation Matrix'!Y35*'S29 Distances Matrix'!Y35</f>
        <v>0</v>
      </c>
      <c r="Z35" s="3">
        <f>'S28 Transportation Matrix'!Z35*'S29 Distances Matrix'!Z35</f>
        <v>0</v>
      </c>
      <c r="AA35" s="3">
        <f>'S28 Transportation Matrix'!AA35*'S29 Distances Matrix'!AA35</f>
        <v>0</v>
      </c>
      <c r="AB35" s="3">
        <f>'S28 Transportation Matrix'!AB35*'S29 Distances Matrix'!AB35</f>
        <v>0</v>
      </c>
      <c r="AC35" s="3">
        <f>'S28 Transportation Matrix'!AC35*'S29 Distances Matrix'!AC35</f>
        <v>0</v>
      </c>
      <c r="AD35" s="3">
        <f>'S28 Transportation Matrix'!AD35*'S29 Distances Matrix'!AD35</f>
        <v>0</v>
      </c>
      <c r="AE35" s="3">
        <f>'S28 Transportation Matrix'!AE35*'S29 Distances Matrix'!AE35</f>
        <v>0</v>
      </c>
      <c r="AF35" s="3">
        <f>'S28 Transportation Matrix'!AF35*'S29 Distances Matrix'!AF35</f>
        <v>0</v>
      </c>
      <c r="AG35" s="3">
        <f>'S28 Transportation Matrix'!AG35*'S29 Distances Matrix'!AG35</f>
        <v>0</v>
      </c>
      <c r="AH35" s="3">
        <f>'S28 Transportation Matrix'!AH35*'S29 Distances Matrix'!AH35</f>
        <v>0</v>
      </c>
      <c r="AI35" s="3">
        <f>'S28 Transportation Matrix'!AI35*'S29 Distances Matrix'!AI35</f>
        <v>0</v>
      </c>
      <c r="AJ35" s="3">
        <f>'S28 Transportation Matrix'!AJ35*'S29 Distances Matrix'!AJ35</f>
        <v>0</v>
      </c>
      <c r="AK35" s="3">
        <f>'S28 Transportation Matrix'!AK35*'S29 Distances Matrix'!AK35</f>
        <v>0</v>
      </c>
      <c r="AL35" s="3">
        <f>'S28 Transportation Matrix'!AL35*'S29 Distances Matrix'!AL35</f>
        <v>0</v>
      </c>
      <c r="AM35" s="3">
        <f>'S28 Transportation Matrix'!AM35*'S29 Distances Matrix'!AM35</f>
        <v>0</v>
      </c>
      <c r="AN35" s="3">
        <f>'S28 Transportation Matrix'!AN35*'S29 Distances Matrix'!AN35</f>
        <v>0</v>
      </c>
      <c r="AO35" s="3">
        <f>'S28 Transportation Matrix'!AO35*'S29 Distances Matrix'!AO35</f>
        <v>0</v>
      </c>
      <c r="AP35" s="3">
        <f>'S28 Transportation Matrix'!AP35*'S29 Distances Matrix'!AP35</f>
        <v>0</v>
      </c>
      <c r="AQ35" s="3">
        <f>'S28 Transportation Matrix'!AQ35*'S29 Distances Matrix'!AQ35</f>
        <v>880</v>
      </c>
      <c r="AR35" s="3">
        <f>'S28 Transportation Matrix'!AR35*'S29 Distances Matrix'!AR35</f>
        <v>0</v>
      </c>
      <c r="AS35" s="3">
        <f>'S28 Transportation Matrix'!AS35*'S29 Distances Matrix'!AS35</f>
        <v>1104</v>
      </c>
    </row>
    <row r="36" spans="1:45">
      <c r="A36" s="392" t="s">
        <v>1094</v>
      </c>
      <c r="B36" s="3">
        <f>'S28 Transportation Matrix'!B36*'S29 Distances Matrix'!B36</f>
        <v>0</v>
      </c>
      <c r="C36" s="3">
        <f>'S28 Transportation Matrix'!C36*'S29 Distances Matrix'!C36</f>
        <v>0</v>
      </c>
      <c r="D36" s="3">
        <f>'S28 Transportation Matrix'!D36*'S29 Distances Matrix'!D36</f>
        <v>0</v>
      </c>
      <c r="E36" s="3">
        <f>'S28 Transportation Matrix'!E36*'S29 Distances Matrix'!E36</f>
        <v>0</v>
      </c>
      <c r="F36" s="3">
        <f>'S28 Transportation Matrix'!F36*'S29 Distances Matrix'!F36</f>
        <v>0</v>
      </c>
      <c r="G36" s="3">
        <f>'S28 Transportation Matrix'!G36*'S29 Distances Matrix'!G36</f>
        <v>0</v>
      </c>
      <c r="H36" s="3">
        <f>'S28 Transportation Matrix'!H36*'S29 Distances Matrix'!H36</f>
        <v>0</v>
      </c>
      <c r="I36" s="3">
        <f>'S28 Transportation Matrix'!I36*'S29 Distances Matrix'!I36</f>
        <v>0</v>
      </c>
      <c r="J36" s="3">
        <f>'S28 Transportation Matrix'!J36*'S29 Distances Matrix'!J36</f>
        <v>0</v>
      </c>
      <c r="K36" s="3">
        <f>'S28 Transportation Matrix'!K36*'S29 Distances Matrix'!K36</f>
        <v>0</v>
      </c>
      <c r="L36" s="3">
        <f>'S28 Transportation Matrix'!L36*'S29 Distances Matrix'!L36</f>
        <v>0</v>
      </c>
      <c r="M36" s="3">
        <f>'S28 Transportation Matrix'!M36*'S29 Distances Matrix'!M36</f>
        <v>0</v>
      </c>
      <c r="N36" s="3">
        <f>'S28 Transportation Matrix'!N36*'S29 Distances Matrix'!N36</f>
        <v>0</v>
      </c>
      <c r="O36" s="3">
        <f>'S28 Transportation Matrix'!O36*'S29 Distances Matrix'!O36</f>
        <v>0</v>
      </c>
      <c r="P36" s="3">
        <f>'S28 Transportation Matrix'!P36*'S29 Distances Matrix'!P36</f>
        <v>0</v>
      </c>
      <c r="Q36" s="3">
        <f>'S28 Transportation Matrix'!Q36*'S29 Distances Matrix'!Q36</f>
        <v>0</v>
      </c>
      <c r="R36" s="3">
        <f>'S28 Transportation Matrix'!R36*'S29 Distances Matrix'!R36</f>
        <v>0</v>
      </c>
      <c r="S36" s="3">
        <f>'S28 Transportation Matrix'!S36*'S29 Distances Matrix'!S36</f>
        <v>0</v>
      </c>
      <c r="T36" s="3">
        <f>'S28 Transportation Matrix'!T36*'S29 Distances Matrix'!T36</f>
        <v>0</v>
      </c>
      <c r="U36" s="3">
        <f>'S28 Transportation Matrix'!U36*'S29 Distances Matrix'!U36</f>
        <v>0</v>
      </c>
      <c r="V36" s="3">
        <f>'S28 Transportation Matrix'!V36*'S29 Distances Matrix'!V36</f>
        <v>0</v>
      </c>
      <c r="W36" s="3">
        <f>'S28 Transportation Matrix'!W36*'S29 Distances Matrix'!W36</f>
        <v>0</v>
      </c>
      <c r="X36" s="3">
        <f>'S28 Transportation Matrix'!X36*'S29 Distances Matrix'!X36</f>
        <v>0</v>
      </c>
      <c r="Y36" s="3">
        <f>'S28 Transportation Matrix'!Y36*'S29 Distances Matrix'!Y36</f>
        <v>0</v>
      </c>
      <c r="Z36" s="3">
        <f>'S28 Transportation Matrix'!Z36*'S29 Distances Matrix'!Z36</f>
        <v>0</v>
      </c>
      <c r="AA36" s="3">
        <f>'S28 Transportation Matrix'!AA36*'S29 Distances Matrix'!AA36</f>
        <v>0</v>
      </c>
      <c r="AB36" s="3">
        <f>'S28 Transportation Matrix'!AB36*'S29 Distances Matrix'!AB36</f>
        <v>0</v>
      </c>
      <c r="AC36" s="3">
        <f>'S28 Transportation Matrix'!AC36*'S29 Distances Matrix'!AC36</f>
        <v>0</v>
      </c>
      <c r="AD36" s="3">
        <f>'S28 Transportation Matrix'!AD36*'S29 Distances Matrix'!AD36</f>
        <v>0</v>
      </c>
      <c r="AE36" s="3">
        <f>'S28 Transportation Matrix'!AE36*'S29 Distances Matrix'!AE36</f>
        <v>0</v>
      </c>
      <c r="AF36" s="3">
        <f>'S28 Transportation Matrix'!AF36*'S29 Distances Matrix'!AF36</f>
        <v>0</v>
      </c>
      <c r="AG36" s="3">
        <f>'S28 Transportation Matrix'!AG36*'S29 Distances Matrix'!AG36</f>
        <v>0</v>
      </c>
      <c r="AH36" s="3">
        <f>'S28 Transportation Matrix'!AH36*'S29 Distances Matrix'!AH36</f>
        <v>0</v>
      </c>
      <c r="AI36" s="3">
        <f>'S28 Transportation Matrix'!AI36*'S29 Distances Matrix'!AI36</f>
        <v>0</v>
      </c>
      <c r="AJ36" s="3">
        <f>'S28 Transportation Matrix'!AJ36*'S29 Distances Matrix'!AJ36</f>
        <v>0</v>
      </c>
      <c r="AK36" s="3">
        <f>'S28 Transportation Matrix'!AK36*'S29 Distances Matrix'!AK36</f>
        <v>0</v>
      </c>
      <c r="AL36" s="3">
        <f>'S28 Transportation Matrix'!AL36*'S29 Distances Matrix'!AL36</f>
        <v>0</v>
      </c>
      <c r="AM36" s="3">
        <f>'S28 Transportation Matrix'!AM36*'S29 Distances Matrix'!AM36</f>
        <v>0</v>
      </c>
      <c r="AN36" s="3">
        <f>'S28 Transportation Matrix'!AN36*'S29 Distances Matrix'!AN36</f>
        <v>0</v>
      </c>
      <c r="AO36" s="3">
        <f>'S28 Transportation Matrix'!AO36*'S29 Distances Matrix'!AO36</f>
        <v>0</v>
      </c>
      <c r="AP36" s="3">
        <f>'S28 Transportation Matrix'!AP36*'S29 Distances Matrix'!AP36</f>
        <v>0</v>
      </c>
      <c r="AQ36" s="3">
        <f>'S28 Transportation Matrix'!AQ36*'S29 Distances Matrix'!AQ36</f>
        <v>0</v>
      </c>
      <c r="AR36" s="3">
        <f>'S28 Transportation Matrix'!AR36*'S29 Distances Matrix'!AR36</f>
        <v>0</v>
      </c>
      <c r="AS36" s="3">
        <f>'S28 Transportation Matrix'!AS36*'S29 Distances Matrix'!AS36</f>
        <v>6795</v>
      </c>
    </row>
    <row r="37" spans="1:45">
      <c r="A37" s="392" t="s">
        <v>1096</v>
      </c>
      <c r="B37" s="3">
        <f>'S28 Transportation Matrix'!B37*'S29 Distances Matrix'!B37</f>
        <v>0</v>
      </c>
      <c r="C37" s="3">
        <f>'S28 Transportation Matrix'!C37*'S29 Distances Matrix'!C37</f>
        <v>0</v>
      </c>
      <c r="D37" s="3">
        <f>'S28 Transportation Matrix'!D37*'S29 Distances Matrix'!D37</f>
        <v>0</v>
      </c>
      <c r="E37" s="3">
        <f>'S28 Transportation Matrix'!E37*'S29 Distances Matrix'!E37</f>
        <v>0</v>
      </c>
      <c r="F37" s="3">
        <f>'S28 Transportation Matrix'!F37*'S29 Distances Matrix'!F37</f>
        <v>0</v>
      </c>
      <c r="G37" s="3">
        <f>'S28 Transportation Matrix'!G37*'S29 Distances Matrix'!G37</f>
        <v>0</v>
      </c>
      <c r="H37" s="3">
        <f>'S28 Transportation Matrix'!H37*'S29 Distances Matrix'!H37</f>
        <v>0</v>
      </c>
      <c r="I37" s="3">
        <f>'S28 Transportation Matrix'!I37*'S29 Distances Matrix'!I37</f>
        <v>0</v>
      </c>
      <c r="J37" s="3">
        <f>'S28 Transportation Matrix'!J37*'S29 Distances Matrix'!J37</f>
        <v>0</v>
      </c>
      <c r="K37" s="3">
        <f>'S28 Transportation Matrix'!K37*'S29 Distances Matrix'!K37</f>
        <v>0</v>
      </c>
      <c r="L37" s="3">
        <f>'S28 Transportation Matrix'!L37*'S29 Distances Matrix'!L37</f>
        <v>0</v>
      </c>
      <c r="M37" s="3">
        <f>'S28 Transportation Matrix'!M37*'S29 Distances Matrix'!M37</f>
        <v>0</v>
      </c>
      <c r="N37" s="3">
        <f>'S28 Transportation Matrix'!N37*'S29 Distances Matrix'!N37</f>
        <v>0</v>
      </c>
      <c r="O37" s="3">
        <f>'S28 Transportation Matrix'!O37*'S29 Distances Matrix'!O37</f>
        <v>0</v>
      </c>
      <c r="P37" s="3">
        <f>'S28 Transportation Matrix'!P37*'S29 Distances Matrix'!P37</f>
        <v>0</v>
      </c>
      <c r="Q37" s="3">
        <f>'S28 Transportation Matrix'!Q37*'S29 Distances Matrix'!Q37</f>
        <v>0</v>
      </c>
      <c r="R37" s="3">
        <f>'S28 Transportation Matrix'!R37*'S29 Distances Matrix'!R37</f>
        <v>0</v>
      </c>
      <c r="S37" s="3">
        <f>'S28 Transportation Matrix'!S37*'S29 Distances Matrix'!S37</f>
        <v>0</v>
      </c>
      <c r="T37" s="3">
        <f>'S28 Transportation Matrix'!T37*'S29 Distances Matrix'!T37</f>
        <v>0</v>
      </c>
      <c r="U37" s="3">
        <f>'S28 Transportation Matrix'!U37*'S29 Distances Matrix'!U37</f>
        <v>0</v>
      </c>
      <c r="V37" s="3">
        <f>'S28 Transportation Matrix'!V37*'S29 Distances Matrix'!V37</f>
        <v>0</v>
      </c>
      <c r="W37" s="3">
        <f>'S28 Transportation Matrix'!W37*'S29 Distances Matrix'!W37</f>
        <v>0</v>
      </c>
      <c r="X37" s="3">
        <f>'S28 Transportation Matrix'!X37*'S29 Distances Matrix'!X37</f>
        <v>0</v>
      </c>
      <c r="Y37" s="3">
        <f>'S28 Transportation Matrix'!Y37*'S29 Distances Matrix'!Y37</f>
        <v>0</v>
      </c>
      <c r="Z37" s="3">
        <f>'S28 Transportation Matrix'!Z37*'S29 Distances Matrix'!Z37</f>
        <v>0</v>
      </c>
      <c r="AA37" s="3">
        <f>'S28 Transportation Matrix'!AA37*'S29 Distances Matrix'!AA37</f>
        <v>0</v>
      </c>
      <c r="AB37" s="3">
        <f>'S28 Transportation Matrix'!AB37*'S29 Distances Matrix'!AB37</f>
        <v>0</v>
      </c>
      <c r="AC37" s="3">
        <f>'S28 Transportation Matrix'!AC37*'S29 Distances Matrix'!AC37</f>
        <v>0</v>
      </c>
      <c r="AD37" s="3">
        <f>'S28 Transportation Matrix'!AD37*'S29 Distances Matrix'!AD37</f>
        <v>0</v>
      </c>
      <c r="AE37" s="3">
        <f>'S28 Transportation Matrix'!AE37*'S29 Distances Matrix'!AE37</f>
        <v>0</v>
      </c>
      <c r="AF37" s="3">
        <f>'S28 Transportation Matrix'!AF37*'S29 Distances Matrix'!AF37</f>
        <v>0</v>
      </c>
      <c r="AG37" s="3">
        <f>'S28 Transportation Matrix'!AG37*'S29 Distances Matrix'!AG37</f>
        <v>0</v>
      </c>
      <c r="AH37" s="3">
        <f>'S28 Transportation Matrix'!AH37*'S29 Distances Matrix'!AH37</f>
        <v>0</v>
      </c>
      <c r="AI37" s="3">
        <f>'S28 Transportation Matrix'!AI37*'S29 Distances Matrix'!AI37</f>
        <v>0</v>
      </c>
      <c r="AJ37" s="3">
        <f>'S28 Transportation Matrix'!AJ37*'S29 Distances Matrix'!AJ37</f>
        <v>0</v>
      </c>
      <c r="AK37" s="3">
        <f>'S28 Transportation Matrix'!AK37*'S29 Distances Matrix'!AK37</f>
        <v>0</v>
      </c>
      <c r="AL37" s="3">
        <f>'S28 Transportation Matrix'!AL37*'S29 Distances Matrix'!AL37</f>
        <v>0</v>
      </c>
      <c r="AM37" s="3">
        <f>'S28 Transportation Matrix'!AM37*'S29 Distances Matrix'!AM37</f>
        <v>0</v>
      </c>
      <c r="AN37" s="3">
        <f>'S28 Transportation Matrix'!AN37*'S29 Distances Matrix'!AN37</f>
        <v>0</v>
      </c>
      <c r="AO37" s="3">
        <f>'S28 Transportation Matrix'!AO37*'S29 Distances Matrix'!AO37</f>
        <v>0</v>
      </c>
      <c r="AP37" s="3">
        <f>'S28 Transportation Matrix'!AP37*'S29 Distances Matrix'!AP37</f>
        <v>0</v>
      </c>
      <c r="AQ37" s="3">
        <f>'S28 Transportation Matrix'!AQ37*'S29 Distances Matrix'!AQ37</f>
        <v>0</v>
      </c>
      <c r="AR37" s="3">
        <f>'S28 Transportation Matrix'!AR37*'S29 Distances Matrix'!AR37</f>
        <v>0</v>
      </c>
      <c r="AS37" s="3">
        <f>'S28 Transportation Matrix'!AS37*'S29 Distances Matrix'!AS37</f>
        <v>5325</v>
      </c>
    </row>
    <row r="38" spans="1:45">
      <c r="A38" s="392" t="s">
        <v>1098</v>
      </c>
      <c r="B38" s="3">
        <f>'S28 Transportation Matrix'!B38*'S29 Distances Matrix'!B38</f>
        <v>0</v>
      </c>
      <c r="C38" s="3">
        <f>'S28 Transportation Matrix'!C38*'S29 Distances Matrix'!C38</f>
        <v>0</v>
      </c>
      <c r="D38" s="3">
        <f>'S28 Transportation Matrix'!D38*'S29 Distances Matrix'!D38</f>
        <v>0</v>
      </c>
      <c r="E38" s="3">
        <f>'S28 Transportation Matrix'!E38*'S29 Distances Matrix'!E38</f>
        <v>0</v>
      </c>
      <c r="F38" s="3">
        <f>'S28 Transportation Matrix'!F38*'S29 Distances Matrix'!F38</f>
        <v>0</v>
      </c>
      <c r="G38" s="3">
        <f>'S28 Transportation Matrix'!G38*'S29 Distances Matrix'!G38</f>
        <v>0</v>
      </c>
      <c r="H38" s="3">
        <f>'S28 Transportation Matrix'!H38*'S29 Distances Matrix'!H38</f>
        <v>0</v>
      </c>
      <c r="I38" s="3">
        <f>'S28 Transportation Matrix'!I38*'S29 Distances Matrix'!I38</f>
        <v>0</v>
      </c>
      <c r="J38" s="3">
        <f>'S28 Transportation Matrix'!J38*'S29 Distances Matrix'!J38</f>
        <v>0</v>
      </c>
      <c r="K38" s="3">
        <f>'S28 Transportation Matrix'!K38*'S29 Distances Matrix'!K38</f>
        <v>0</v>
      </c>
      <c r="L38" s="3">
        <f>'S28 Transportation Matrix'!L38*'S29 Distances Matrix'!L38</f>
        <v>0</v>
      </c>
      <c r="M38" s="3">
        <f>'S28 Transportation Matrix'!M38*'S29 Distances Matrix'!M38</f>
        <v>0</v>
      </c>
      <c r="N38" s="3">
        <f>'S28 Transportation Matrix'!N38*'S29 Distances Matrix'!N38</f>
        <v>0</v>
      </c>
      <c r="O38" s="3">
        <f>'S28 Transportation Matrix'!O38*'S29 Distances Matrix'!O38</f>
        <v>0</v>
      </c>
      <c r="P38" s="3">
        <f>'S28 Transportation Matrix'!P38*'S29 Distances Matrix'!P38</f>
        <v>0</v>
      </c>
      <c r="Q38" s="3">
        <f>'S28 Transportation Matrix'!Q38*'S29 Distances Matrix'!Q38</f>
        <v>0</v>
      </c>
      <c r="R38" s="3">
        <f>'S28 Transportation Matrix'!R38*'S29 Distances Matrix'!R38</f>
        <v>0</v>
      </c>
      <c r="S38" s="3">
        <f>'S28 Transportation Matrix'!S38*'S29 Distances Matrix'!S38</f>
        <v>0</v>
      </c>
      <c r="T38" s="3">
        <f>'S28 Transportation Matrix'!T38*'S29 Distances Matrix'!T38</f>
        <v>0</v>
      </c>
      <c r="U38" s="3">
        <f>'S28 Transportation Matrix'!U38*'S29 Distances Matrix'!U38</f>
        <v>0</v>
      </c>
      <c r="V38" s="3">
        <f>'S28 Transportation Matrix'!V38*'S29 Distances Matrix'!V38</f>
        <v>0</v>
      </c>
      <c r="W38" s="3">
        <f>'S28 Transportation Matrix'!W38*'S29 Distances Matrix'!W38</f>
        <v>0</v>
      </c>
      <c r="X38" s="3">
        <f>'S28 Transportation Matrix'!X38*'S29 Distances Matrix'!X38</f>
        <v>0</v>
      </c>
      <c r="Y38" s="3">
        <f>'S28 Transportation Matrix'!Y38*'S29 Distances Matrix'!Y38</f>
        <v>0</v>
      </c>
      <c r="Z38" s="3">
        <f>'S28 Transportation Matrix'!Z38*'S29 Distances Matrix'!Z38</f>
        <v>0</v>
      </c>
      <c r="AA38" s="3">
        <f>'S28 Transportation Matrix'!AA38*'S29 Distances Matrix'!AA38</f>
        <v>0</v>
      </c>
      <c r="AB38" s="3">
        <f>'S28 Transportation Matrix'!AB38*'S29 Distances Matrix'!AB38</f>
        <v>0</v>
      </c>
      <c r="AC38" s="3">
        <f>'S28 Transportation Matrix'!AC38*'S29 Distances Matrix'!AC38</f>
        <v>0</v>
      </c>
      <c r="AD38" s="3">
        <f>'S28 Transportation Matrix'!AD38*'S29 Distances Matrix'!AD38</f>
        <v>0</v>
      </c>
      <c r="AE38" s="3">
        <f>'S28 Transportation Matrix'!AE38*'S29 Distances Matrix'!AE38</f>
        <v>0</v>
      </c>
      <c r="AF38" s="3">
        <f>'S28 Transportation Matrix'!AF38*'S29 Distances Matrix'!AF38</f>
        <v>0</v>
      </c>
      <c r="AG38" s="3">
        <f>'S28 Transportation Matrix'!AG38*'S29 Distances Matrix'!AG38</f>
        <v>0</v>
      </c>
      <c r="AH38" s="3">
        <f>'S28 Transportation Matrix'!AH38*'S29 Distances Matrix'!AH38</f>
        <v>0</v>
      </c>
      <c r="AI38" s="3">
        <f>'S28 Transportation Matrix'!AI38*'S29 Distances Matrix'!AI38</f>
        <v>0</v>
      </c>
      <c r="AJ38" s="3">
        <f>'S28 Transportation Matrix'!AJ38*'S29 Distances Matrix'!AJ38</f>
        <v>0</v>
      </c>
      <c r="AK38" s="3">
        <f>'S28 Transportation Matrix'!AK38*'S29 Distances Matrix'!AK38</f>
        <v>0</v>
      </c>
      <c r="AL38" s="3">
        <f>'S28 Transportation Matrix'!AL38*'S29 Distances Matrix'!AL38</f>
        <v>0</v>
      </c>
      <c r="AM38" s="3">
        <f>'S28 Transportation Matrix'!AM38*'S29 Distances Matrix'!AM38</f>
        <v>0</v>
      </c>
      <c r="AN38" s="3">
        <f>'S28 Transportation Matrix'!AN38*'S29 Distances Matrix'!AN38</f>
        <v>0</v>
      </c>
      <c r="AO38" s="3">
        <f>'S28 Transportation Matrix'!AO38*'S29 Distances Matrix'!AO38</f>
        <v>0</v>
      </c>
      <c r="AP38" s="3">
        <f>'S28 Transportation Matrix'!AP38*'S29 Distances Matrix'!AP38</f>
        <v>0</v>
      </c>
      <c r="AQ38" s="3">
        <f>'S28 Transportation Matrix'!AQ38*'S29 Distances Matrix'!AQ38</f>
        <v>0</v>
      </c>
      <c r="AR38" s="3">
        <f>'S28 Transportation Matrix'!AR38*'S29 Distances Matrix'!AR38</f>
        <v>0</v>
      </c>
      <c r="AS38" s="3">
        <f>'S28 Transportation Matrix'!AS38*'S29 Distances Matrix'!AS38</f>
        <v>0</v>
      </c>
    </row>
    <row r="39" spans="1:45">
      <c r="A39" s="392" t="s">
        <v>1100</v>
      </c>
      <c r="B39" s="3">
        <f>'S28 Transportation Matrix'!B39*'S29 Distances Matrix'!B39</f>
        <v>0</v>
      </c>
      <c r="C39" s="3">
        <f>'S28 Transportation Matrix'!C39*'S29 Distances Matrix'!C39</f>
        <v>0</v>
      </c>
      <c r="D39" s="3">
        <f>'S28 Transportation Matrix'!D39*'S29 Distances Matrix'!D39</f>
        <v>0</v>
      </c>
      <c r="E39" s="3">
        <f>'S28 Transportation Matrix'!E39*'S29 Distances Matrix'!E39</f>
        <v>0</v>
      </c>
      <c r="F39" s="3">
        <f>'S28 Transportation Matrix'!F39*'S29 Distances Matrix'!F39</f>
        <v>3408</v>
      </c>
      <c r="G39" s="3">
        <f>'S28 Transportation Matrix'!G39*'S29 Distances Matrix'!G39</f>
        <v>0</v>
      </c>
      <c r="H39" s="3">
        <f>'S28 Transportation Matrix'!H39*'S29 Distances Matrix'!H39</f>
        <v>0</v>
      </c>
      <c r="I39" s="3">
        <f>'S28 Transportation Matrix'!I39*'S29 Distances Matrix'!I39</f>
        <v>0</v>
      </c>
      <c r="J39" s="3">
        <f>'S28 Transportation Matrix'!J39*'S29 Distances Matrix'!J39</f>
        <v>0</v>
      </c>
      <c r="K39" s="3">
        <f>'S28 Transportation Matrix'!K39*'S29 Distances Matrix'!K39</f>
        <v>0</v>
      </c>
      <c r="L39" s="3">
        <f>'S28 Transportation Matrix'!L39*'S29 Distances Matrix'!L39</f>
        <v>0</v>
      </c>
      <c r="M39" s="3">
        <f>'S28 Transportation Matrix'!M39*'S29 Distances Matrix'!M39</f>
        <v>0</v>
      </c>
      <c r="N39" s="3">
        <f>'S28 Transportation Matrix'!N39*'S29 Distances Matrix'!N39</f>
        <v>0</v>
      </c>
      <c r="O39" s="3">
        <f>'S28 Transportation Matrix'!O39*'S29 Distances Matrix'!O39</f>
        <v>0</v>
      </c>
      <c r="P39" s="3">
        <f>'S28 Transportation Matrix'!P39*'S29 Distances Matrix'!P39</f>
        <v>0</v>
      </c>
      <c r="Q39" s="3">
        <f>'S28 Transportation Matrix'!Q39*'S29 Distances Matrix'!Q39</f>
        <v>0</v>
      </c>
      <c r="R39" s="3">
        <f>'S28 Transportation Matrix'!R39*'S29 Distances Matrix'!R39</f>
        <v>0</v>
      </c>
      <c r="S39" s="3">
        <f>'S28 Transportation Matrix'!S39*'S29 Distances Matrix'!S39</f>
        <v>0</v>
      </c>
      <c r="T39" s="3">
        <f>'S28 Transportation Matrix'!T39*'S29 Distances Matrix'!T39</f>
        <v>0</v>
      </c>
      <c r="U39" s="3">
        <f>'S28 Transportation Matrix'!U39*'S29 Distances Matrix'!U39</f>
        <v>0</v>
      </c>
      <c r="V39" s="3">
        <f>'S28 Transportation Matrix'!V39*'S29 Distances Matrix'!V39</f>
        <v>0</v>
      </c>
      <c r="W39" s="3">
        <f>'S28 Transportation Matrix'!W39*'S29 Distances Matrix'!W39</f>
        <v>0</v>
      </c>
      <c r="X39" s="3">
        <f>'S28 Transportation Matrix'!X39*'S29 Distances Matrix'!X39</f>
        <v>0</v>
      </c>
      <c r="Y39" s="3">
        <f>'S28 Transportation Matrix'!Y39*'S29 Distances Matrix'!Y39</f>
        <v>0</v>
      </c>
      <c r="Z39" s="3">
        <f>'S28 Transportation Matrix'!Z39*'S29 Distances Matrix'!Z39</f>
        <v>0</v>
      </c>
      <c r="AA39" s="3">
        <f>'S28 Transportation Matrix'!AA39*'S29 Distances Matrix'!AA39</f>
        <v>0</v>
      </c>
      <c r="AB39" s="3">
        <f>'S28 Transportation Matrix'!AB39*'S29 Distances Matrix'!AB39</f>
        <v>0</v>
      </c>
      <c r="AC39" s="3">
        <f>'S28 Transportation Matrix'!AC39*'S29 Distances Matrix'!AC39</f>
        <v>0</v>
      </c>
      <c r="AD39" s="3">
        <f>'S28 Transportation Matrix'!AD39*'S29 Distances Matrix'!AD39</f>
        <v>0</v>
      </c>
      <c r="AE39" s="3">
        <f>'S28 Transportation Matrix'!AE39*'S29 Distances Matrix'!AE39</f>
        <v>0</v>
      </c>
      <c r="AF39" s="3">
        <f>'S28 Transportation Matrix'!AF39*'S29 Distances Matrix'!AF39</f>
        <v>0</v>
      </c>
      <c r="AG39" s="3">
        <f>'S28 Transportation Matrix'!AG39*'S29 Distances Matrix'!AG39</f>
        <v>0</v>
      </c>
      <c r="AH39" s="3">
        <f>'S28 Transportation Matrix'!AH39*'S29 Distances Matrix'!AH39</f>
        <v>0</v>
      </c>
      <c r="AI39" s="3">
        <f>'S28 Transportation Matrix'!AI39*'S29 Distances Matrix'!AI39</f>
        <v>0</v>
      </c>
      <c r="AJ39" s="3">
        <f>'S28 Transportation Matrix'!AJ39*'S29 Distances Matrix'!AJ39</f>
        <v>0</v>
      </c>
      <c r="AK39" s="3">
        <f>'S28 Transportation Matrix'!AK39*'S29 Distances Matrix'!AK39</f>
        <v>0</v>
      </c>
      <c r="AL39" s="3">
        <f>'S28 Transportation Matrix'!AL39*'S29 Distances Matrix'!AL39</f>
        <v>0</v>
      </c>
      <c r="AM39" s="3">
        <f>'S28 Transportation Matrix'!AM39*'S29 Distances Matrix'!AM39</f>
        <v>0</v>
      </c>
      <c r="AN39" s="3">
        <f>'S28 Transportation Matrix'!AN39*'S29 Distances Matrix'!AN39</f>
        <v>0</v>
      </c>
      <c r="AO39" s="3">
        <f>'S28 Transportation Matrix'!AO39*'S29 Distances Matrix'!AO39</f>
        <v>0</v>
      </c>
      <c r="AP39" s="3">
        <f>'S28 Transportation Matrix'!AP39*'S29 Distances Matrix'!AP39</f>
        <v>0</v>
      </c>
      <c r="AQ39" s="3">
        <f>'S28 Transportation Matrix'!AQ39*'S29 Distances Matrix'!AQ39</f>
        <v>0</v>
      </c>
      <c r="AR39" s="3">
        <f>'S28 Transportation Matrix'!AR39*'S29 Distances Matrix'!AR39</f>
        <v>0</v>
      </c>
      <c r="AS39" s="3">
        <f>'S28 Transportation Matrix'!AS39*'S29 Distances Matrix'!AS39</f>
        <v>0</v>
      </c>
    </row>
    <row r="40" spans="1:45">
      <c r="A40" s="392" t="s">
        <v>1101</v>
      </c>
      <c r="B40" s="3">
        <f>'S28 Transportation Matrix'!B40*'S29 Distances Matrix'!B40</f>
        <v>0</v>
      </c>
      <c r="C40" s="3">
        <f>'S28 Transportation Matrix'!C40*'S29 Distances Matrix'!C40</f>
        <v>0</v>
      </c>
      <c r="D40" s="3">
        <f>'S28 Transportation Matrix'!D40*'S29 Distances Matrix'!D40</f>
        <v>0</v>
      </c>
      <c r="E40" s="3">
        <f>'S28 Transportation Matrix'!E40*'S29 Distances Matrix'!E40</f>
        <v>0</v>
      </c>
      <c r="F40" s="3">
        <f>'S28 Transportation Matrix'!F40*'S29 Distances Matrix'!F40</f>
        <v>0</v>
      </c>
      <c r="G40" s="3">
        <f>'S28 Transportation Matrix'!G40*'S29 Distances Matrix'!G40</f>
        <v>0</v>
      </c>
      <c r="H40" s="3">
        <f>'S28 Transportation Matrix'!H40*'S29 Distances Matrix'!H40</f>
        <v>0</v>
      </c>
      <c r="I40" s="3">
        <f>'S28 Transportation Matrix'!I40*'S29 Distances Matrix'!I40</f>
        <v>0</v>
      </c>
      <c r="J40" s="3">
        <f>'S28 Transportation Matrix'!J40*'S29 Distances Matrix'!J40</f>
        <v>0</v>
      </c>
      <c r="K40" s="3">
        <f>'S28 Transportation Matrix'!K40*'S29 Distances Matrix'!K40</f>
        <v>0</v>
      </c>
      <c r="L40" s="3">
        <f>'S28 Transportation Matrix'!L40*'S29 Distances Matrix'!L40</f>
        <v>0</v>
      </c>
      <c r="M40" s="3">
        <f>'S28 Transportation Matrix'!M40*'S29 Distances Matrix'!M40</f>
        <v>0</v>
      </c>
      <c r="N40" s="3">
        <f>'S28 Transportation Matrix'!N40*'S29 Distances Matrix'!N40</f>
        <v>0</v>
      </c>
      <c r="O40" s="3">
        <f>'S28 Transportation Matrix'!O40*'S29 Distances Matrix'!O40</f>
        <v>0</v>
      </c>
      <c r="P40" s="3">
        <f>'S28 Transportation Matrix'!P40*'S29 Distances Matrix'!P40</f>
        <v>0</v>
      </c>
      <c r="Q40" s="3">
        <f>'S28 Transportation Matrix'!Q40*'S29 Distances Matrix'!Q40</f>
        <v>0</v>
      </c>
      <c r="R40" s="3">
        <f>'S28 Transportation Matrix'!R40*'S29 Distances Matrix'!R40</f>
        <v>0</v>
      </c>
      <c r="S40" s="3">
        <f>'S28 Transportation Matrix'!S40*'S29 Distances Matrix'!S40</f>
        <v>0</v>
      </c>
      <c r="T40" s="3">
        <f>'S28 Transportation Matrix'!T40*'S29 Distances Matrix'!T40</f>
        <v>0</v>
      </c>
      <c r="U40" s="3">
        <f>'S28 Transportation Matrix'!U40*'S29 Distances Matrix'!U40</f>
        <v>0</v>
      </c>
      <c r="V40" s="3">
        <f>'S28 Transportation Matrix'!V40*'S29 Distances Matrix'!V40</f>
        <v>0</v>
      </c>
      <c r="W40" s="3">
        <f>'S28 Transportation Matrix'!W40*'S29 Distances Matrix'!W40</f>
        <v>0</v>
      </c>
      <c r="X40" s="3">
        <f>'S28 Transportation Matrix'!X40*'S29 Distances Matrix'!X40</f>
        <v>0</v>
      </c>
      <c r="Y40" s="3">
        <f>'S28 Transportation Matrix'!Y40*'S29 Distances Matrix'!Y40</f>
        <v>0</v>
      </c>
      <c r="Z40" s="3">
        <f>'S28 Transportation Matrix'!Z40*'S29 Distances Matrix'!Z40</f>
        <v>0</v>
      </c>
      <c r="AA40" s="3">
        <f>'S28 Transportation Matrix'!AA40*'S29 Distances Matrix'!AA40</f>
        <v>0</v>
      </c>
      <c r="AB40" s="3">
        <f>'S28 Transportation Matrix'!AB40*'S29 Distances Matrix'!AB40</f>
        <v>0</v>
      </c>
      <c r="AC40" s="3">
        <f>'S28 Transportation Matrix'!AC40*'S29 Distances Matrix'!AC40</f>
        <v>0</v>
      </c>
      <c r="AD40" s="3">
        <f>'S28 Transportation Matrix'!AD40*'S29 Distances Matrix'!AD40</f>
        <v>0</v>
      </c>
      <c r="AE40" s="3">
        <f>'S28 Transportation Matrix'!AE40*'S29 Distances Matrix'!AE40</f>
        <v>0</v>
      </c>
      <c r="AF40" s="3">
        <f>'S28 Transportation Matrix'!AF40*'S29 Distances Matrix'!AF40</f>
        <v>0</v>
      </c>
      <c r="AG40" s="3">
        <f>'S28 Transportation Matrix'!AG40*'S29 Distances Matrix'!AG40</f>
        <v>0</v>
      </c>
      <c r="AH40" s="3">
        <f>'S28 Transportation Matrix'!AH40*'S29 Distances Matrix'!AH40</f>
        <v>0</v>
      </c>
      <c r="AI40" s="3">
        <f>'S28 Transportation Matrix'!AI40*'S29 Distances Matrix'!AI40</f>
        <v>0</v>
      </c>
      <c r="AJ40" s="3">
        <f>'S28 Transportation Matrix'!AJ40*'S29 Distances Matrix'!AJ40</f>
        <v>0</v>
      </c>
      <c r="AK40" s="3">
        <f>'S28 Transportation Matrix'!AK40*'S29 Distances Matrix'!AK40</f>
        <v>0</v>
      </c>
      <c r="AL40" s="3">
        <f>'S28 Transportation Matrix'!AL40*'S29 Distances Matrix'!AL40</f>
        <v>0</v>
      </c>
      <c r="AM40" s="3">
        <f>'S28 Transportation Matrix'!AM40*'S29 Distances Matrix'!AM40</f>
        <v>0</v>
      </c>
      <c r="AN40" s="3">
        <f>'S28 Transportation Matrix'!AN40*'S29 Distances Matrix'!AN40</f>
        <v>0</v>
      </c>
      <c r="AO40" s="3">
        <f>'S28 Transportation Matrix'!AO40*'S29 Distances Matrix'!AO40</f>
        <v>0</v>
      </c>
      <c r="AP40" s="3">
        <f>'S28 Transportation Matrix'!AP40*'S29 Distances Matrix'!AP40</f>
        <v>0</v>
      </c>
      <c r="AQ40" s="3">
        <f>'S28 Transportation Matrix'!AQ40*'S29 Distances Matrix'!AQ40</f>
        <v>0</v>
      </c>
      <c r="AR40" s="3">
        <f>'S28 Transportation Matrix'!AR40*'S29 Distances Matrix'!AR40</f>
        <v>0</v>
      </c>
      <c r="AS40" s="3">
        <f>'S28 Transportation Matrix'!AS40*'S29 Distances Matrix'!AS40</f>
        <v>0</v>
      </c>
    </row>
    <row r="41" spans="1:45">
      <c r="A41" s="392" t="s">
        <v>1103</v>
      </c>
      <c r="B41" s="3">
        <f>'S28 Transportation Matrix'!B41*'S29 Distances Matrix'!B41</f>
        <v>0</v>
      </c>
      <c r="C41" s="3">
        <f>'S28 Transportation Matrix'!C41*'S29 Distances Matrix'!C41</f>
        <v>0</v>
      </c>
      <c r="D41" s="3">
        <f>'S28 Transportation Matrix'!D41*'S29 Distances Matrix'!D41</f>
        <v>0</v>
      </c>
      <c r="E41" s="3">
        <f>'S28 Transportation Matrix'!E41*'S29 Distances Matrix'!E41</f>
        <v>0</v>
      </c>
      <c r="F41" s="3">
        <f>'S28 Transportation Matrix'!F41*'S29 Distances Matrix'!F41</f>
        <v>0</v>
      </c>
      <c r="G41" s="3">
        <f>'S28 Transportation Matrix'!G41*'S29 Distances Matrix'!G41</f>
        <v>0</v>
      </c>
      <c r="H41" s="3">
        <f>'S28 Transportation Matrix'!H41*'S29 Distances Matrix'!H41</f>
        <v>3293</v>
      </c>
      <c r="I41" s="3">
        <f>'S28 Transportation Matrix'!I41*'S29 Distances Matrix'!I41</f>
        <v>0</v>
      </c>
      <c r="J41" s="3">
        <f>'S28 Transportation Matrix'!J41*'S29 Distances Matrix'!J41</f>
        <v>0</v>
      </c>
      <c r="K41" s="3">
        <f>'S28 Transportation Matrix'!K41*'S29 Distances Matrix'!K41</f>
        <v>0</v>
      </c>
      <c r="L41" s="3">
        <f>'S28 Transportation Matrix'!L41*'S29 Distances Matrix'!L41</f>
        <v>0</v>
      </c>
      <c r="M41" s="3">
        <f>'S28 Transportation Matrix'!M41*'S29 Distances Matrix'!M41</f>
        <v>0</v>
      </c>
      <c r="N41" s="3">
        <f>'S28 Transportation Matrix'!N41*'S29 Distances Matrix'!N41</f>
        <v>0</v>
      </c>
      <c r="O41" s="3">
        <f>'S28 Transportation Matrix'!O41*'S29 Distances Matrix'!O41</f>
        <v>0</v>
      </c>
      <c r="P41" s="3">
        <f>'S28 Transportation Matrix'!P41*'S29 Distances Matrix'!P41</f>
        <v>0</v>
      </c>
      <c r="Q41" s="3">
        <f>'S28 Transportation Matrix'!Q41*'S29 Distances Matrix'!Q41</f>
        <v>0</v>
      </c>
      <c r="R41" s="3">
        <f>'S28 Transportation Matrix'!R41*'S29 Distances Matrix'!R41</f>
        <v>0</v>
      </c>
      <c r="S41" s="3">
        <f>'S28 Transportation Matrix'!S41*'S29 Distances Matrix'!S41</f>
        <v>0</v>
      </c>
      <c r="T41" s="3">
        <f>'S28 Transportation Matrix'!T41*'S29 Distances Matrix'!T41</f>
        <v>0</v>
      </c>
      <c r="U41" s="3">
        <f>'S28 Transportation Matrix'!U41*'S29 Distances Matrix'!U41</f>
        <v>0</v>
      </c>
      <c r="V41" s="3">
        <f>'S28 Transportation Matrix'!V41*'S29 Distances Matrix'!V41</f>
        <v>0</v>
      </c>
      <c r="W41" s="3">
        <f>'S28 Transportation Matrix'!W41*'S29 Distances Matrix'!W41</f>
        <v>0</v>
      </c>
      <c r="X41" s="3">
        <f>'S28 Transportation Matrix'!X41*'S29 Distances Matrix'!X41</f>
        <v>0</v>
      </c>
      <c r="Y41" s="3">
        <f>'S28 Transportation Matrix'!Y41*'S29 Distances Matrix'!Y41</f>
        <v>0</v>
      </c>
      <c r="Z41" s="3">
        <f>'S28 Transportation Matrix'!Z41*'S29 Distances Matrix'!Z41</f>
        <v>0</v>
      </c>
      <c r="AA41" s="3">
        <f>'S28 Transportation Matrix'!AA41*'S29 Distances Matrix'!AA41</f>
        <v>0</v>
      </c>
      <c r="AB41" s="3">
        <f>'S28 Transportation Matrix'!AB41*'S29 Distances Matrix'!AB41</f>
        <v>0</v>
      </c>
      <c r="AC41" s="3">
        <f>'S28 Transportation Matrix'!AC41*'S29 Distances Matrix'!AC41</f>
        <v>0</v>
      </c>
      <c r="AD41" s="3">
        <f>'S28 Transportation Matrix'!AD41*'S29 Distances Matrix'!AD41</f>
        <v>0</v>
      </c>
      <c r="AE41" s="3">
        <f>'S28 Transportation Matrix'!AE41*'S29 Distances Matrix'!AE41</f>
        <v>0</v>
      </c>
      <c r="AF41" s="3">
        <f>'S28 Transportation Matrix'!AF41*'S29 Distances Matrix'!AF41</f>
        <v>0</v>
      </c>
      <c r="AG41" s="3">
        <f>'S28 Transportation Matrix'!AG41*'S29 Distances Matrix'!AG41</f>
        <v>0</v>
      </c>
      <c r="AH41" s="3">
        <f>'S28 Transportation Matrix'!AH41*'S29 Distances Matrix'!AH41</f>
        <v>0</v>
      </c>
      <c r="AI41" s="3">
        <f>'S28 Transportation Matrix'!AI41*'S29 Distances Matrix'!AI41</f>
        <v>0</v>
      </c>
      <c r="AJ41" s="3">
        <f>'S28 Transportation Matrix'!AJ41*'S29 Distances Matrix'!AJ41</f>
        <v>0</v>
      </c>
      <c r="AK41" s="3">
        <f>'S28 Transportation Matrix'!AK41*'S29 Distances Matrix'!AK41</f>
        <v>0</v>
      </c>
      <c r="AL41" s="3">
        <f>'S28 Transportation Matrix'!AL41*'S29 Distances Matrix'!AL41</f>
        <v>0</v>
      </c>
      <c r="AM41" s="3">
        <f>'S28 Transportation Matrix'!AM41*'S29 Distances Matrix'!AM41</f>
        <v>0</v>
      </c>
      <c r="AN41" s="3">
        <f>'S28 Transportation Matrix'!AN41*'S29 Distances Matrix'!AN41</f>
        <v>0</v>
      </c>
      <c r="AO41" s="3">
        <f>'S28 Transportation Matrix'!AO41*'S29 Distances Matrix'!AO41</f>
        <v>0</v>
      </c>
      <c r="AP41" s="3">
        <f>'S28 Transportation Matrix'!AP41*'S29 Distances Matrix'!AP41</f>
        <v>0</v>
      </c>
      <c r="AQ41" s="3">
        <f>'S28 Transportation Matrix'!AQ41*'S29 Distances Matrix'!AQ41</f>
        <v>0</v>
      </c>
      <c r="AR41" s="3">
        <f>'S28 Transportation Matrix'!AR41*'S29 Distances Matrix'!AR41</f>
        <v>0</v>
      </c>
      <c r="AS41" s="3">
        <f>'S28 Transportation Matrix'!AS41*'S29 Distances Matrix'!AS41</f>
        <v>0</v>
      </c>
    </row>
    <row r="42" spans="1:45">
      <c r="A42" s="392" t="s">
        <v>1105</v>
      </c>
      <c r="B42" s="3">
        <f>'S28 Transportation Matrix'!B42*'S29 Distances Matrix'!B42</f>
        <v>0</v>
      </c>
      <c r="C42" s="3">
        <f>'S28 Transportation Matrix'!C42*'S29 Distances Matrix'!C42</f>
        <v>0</v>
      </c>
      <c r="D42" s="3">
        <f>'S28 Transportation Matrix'!D42*'S29 Distances Matrix'!D42</f>
        <v>0</v>
      </c>
      <c r="E42" s="3">
        <f>'S28 Transportation Matrix'!E42*'S29 Distances Matrix'!E42</f>
        <v>0</v>
      </c>
      <c r="F42" s="3">
        <f>'S28 Transportation Matrix'!F42*'S29 Distances Matrix'!F42</f>
        <v>0</v>
      </c>
      <c r="G42" s="3">
        <f>'S28 Transportation Matrix'!G42*'S29 Distances Matrix'!G42</f>
        <v>0</v>
      </c>
      <c r="H42" s="3">
        <f>'S28 Transportation Matrix'!H42*'S29 Distances Matrix'!H42</f>
        <v>0</v>
      </c>
      <c r="I42" s="3">
        <f>'S28 Transportation Matrix'!I42*'S29 Distances Matrix'!I42</f>
        <v>0</v>
      </c>
      <c r="J42" s="3">
        <f>'S28 Transportation Matrix'!J42*'S29 Distances Matrix'!J42</f>
        <v>0</v>
      </c>
      <c r="K42" s="3">
        <f>'S28 Transportation Matrix'!K42*'S29 Distances Matrix'!K42</f>
        <v>0</v>
      </c>
      <c r="L42" s="3">
        <f>'S28 Transportation Matrix'!L42*'S29 Distances Matrix'!L42</f>
        <v>0</v>
      </c>
      <c r="M42" s="3">
        <f>'S28 Transportation Matrix'!M42*'S29 Distances Matrix'!M42</f>
        <v>0</v>
      </c>
      <c r="N42" s="3">
        <f>'S28 Transportation Matrix'!N42*'S29 Distances Matrix'!N42</f>
        <v>0</v>
      </c>
      <c r="O42" s="3">
        <f>'S28 Transportation Matrix'!O42*'S29 Distances Matrix'!O42</f>
        <v>0</v>
      </c>
      <c r="P42" s="3">
        <f>'S28 Transportation Matrix'!P42*'S29 Distances Matrix'!P42</f>
        <v>0</v>
      </c>
      <c r="Q42" s="3">
        <f>'S28 Transportation Matrix'!Q42*'S29 Distances Matrix'!Q42</f>
        <v>0</v>
      </c>
      <c r="R42" s="3">
        <f>'S28 Transportation Matrix'!R42*'S29 Distances Matrix'!R42</f>
        <v>0</v>
      </c>
      <c r="S42" s="3">
        <f>'S28 Transportation Matrix'!S42*'S29 Distances Matrix'!S42</f>
        <v>0</v>
      </c>
      <c r="T42" s="3">
        <f>'S28 Transportation Matrix'!T42*'S29 Distances Matrix'!T42</f>
        <v>0</v>
      </c>
      <c r="U42" s="3">
        <f>'S28 Transportation Matrix'!U42*'S29 Distances Matrix'!U42</f>
        <v>0</v>
      </c>
      <c r="V42" s="3">
        <f>'S28 Transportation Matrix'!V42*'S29 Distances Matrix'!V42</f>
        <v>0</v>
      </c>
      <c r="W42" s="3">
        <f>'S28 Transportation Matrix'!W42*'S29 Distances Matrix'!W42</f>
        <v>0</v>
      </c>
      <c r="X42" s="3">
        <f>'S28 Transportation Matrix'!X42*'S29 Distances Matrix'!X42</f>
        <v>0</v>
      </c>
      <c r="Y42" s="3">
        <f>'S28 Transportation Matrix'!Y42*'S29 Distances Matrix'!Y42</f>
        <v>0</v>
      </c>
      <c r="Z42" s="3">
        <f>'S28 Transportation Matrix'!Z42*'S29 Distances Matrix'!Z42</f>
        <v>0</v>
      </c>
      <c r="AA42" s="3">
        <f>'S28 Transportation Matrix'!AA42*'S29 Distances Matrix'!AA42</f>
        <v>0</v>
      </c>
      <c r="AB42" s="3">
        <f>'S28 Transportation Matrix'!AB42*'S29 Distances Matrix'!AB42</f>
        <v>0</v>
      </c>
      <c r="AC42" s="3">
        <f>'S28 Transportation Matrix'!AC42*'S29 Distances Matrix'!AC42</f>
        <v>0</v>
      </c>
      <c r="AD42" s="3">
        <f>'S28 Transportation Matrix'!AD42*'S29 Distances Matrix'!AD42</f>
        <v>0</v>
      </c>
      <c r="AE42" s="3">
        <f>'S28 Transportation Matrix'!AE42*'S29 Distances Matrix'!AE42</f>
        <v>0</v>
      </c>
      <c r="AF42" s="3">
        <f>'S28 Transportation Matrix'!AF42*'S29 Distances Matrix'!AF42</f>
        <v>0</v>
      </c>
      <c r="AG42" s="3">
        <f>'S28 Transportation Matrix'!AG42*'S29 Distances Matrix'!AG42</f>
        <v>0</v>
      </c>
      <c r="AH42" s="3">
        <f>'S28 Transportation Matrix'!AH42*'S29 Distances Matrix'!AH42</f>
        <v>0</v>
      </c>
      <c r="AI42" s="3">
        <f>'S28 Transportation Matrix'!AI42*'S29 Distances Matrix'!AI42</f>
        <v>0</v>
      </c>
      <c r="AJ42" s="3">
        <f>'S28 Transportation Matrix'!AJ42*'S29 Distances Matrix'!AJ42</f>
        <v>0</v>
      </c>
      <c r="AK42" s="3">
        <f>'S28 Transportation Matrix'!AK42*'S29 Distances Matrix'!AK42</f>
        <v>0</v>
      </c>
      <c r="AL42" s="3">
        <f>'S28 Transportation Matrix'!AL42*'S29 Distances Matrix'!AL42</f>
        <v>0</v>
      </c>
      <c r="AM42" s="3">
        <f>'S28 Transportation Matrix'!AM42*'S29 Distances Matrix'!AM42</f>
        <v>0</v>
      </c>
      <c r="AN42" s="3">
        <f>'S28 Transportation Matrix'!AN42*'S29 Distances Matrix'!AN42</f>
        <v>0</v>
      </c>
      <c r="AO42" s="3">
        <f>'S28 Transportation Matrix'!AO42*'S29 Distances Matrix'!AO42</f>
        <v>0</v>
      </c>
      <c r="AP42" s="3">
        <f>'S28 Transportation Matrix'!AP42*'S29 Distances Matrix'!AP42</f>
        <v>0</v>
      </c>
      <c r="AQ42" s="3">
        <f>'S28 Transportation Matrix'!AQ42*'S29 Distances Matrix'!AQ42</f>
        <v>0</v>
      </c>
      <c r="AR42" s="3">
        <f>'S28 Transportation Matrix'!AR42*'S29 Distances Matrix'!AR42</f>
        <v>0</v>
      </c>
      <c r="AS42" s="3">
        <f>'S28 Transportation Matrix'!AS42*'S29 Distances Matrix'!AS42</f>
        <v>0</v>
      </c>
    </row>
    <row r="43" spans="1:45">
      <c r="A43" s="392" t="s">
        <v>1107</v>
      </c>
      <c r="B43" s="3">
        <f>'S28 Transportation Matrix'!B43*'S29 Distances Matrix'!B43</f>
        <v>0</v>
      </c>
      <c r="C43" s="3">
        <f>'S28 Transportation Matrix'!C43*'S29 Distances Matrix'!C43</f>
        <v>2416</v>
      </c>
      <c r="D43" s="3">
        <f>'S28 Transportation Matrix'!D43*'S29 Distances Matrix'!D43</f>
        <v>0</v>
      </c>
      <c r="E43" s="3">
        <f>'S28 Transportation Matrix'!E43*'S29 Distances Matrix'!E43</f>
        <v>2556</v>
      </c>
      <c r="F43" s="3">
        <f>'S28 Transportation Matrix'!F43*'S29 Distances Matrix'!F43</f>
        <v>0</v>
      </c>
      <c r="G43" s="3">
        <f>'S28 Transportation Matrix'!G43*'S29 Distances Matrix'!G43</f>
        <v>0</v>
      </c>
      <c r="H43" s="3">
        <f>'S28 Transportation Matrix'!H43*'S29 Distances Matrix'!H43</f>
        <v>1104</v>
      </c>
      <c r="I43" s="3">
        <f>'S28 Transportation Matrix'!I43*'S29 Distances Matrix'!I43</f>
        <v>0</v>
      </c>
      <c r="J43" s="3">
        <f>'S28 Transportation Matrix'!J43*'S29 Distances Matrix'!J43</f>
        <v>0</v>
      </c>
      <c r="K43" s="3">
        <f>'S28 Transportation Matrix'!K43*'S29 Distances Matrix'!K43</f>
        <v>0</v>
      </c>
      <c r="L43" s="3">
        <f>'S28 Transportation Matrix'!L43*'S29 Distances Matrix'!L43</f>
        <v>0</v>
      </c>
      <c r="M43" s="3">
        <f>'S28 Transportation Matrix'!M43*'S29 Distances Matrix'!M43</f>
        <v>0</v>
      </c>
      <c r="N43" s="3">
        <f>'S28 Transportation Matrix'!N43*'S29 Distances Matrix'!N43</f>
        <v>0</v>
      </c>
      <c r="O43" s="3">
        <f>'S28 Transportation Matrix'!O43*'S29 Distances Matrix'!O43</f>
        <v>0</v>
      </c>
      <c r="P43" s="3">
        <f>'S28 Transportation Matrix'!P43*'S29 Distances Matrix'!P43</f>
        <v>0</v>
      </c>
      <c r="Q43" s="3">
        <f>'S28 Transportation Matrix'!Q43*'S29 Distances Matrix'!Q43</f>
        <v>0</v>
      </c>
      <c r="R43" s="3">
        <f>'S28 Transportation Matrix'!R43*'S29 Distances Matrix'!R43</f>
        <v>0</v>
      </c>
      <c r="S43" s="3">
        <f>'S28 Transportation Matrix'!S43*'S29 Distances Matrix'!S43</f>
        <v>0</v>
      </c>
      <c r="T43" s="3">
        <f>'S28 Transportation Matrix'!T43*'S29 Distances Matrix'!T43</f>
        <v>0</v>
      </c>
      <c r="U43" s="3">
        <f>'S28 Transportation Matrix'!U43*'S29 Distances Matrix'!U43</f>
        <v>0</v>
      </c>
      <c r="V43" s="3">
        <f>'S28 Transportation Matrix'!V43*'S29 Distances Matrix'!V43</f>
        <v>0</v>
      </c>
      <c r="W43" s="3">
        <f>'S28 Transportation Matrix'!W43*'S29 Distances Matrix'!W43</f>
        <v>0</v>
      </c>
      <c r="X43" s="3">
        <f>'S28 Transportation Matrix'!X43*'S29 Distances Matrix'!X43</f>
        <v>0</v>
      </c>
      <c r="Y43" s="3">
        <f>'S28 Transportation Matrix'!Y43*'S29 Distances Matrix'!Y43</f>
        <v>0</v>
      </c>
      <c r="Z43" s="3">
        <f>'S28 Transportation Matrix'!Z43*'S29 Distances Matrix'!Z43</f>
        <v>0</v>
      </c>
      <c r="AA43" s="3">
        <f>'S28 Transportation Matrix'!AA43*'S29 Distances Matrix'!AA43</f>
        <v>0</v>
      </c>
      <c r="AB43" s="3">
        <f>'S28 Transportation Matrix'!AB43*'S29 Distances Matrix'!AB43</f>
        <v>0</v>
      </c>
      <c r="AC43" s="3">
        <f>'S28 Transportation Matrix'!AC43*'S29 Distances Matrix'!AC43</f>
        <v>0</v>
      </c>
      <c r="AD43" s="3">
        <f>'S28 Transportation Matrix'!AD43*'S29 Distances Matrix'!AD43</f>
        <v>0</v>
      </c>
      <c r="AE43" s="3">
        <f>'S28 Transportation Matrix'!AE43*'S29 Distances Matrix'!AE43</f>
        <v>0</v>
      </c>
      <c r="AF43" s="3">
        <f>'S28 Transportation Matrix'!AF43*'S29 Distances Matrix'!AF43</f>
        <v>0</v>
      </c>
      <c r="AG43" s="3">
        <f>'S28 Transportation Matrix'!AG43*'S29 Distances Matrix'!AG43</f>
        <v>0</v>
      </c>
      <c r="AH43" s="3">
        <f>'S28 Transportation Matrix'!AH43*'S29 Distances Matrix'!AH43</f>
        <v>0</v>
      </c>
      <c r="AI43" s="3">
        <f>'S28 Transportation Matrix'!AI43*'S29 Distances Matrix'!AI43</f>
        <v>0</v>
      </c>
      <c r="AJ43" s="3">
        <f>'S28 Transportation Matrix'!AJ43*'S29 Distances Matrix'!AJ43</f>
        <v>0</v>
      </c>
      <c r="AK43" s="3">
        <f>'S28 Transportation Matrix'!AK43*'S29 Distances Matrix'!AK43</f>
        <v>0</v>
      </c>
      <c r="AL43" s="3">
        <f>'S28 Transportation Matrix'!AL43*'S29 Distances Matrix'!AL43</f>
        <v>0</v>
      </c>
      <c r="AM43" s="3">
        <f>'S28 Transportation Matrix'!AM43*'S29 Distances Matrix'!AM43</f>
        <v>0</v>
      </c>
      <c r="AN43" s="3">
        <f>'S28 Transportation Matrix'!AN43*'S29 Distances Matrix'!AN43</f>
        <v>0</v>
      </c>
      <c r="AO43" s="3">
        <f>'S28 Transportation Matrix'!AO43*'S29 Distances Matrix'!AO43</f>
        <v>0</v>
      </c>
      <c r="AP43" s="3">
        <f>'S28 Transportation Matrix'!AP43*'S29 Distances Matrix'!AP43</f>
        <v>0</v>
      </c>
      <c r="AQ43" s="3">
        <f>'S28 Transportation Matrix'!AQ43*'S29 Distances Matrix'!AQ43</f>
        <v>0</v>
      </c>
      <c r="AR43" s="3">
        <f>'S28 Transportation Matrix'!AR43*'S29 Distances Matrix'!AR43</f>
        <v>0</v>
      </c>
      <c r="AS43" s="3">
        <f>'S28 Transportation Matrix'!AS43*'S29 Distances Matrix'!AS43</f>
        <v>0</v>
      </c>
    </row>
    <row r="44" spans="1:45">
      <c r="A44" s="392" t="s">
        <v>1109</v>
      </c>
      <c r="B44" s="3">
        <f>'S28 Transportation Matrix'!B44*'S29 Distances Matrix'!B44</f>
        <v>0</v>
      </c>
      <c r="C44" s="3">
        <f>'S28 Transportation Matrix'!C44*'S29 Distances Matrix'!C44</f>
        <v>0</v>
      </c>
      <c r="D44" s="3">
        <f>'S28 Transportation Matrix'!D44*'S29 Distances Matrix'!D44</f>
        <v>0</v>
      </c>
      <c r="E44" s="3">
        <f>'S28 Transportation Matrix'!E44*'S29 Distances Matrix'!E44</f>
        <v>0</v>
      </c>
      <c r="F44" s="3">
        <f>'S28 Transportation Matrix'!F44*'S29 Distances Matrix'!F44</f>
        <v>0</v>
      </c>
      <c r="G44" s="3">
        <f>'S28 Transportation Matrix'!G44*'S29 Distances Matrix'!G44</f>
        <v>0</v>
      </c>
      <c r="H44" s="3">
        <f>'S28 Transportation Matrix'!H44*'S29 Distances Matrix'!H44</f>
        <v>0</v>
      </c>
      <c r="I44" s="3">
        <f>'S28 Transportation Matrix'!I44*'S29 Distances Matrix'!I44</f>
        <v>0</v>
      </c>
      <c r="J44" s="3">
        <f>'S28 Transportation Matrix'!J44*'S29 Distances Matrix'!J44</f>
        <v>0</v>
      </c>
      <c r="K44" s="3">
        <f>'S28 Transportation Matrix'!K44*'S29 Distances Matrix'!K44</f>
        <v>0</v>
      </c>
      <c r="L44" s="3">
        <f>'S28 Transportation Matrix'!L44*'S29 Distances Matrix'!L44</f>
        <v>0</v>
      </c>
      <c r="M44" s="3">
        <f>'S28 Transportation Matrix'!M44*'S29 Distances Matrix'!M44</f>
        <v>0</v>
      </c>
      <c r="N44" s="3">
        <f>'S28 Transportation Matrix'!N44*'S29 Distances Matrix'!N44</f>
        <v>0</v>
      </c>
      <c r="O44" s="3">
        <f>'S28 Transportation Matrix'!O44*'S29 Distances Matrix'!O44</f>
        <v>0</v>
      </c>
      <c r="P44" s="3">
        <f>'S28 Transportation Matrix'!P44*'S29 Distances Matrix'!P44</f>
        <v>0</v>
      </c>
      <c r="Q44" s="3">
        <f>'S28 Transportation Matrix'!Q44*'S29 Distances Matrix'!Q44</f>
        <v>0</v>
      </c>
      <c r="R44" s="3">
        <f>'S28 Transportation Matrix'!R44*'S29 Distances Matrix'!R44</f>
        <v>0</v>
      </c>
      <c r="S44" s="3">
        <f>'S28 Transportation Matrix'!S44*'S29 Distances Matrix'!S44</f>
        <v>0</v>
      </c>
      <c r="T44" s="3">
        <f>'S28 Transportation Matrix'!T44*'S29 Distances Matrix'!T44</f>
        <v>0</v>
      </c>
      <c r="U44" s="3">
        <f>'S28 Transportation Matrix'!U44*'S29 Distances Matrix'!U44</f>
        <v>0</v>
      </c>
      <c r="V44" s="3">
        <f>'S28 Transportation Matrix'!V44*'S29 Distances Matrix'!V44</f>
        <v>0</v>
      </c>
      <c r="W44" s="3">
        <f>'S28 Transportation Matrix'!W44*'S29 Distances Matrix'!W44</f>
        <v>0</v>
      </c>
      <c r="X44" s="3">
        <f>'S28 Transportation Matrix'!X44*'S29 Distances Matrix'!X44</f>
        <v>0</v>
      </c>
      <c r="Y44" s="3">
        <f>'S28 Transportation Matrix'!Y44*'S29 Distances Matrix'!Y44</f>
        <v>0</v>
      </c>
      <c r="Z44" s="3">
        <f>'S28 Transportation Matrix'!Z44*'S29 Distances Matrix'!Z44</f>
        <v>0</v>
      </c>
      <c r="AA44" s="3">
        <f>'S28 Transportation Matrix'!AA44*'S29 Distances Matrix'!AA44</f>
        <v>0</v>
      </c>
      <c r="AB44" s="3">
        <f>'S28 Transportation Matrix'!AB44*'S29 Distances Matrix'!AB44</f>
        <v>0</v>
      </c>
      <c r="AC44" s="3">
        <f>'S28 Transportation Matrix'!AC44*'S29 Distances Matrix'!AC44</f>
        <v>0</v>
      </c>
      <c r="AD44" s="3">
        <f>'S28 Transportation Matrix'!AD44*'S29 Distances Matrix'!AD44</f>
        <v>0</v>
      </c>
      <c r="AE44" s="3">
        <f>'S28 Transportation Matrix'!AE44*'S29 Distances Matrix'!AE44</f>
        <v>0</v>
      </c>
      <c r="AF44" s="3">
        <f>'S28 Transportation Matrix'!AF44*'S29 Distances Matrix'!AF44</f>
        <v>0</v>
      </c>
      <c r="AG44" s="3">
        <f>'S28 Transportation Matrix'!AG44*'S29 Distances Matrix'!AG44</f>
        <v>0</v>
      </c>
      <c r="AH44" s="3">
        <f>'S28 Transportation Matrix'!AH44*'S29 Distances Matrix'!AH44</f>
        <v>0</v>
      </c>
      <c r="AI44" s="3">
        <f>'S28 Transportation Matrix'!AI44*'S29 Distances Matrix'!AI44</f>
        <v>0</v>
      </c>
      <c r="AJ44" s="3">
        <f>'S28 Transportation Matrix'!AJ44*'S29 Distances Matrix'!AJ44</f>
        <v>0</v>
      </c>
      <c r="AK44" s="3">
        <f>'S28 Transportation Matrix'!AK44*'S29 Distances Matrix'!AK44</f>
        <v>0</v>
      </c>
      <c r="AL44" s="3">
        <f>'S28 Transportation Matrix'!AL44*'S29 Distances Matrix'!AL44</f>
        <v>0</v>
      </c>
      <c r="AM44" s="3">
        <f>'S28 Transportation Matrix'!AM44*'S29 Distances Matrix'!AM44</f>
        <v>0</v>
      </c>
      <c r="AN44" s="3">
        <f>'S28 Transportation Matrix'!AN44*'S29 Distances Matrix'!AN44</f>
        <v>0</v>
      </c>
      <c r="AO44" s="3">
        <f>'S28 Transportation Matrix'!AO44*'S29 Distances Matrix'!AO44</f>
        <v>0</v>
      </c>
      <c r="AP44" s="3">
        <f>'S28 Transportation Matrix'!AP44*'S29 Distances Matrix'!AP44</f>
        <v>0</v>
      </c>
      <c r="AQ44" s="3">
        <f>'S28 Transportation Matrix'!AQ44*'S29 Distances Matrix'!AQ44</f>
        <v>0</v>
      </c>
      <c r="AR44" s="3">
        <f>'S28 Transportation Matrix'!AR44*'S29 Distances Matrix'!AR44</f>
        <v>0</v>
      </c>
      <c r="AS44" s="3">
        <f>'S28 Transportation Matrix'!AS44*'S29 Distances Matrix'!AS44</f>
        <v>0</v>
      </c>
    </row>
    <row r="45" spans="1:45">
      <c r="A45" s="392" t="s">
        <v>1111</v>
      </c>
      <c r="B45" s="3">
        <f>'S28 Transportation Matrix'!B45*'S29 Distances Matrix'!B45</f>
        <v>0</v>
      </c>
      <c r="C45" s="3">
        <f>'S28 Transportation Matrix'!C45*'S29 Distances Matrix'!C45</f>
        <v>0</v>
      </c>
      <c r="D45" s="3">
        <f>'S28 Transportation Matrix'!D45*'S29 Distances Matrix'!D45</f>
        <v>0</v>
      </c>
      <c r="E45" s="3">
        <f>'S28 Transportation Matrix'!E45*'S29 Distances Matrix'!E45</f>
        <v>0</v>
      </c>
      <c r="F45" s="3">
        <f>'S28 Transportation Matrix'!F45*'S29 Distances Matrix'!F45</f>
        <v>0</v>
      </c>
      <c r="G45" s="3">
        <f>'S28 Transportation Matrix'!G45*'S29 Distances Matrix'!G45</f>
        <v>0</v>
      </c>
      <c r="H45" s="3">
        <f>'S28 Transportation Matrix'!H45*'S29 Distances Matrix'!H45</f>
        <v>0</v>
      </c>
      <c r="I45" s="3">
        <f>'S28 Transportation Matrix'!I45*'S29 Distances Matrix'!I45</f>
        <v>0</v>
      </c>
      <c r="J45" s="3">
        <f>'S28 Transportation Matrix'!J45*'S29 Distances Matrix'!J45</f>
        <v>0</v>
      </c>
      <c r="K45" s="3">
        <f>'S28 Transportation Matrix'!K45*'S29 Distances Matrix'!K45</f>
        <v>0</v>
      </c>
      <c r="L45" s="3">
        <f>'S28 Transportation Matrix'!L45*'S29 Distances Matrix'!L45</f>
        <v>0</v>
      </c>
      <c r="M45" s="3">
        <f>'S28 Transportation Matrix'!M45*'S29 Distances Matrix'!M45</f>
        <v>0</v>
      </c>
      <c r="N45" s="3">
        <f>'S28 Transportation Matrix'!N45*'S29 Distances Matrix'!N45</f>
        <v>0</v>
      </c>
      <c r="O45" s="3">
        <f>'S28 Transportation Matrix'!O45*'S29 Distances Matrix'!O45</f>
        <v>0</v>
      </c>
      <c r="P45" s="3">
        <f>'S28 Transportation Matrix'!P45*'S29 Distances Matrix'!P45</f>
        <v>0</v>
      </c>
      <c r="Q45" s="3">
        <f>'S28 Transportation Matrix'!Q45*'S29 Distances Matrix'!Q45</f>
        <v>0</v>
      </c>
      <c r="R45" s="3">
        <f>'S28 Transportation Matrix'!R45*'S29 Distances Matrix'!R45</f>
        <v>0</v>
      </c>
      <c r="S45" s="3">
        <f>'S28 Transportation Matrix'!S45*'S29 Distances Matrix'!S45</f>
        <v>0</v>
      </c>
      <c r="T45" s="3">
        <f>'S28 Transportation Matrix'!T45*'S29 Distances Matrix'!T45</f>
        <v>0</v>
      </c>
      <c r="U45" s="3">
        <f>'S28 Transportation Matrix'!U45*'S29 Distances Matrix'!U45</f>
        <v>0</v>
      </c>
      <c r="V45" s="3">
        <f>'S28 Transportation Matrix'!V45*'S29 Distances Matrix'!V45</f>
        <v>0</v>
      </c>
      <c r="W45" s="3">
        <f>'S28 Transportation Matrix'!W45*'S29 Distances Matrix'!W45</f>
        <v>0</v>
      </c>
      <c r="X45" s="3">
        <f>'S28 Transportation Matrix'!X45*'S29 Distances Matrix'!X45</f>
        <v>0</v>
      </c>
      <c r="Y45" s="3">
        <f>'S28 Transportation Matrix'!Y45*'S29 Distances Matrix'!Y45</f>
        <v>0</v>
      </c>
      <c r="Z45" s="3">
        <f>'S28 Transportation Matrix'!Z45*'S29 Distances Matrix'!Z45</f>
        <v>0</v>
      </c>
      <c r="AA45" s="3">
        <f>'S28 Transportation Matrix'!AA45*'S29 Distances Matrix'!AA45</f>
        <v>0</v>
      </c>
      <c r="AB45" s="3">
        <f>'S28 Transportation Matrix'!AB45*'S29 Distances Matrix'!AB45</f>
        <v>0</v>
      </c>
      <c r="AC45" s="3">
        <f>'S28 Transportation Matrix'!AC45*'S29 Distances Matrix'!AC45</f>
        <v>0</v>
      </c>
      <c r="AD45" s="3">
        <f>'S28 Transportation Matrix'!AD45*'S29 Distances Matrix'!AD45</f>
        <v>0</v>
      </c>
      <c r="AE45" s="3">
        <f>'S28 Transportation Matrix'!AE45*'S29 Distances Matrix'!AE45</f>
        <v>0</v>
      </c>
      <c r="AF45" s="3">
        <f>'S28 Transportation Matrix'!AF45*'S29 Distances Matrix'!AF45</f>
        <v>0</v>
      </c>
      <c r="AG45" s="3">
        <f>'S28 Transportation Matrix'!AG45*'S29 Distances Matrix'!AG45</f>
        <v>0</v>
      </c>
      <c r="AH45" s="3">
        <f>'S28 Transportation Matrix'!AH45*'S29 Distances Matrix'!AH45</f>
        <v>0</v>
      </c>
      <c r="AI45" s="3">
        <f>'S28 Transportation Matrix'!AI45*'S29 Distances Matrix'!AI45</f>
        <v>0</v>
      </c>
      <c r="AJ45" s="3">
        <f>'S28 Transportation Matrix'!AJ45*'S29 Distances Matrix'!AJ45</f>
        <v>0</v>
      </c>
      <c r="AK45" s="3">
        <f>'S28 Transportation Matrix'!AK45*'S29 Distances Matrix'!AK45</f>
        <v>0</v>
      </c>
      <c r="AL45" s="3">
        <f>'S28 Transportation Matrix'!AL45*'S29 Distances Matrix'!AL45</f>
        <v>0</v>
      </c>
      <c r="AM45" s="3">
        <f>'S28 Transportation Matrix'!AM45*'S29 Distances Matrix'!AM45</f>
        <v>0</v>
      </c>
      <c r="AN45" s="3">
        <f>'S28 Transportation Matrix'!AN45*'S29 Distances Matrix'!AN45</f>
        <v>0</v>
      </c>
      <c r="AO45" s="3">
        <f>'S28 Transportation Matrix'!AO45*'S29 Distances Matrix'!AO45</f>
        <v>0</v>
      </c>
      <c r="AP45" s="3">
        <f>'S28 Transportation Matrix'!AP45*'S29 Distances Matrix'!AP45</f>
        <v>0</v>
      </c>
      <c r="AQ45" s="3">
        <f>'S28 Transportation Matrix'!AQ45*'S29 Distances Matrix'!AQ45</f>
        <v>0</v>
      </c>
      <c r="AR45" s="3">
        <f>'S28 Transportation Matrix'!AR45*'S29 Distances Matrix'!AR45</f>
        <v>0</v>
      </c>
      <c r="AS45" s="3">
        <f>'S28 Transportation Matrix'!AS45*'S29 Distances Matrix'!AS45</f>
        <v>0</v>
      </c>
    </row>
    <row r="46" spans="1:45">
      <c r="A46" s="392" t="s">
        <v>1112</v>
      </c>
      <c r="B46" s="3">
        <f>'S28 Transportation Matrix'!B46*'S29 Distances Matrix'!B46</f>
        <v>0</v>
      </c>
      <c r="C46" s="3">
        <f>'S28 Transportation Matrix'!C46*'S29 Distances Matrix'!C46</f>
        <v>0</v>
      </c>
      <c r="D46" s="3">
        <f>'S28 Transportation Matrix'!D46*'S29 Distances Matrix'!D46</f>
        <v>0</v>
      </c>
      <c r="E46" s="3">
        <f>'S28 Transportation Matrix'!E46*'S29 Distances Matrix'!E46</f>
        <v>0</v>
      </c>
      <c r="F46" s="3">
        <f>'S28 Transportation Matrix'!F46*'S29 Distances Matrix'!F46</f>
        <v>0</v>
      </c>
      <c r="G46" s="3">
        <f>'S28 Transportation Matrix'!G46*'S29 Distances Matrix'!G46</f>
        <v>0</v>
      </c>
      <c r="H46" s="3">
        <f>'S28 Transportation Matrix'!H46*'S29 Distances Matrix'!H46</f>
        <v>0</v>
      </c>
      <c r="I46" s="3">
        <f>'S28 Transportation Matrix'!I46*'S29 Distances Matrix'!I46</f>
        <v>0</v>
      </c>
      <c r="J46" s="3">
        <f>'S28 Transportation Matrix'!J46*'S29 Distances Matrix'!J46</f>
        <v>0</v>
      </c>
      <c r="K46" s="3">
        <f>'S28 Transportation Matrix'!K46*'S29 Distances Matrix'!K46</f>
        <v>0</v>
      </c>
      <c r="L46" s="3">
        <f>'S28 Transportation Matrix'!L46*'S29 Distances Matrix'!L46</f>
        <v>0</v>
      </c>
      <c r="M46" s="3">
        <f>'S28 Transportation Matrix'!M46*'S29 Distances Matrix'!M46</f>
        <v>0</v>
      </c>
      <c r="N46" s="3">
        <f>'S28 Transportation Matrix'!N46*'S29 Distances Matrix'!N46</f>
        <v>0</v>
      </c>
      <c r="O46" s="3">
        <f>'S28 Transportation Matrix'!O46*'S29 Distances Matrix'!O46</f>
        <v>0</v>
      </c>
      <c r="P46" s="3">
        <f>'S28 Transportation Matrix'!P46*'S29 Distances Matrix'!P46</f>
        <v>0</v>
      </c>
      <c r="Q46" s="3">
        <f>'S28 Transportation Matrix'!Q46*'S29 Distances Matrix'!Q46</f>
        <v>0</v>
      </c>
      <c r="R46" s="3">
        <f>'S28 Transportation Matrix'!R46*'S29 Distances Matrix'!R46</f>
        <v>0</v>
      </c>
      <c r="S46" s="3">
        <f>'S28 Transportation Matrix'!S46*'S29 Distances Matrix'!S46</f>
        <v>0</v>
      </c>
      <c r="T46" s="3">
        <f>'S28 Transportation Matrix'!T46*'S29 Distances Matrix'!T46</f>
        <v>0</v>
      </c>
      <c r="U46" s="3">
        <f>'S28 Transportation Matrix'!U46*'S29 Distances Matrix'!U46</f>
        <v>0</v>
      </c>
      <c r="V46" s="3">
        <f>'S28 Transportation Matrix'!V46*'S29 Distances Matrix'!V46</f>
        <v>0</v>
      </c>
      <c r="W46" s="3">
        <f>'S28 Transportation Matrix'!W46*'S29 Distances Matrix'!W46</f>
        <v>0</v>
      </c>
      <c r="X46" s="3">
        <f>'S28 Transportation Matrix'!X46*'S29 Distances Matrix'!X46</f>
        <v>0</v>
      </c>
      <c r="Y46" s="3">
        <f>'S28 Transportation Matrix'!Y46*'S29 Distances Matrix'!Y46</f>
        <v>0</v>
      </c>
      <c r="Z46" s="3">
        <f>'S28 Transportation Matrix'!Z46*'S29 Distances Matrix'!Z46</f>
        <v>0</v>
      </c>
      <c r="AA46" s="3">
        <f>'S28 Transportation Matrix'!AA46*'S29 Distances Matrix'!AA46</f>
        <v>0</v>
      </c>
      <c r="AB46" s="3">
        <f>'S28 Transportation Matrix'!AB46*'S29 Distances Matrix'!AB46</f>
        <v>0</v>
      </c>
      <c r="AC46" s="3">
        <f>'S28 Transportation Matrix'!AC46*'S29 Distances Matrix'!AC46</f>
        <v>0</v>
      </c>
      <c r="AD46" s="3">
        <f>'S28 Transportation Matrix'!AD46*'S29 Distances Matrix'!AD46</f>
        <v>0</v>
      </c>
      <c r="AE46" s="3">
        <f>'S28 Transportation Matrix'!AE46*'S29 Distances Matrix'!AE46</f>
        <v>0</v>
      </c>
      <c r="AF46" s="3">
        <f>'S28 Transportation Matrix'!AF46*'S29 Distances Matrix'!AF46</f>
        <v>0</v>
      </c>
      <c r="AG46" s="3">
        <f>'S28 Transportation Matrix'!AG46*'S29 Distances Matrix'!AG46</f>
        <v>0</v>
      </c>
      <c r="AH46" s="3">
        <f>'S28 Transportation Matrix'!AH46*'S29 Distances Matrix'!AH46</f>
        <v>0</v>
      </c>
      <c r="AI46" s="3">
        <f>'S28 Transportation Matrix'!AI46*'S29 Distances Matrix'!AI46</f>
        <v>0</v>
      </c>
      <c r="AJ46" s="3">
        <f>'S28 Transportation Matrix'!AJ46*'S29 Distances Matrix'!AJ46</f>
        <v>0</v>
      </c>
      <c r="AK46" s="3">
        <f>'S28 Transportation Matrix'!AK46*'S29 Distances Matrix'!AK46</f>
        <v>7242</v>
      </c>
      <c r="AL46" s="3">
        <f>'S28 Transportation Matrix'!AL46*'S29 Distances Matrix'!AL46</f>
        <v>0</v>
      </c>
      <c r="AM46" s="3">
        <f>'S28 Transportation Matrix'!AM46*'S29 Distances Matrix'!AM46</f>
        <v>2403</v>
      </c>
      <c r="AN46" s="3">
        <f>'S28 Transportation Matrix'!AN46*'S29 Distances Matrix'!AN46</f>
        <v>0</v>
      </c>
      <c r="AO46" s="3">
        <f>'S28 Transportation Matrix'!AO46*'S29 Distances Matrix'!AO46</f>
        <v>9860</v>
      </c>
      <c r="AP46" s="3">
        <f>'S28 Transportation Matrix'!AP46*'S29 Distances Matrix'!AP46</f>
        <v>0</v>
      </c>
      <c r="AQ46" s="3">
        <f>'S28 Transportation Matrix'!AQ46*'S29 Distances Matrix'!AQ46</f>
        <v>0</v>
      </c>
      <c r="AR46" s="3">
        <f>'S28 Transportation Matrix'!AR46*'S29 Distances Matrix'!AR46</f>
        <v>0</v>
      </c>
      <c r="AS46" s="3">
        <f>'S28 Transportation Matrix'!AS46*'S29 Distances Matrix'!AS46</f>
        <v>0</v>
      </c>
    </row>
    <row r="47" spans="1:45">
      <c r="A47" s="392" t="s">
        <v>1113</v>
      </c>
      <c r="B47" s="3">
        <f>'S28 Transportation Matrix'!B47*'S29 Distances Matrix'!B47</f>
        <v>0</v>
      </c>
      <c r="C47" s="3">
        <f>'S28 Transportation Matrix'!C47*'S29 Distances Matrix'!C47</f>
        <v>0</v>
      </c>
      <c r="D47" s="3">
        <f>'S28 Transportation Matrix'!D47*'S29 Distances Matrix'!D47</f>
        <v>0</v>
      </c>
      <c r="E47" s="3">
        <f>'S28 Transportation Matrix'!E47*'S29 Distances Matrix'!E47</f>
        <v>0</v>
      </c>
      <c r="F47" s="3">
        <f>'S28 Transportation Matrix'!F47*'S29 Distances Matrix'!F47</f>
        <v>0</v>
      </c>
      <c r="G47" s="3">
        <f>'S28 Transportation Matrix'!G47*'S29 Distances Matrix'!G47</f>
        <v>0</v>
      </c>
      <c r="H47" s="3">
        <f>'S28 Transportation Matrix'!H47*'S29 Distances Matrix'!H47</f>
        <v>0</v>
      </c>
      <c r="I47" s="3">
        <f>'S28 Transportation Matrix'!I47*'S29 Distances Matrix'!I47</f>
        <v>0</v>
      </c>
      <c r="J47" s="3">
        <f>'S28 Transportation Matrix'!J47*'S29 Distances Matrix'!J47</f>
        <v>0</v>
      </c>
      <c r="K47" s="3">
        <f>'S28 Transportation Matrix'!K47*'S29 Distances Matrix'!K47</f>
        <v>0</v>
      </c>
      <c r="L47" s="3">
        <f>'S28 Transportation Matrix'!L47*'S29 Distances Matrix'!L47</f>
        <v>0</v>
      </c>
      <c r="M47" s="3">
        <f>'S28 Transportation Matrix'!M47*'S29 Distances Matrix'!M47</f>
        <v>0</v>
      </c>
      <c r="N47" s="3">
        <f>'S28 Transportation Matrix'!N47*'S29 Distances Matrix'!N47</f>
        <v>0</v>
      </c>
      <c r="O47" s="3">
        <f>'S28 Transportation Matrix'!O47*'S29 Distances Matrix'!O47</f>
        <v>0</v>
      </c>
      <c r="P47" s="3">
        <f>'S28 Transportation Matrix'!P47*'S29 Distances Matrix'!P47</f>
        <v>0</v>
      </c>
      <c r="Q47" s="3">
        <f>'S28 Transportation Matrix'!Q47*'S29 Distances Matrix'!Q47</f>
        <v>0</v>
      </c>
      <c r="R47" s="3">
        <f>'S28 Transportation Matrix'!R47*'S29 Distances Matrix'!R47</f>
        <v>0</v>
      </c>
      <c r="S47" s="3">
        <f>'S28 Transportation Matrix'!S47*'S29 Distances Matrix'!S47</f>
        <v>0</v>
      </c>
      <c r="T47" s="3">
        <f>'S28 Transportation Matrix'!T47*'S29 Distances Matrix'!T47</f>
        <v>0</v>
      </c>
      <c r="U47" s="3">
        <f>'S28 Transportation Matrix'!U47*'S29 Distances Matrix'!U47</f>
        <v>0</v>
      </c>
      <c r="V47" s="3">
        <f>'S28 Transportation Matrix'!V47*'S29 Distances Matrix'!V47</f>
        <v>0</v>
      </c>
      <c r="W47" s="3">
        <f>'S28 Transportation Matrix'!W47*'S29 Distances Matrix'!W47</f>
        <v>0</v>
      </c>
      <c r="X47" s="3">
        <f>'S28 Transportation Matrix'!X47*'S29 Distances Matrix'!X47</f>
        <v>0</v>
      </c>
      <c r="Y47" s="3">
        <f>'S28 Transportation Matrix'!Y47*'S29 Distances Matrix'!Y47</f>
        <v>0</v>
      </c>
      <c r="Z47" s="3">
        <f>'S28 Transportation Matrix'!Z47*'S29 Distances Matrix'!Z47</f>
        <v>0</v>
      </c>
      <c r="AA47" s="3">
        <f>'S28 Transportation Matrix'!AA47*'S29 Distances Matrix'!AA47</f>
        <v>0</v>
      </c>
      <c r="AB47" s="3">
        <f>'S28 Transportation Matrix'!AB47*'S29 Distances Matrix'!AB47</f>
        <v>0</v>
      </c>
      <c r="AC47" s="3">
        <f>'S28 Transportation Matrix'!AC47*'S29 Distances Matrix'!AC47</f>
        <v>0</v>
      </c>
      <c r="AD47" s="3">
        <f>'S28 Transportation Matrix'!AD47*'S29 Distances Matrix'!AD47</f>
        <v>0</v>
      </c>
      <c r="AE47" s="3">
        <f>'S28 Transportation Matrix'!AE47*'S29 Distances Matrix'!AE47</f>
        <v>0</v>
      </c>
      <c r="AF47" s="3">
        <f>'S28 Transportation Matrix'!AF47*'S29 Distances Matrix'!AF47</f>
        <v>0</v>
      </c>
      <c r="AG47" s="3">
        <f>'S28 Transportation Matrix'!AG47*'S29 Distances Matrix'!AG47</f>
        <v>0</v>
      </c>
      <c r="AH47" s="3">
        <f>'S28 Transportation Matrix'!AH47*'S29 Distances Matrix'!AH47</f>
        <v>0</v>
      </c>
      <c r="AI47" s="3">
        <f>'S28 Transportation Matrix'!AI47*'S29 Distances Matrix'!AI47</f>
        <v>0</v>
      </c>
      <c r="AJ47" s="3">
        <f>'S28 Transportation Matrix'!AJ47*'S29 Distances Matrix'!AJ47</f>
        <v>0</v>
      </c>
      <c r="AK47" s="3">
        <f>'S28 Transportation Matrix'!AK47*'S29 Distances Matrix'!AK47</f>
        <v>0</v>
      </c>
      <c r="AL47" s="3">
        <f>'S28 Transportation Matrix'!AL47*'S29 Distances Matrix'!AL47</f>
        <v>0</v>
      </c>
      <c r="AM47" s="3">
        <f>'S28 Transportation Matrix'!AM47*'S29 Distances Matrix'!AM47</f>
        <v>0</v>
      </c>
      <c r="AN47" s="3">
        <f>'S28 Transportation Matrix'!AN47*'S29 Distances Matrix'!AN47</f>
        <v>0</v>
      </c>
      <c r="AO47" s="3">
        <f>'S28 Transportation Matrix'!AO47*'S29 Distances Matrix'!AO47</f>
        <v>0</v>
      </c>
      <c r="AP47" s="3">
        <f>'S28 Transportation Matrix'!AP47*'S29 Distances Matrix'!AP47</f>
        <v>0</v>
      </c>
      <c r="AQ47" s="3">
        <f>'S28 Transportation Matrix'!AQ47*'S29 Distances Matrix'!AQ47</f>
        <v>0</v>
      </c>
      <c r="AR47" s="3">
        <f>'S28 Transportation Matrix'!AR47*'S29 Distances Matrix'!AR47</f>
        <v>0</v>
      </c>
      <c r="AS47" s="3">
        <f>'S28 Transportation Matrix'!AS47*'S29 Distances Matrix'!AS47</f>
        <v>0</v>
      </c>
    </row>
  </sheetData>
  <conditionalFormatting sqref="B4:AS47">
    <cfRule type="cellIs" dxfId="1" priority="1" operator="equal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6E4EB-2167-3C42-BF10-67DE063895F5}">
  <sheetPr codeName="Sheet31"/>
  <dimension ref="A1:CH45"/>
  <sheetViews>
    <sheetView topLeftCell="I71" zoomScale="57" workbookViewId="0">
      <selection activeCell="AO83" sqref="AO83"/>
    </sheetView>
  </sheetViews>
  <sheetFormatPr defaultColWidth="10.6640625" defaultRowHeight="15.5"/>
  <sheetData>
    <row r="1" spans="1:86">
      <c r="A1" s="398" t="s">
        <v>1224</v>
      </c>
      <c r="E1" s="398" t="s">
        <v>1225</v>
      </c>
      <c r="F1" s="398" t="s">
        <v>1034</v>
      </c>
      <c r="G1" s="398" t="s">
        <v>1036</v>
      </c>
      <c r="H1" s="398" t="s">
        <v>1038</v>
      </c>
      <c r="I1" s="398" t="s">
        <v>1040</v>
      </c>
      <c r="J1" s="398" t="s">
        <v>1042</v>
      </c>
      <c r="K1" s="398" t="s">
        <v>1044</v>
      </c>
      <c r="L1" s="398" t="s">
        <v>1046</v>
      </c>
      <c r="M1" s="398" t="s">
        <v>1048</v>
      </c>
      <c r="N1" s="398" t="s">
        <v>1049</v>
      </c>
      <c r="O1" s="398" t="s">
        <v>1051</v>
      </c>
      <c r="P1" s="398" t="s">
        <v>1053</v>
      </c>
      <c r="Q1" s="398" t="s">
        <v>1055</v>
      </c>
      <c r="R1" s="398" t="s">
        <v>1057</v>
      </c>
      <c r="S1" s="398" t="s">
        <v>1059</v>
      </c>
      <c r="T1" s="398" t="s">
        <v>1061</v>
      </c>
      <c r="U1" s="398" t="s">
        <v>1063</v>
      </c>
      <c r="V1" s="398" t="s">
        <v>1065</v>
      </c>
      <c r="W1" s="398" t="s">
        <v>1067</v>
      </c>
      <c r="X1" s="398" t="s">
        <v>1069</v>
      </c>
      <c r="Y1" s="398" t="s">
        <v>1071</v>
      </c>
      <c r="Z1" s="398" t="s">
        <v>1072</v>
      </c>
      <c r="AA1" s="398" t="s">
        <v>1074</v>
      </c>
      <c r="AB1" s="398" t="s">
        <v>1076</v>
      </c>
      <c r="AC1" s="398" t="s">
        <v>1078</v>
      </c>
      <c r="AD1" s="398" t="s">
        <v>1080</v>
      </c>
      <c r="AE1" s="398" t="s">
        <v>1082</v>
      </c>
      <c r="AF1" s="398" t="s">
        <v>1083</v>
      </c>
      <c r="AG1" s="398" t="s">
        <v>1085</v>
      </c>
      <c r="AH1" s="398" t="s">
        <v>1087</v>
      </c>
      <c r="AI1" s="398" t="s">
        <v>1089</v>
      </c>
      <c r="AJ1" s="398" t="s">
        <v>1091</v>
      </c>
      <c r="AK1" s="398" t="s">
        <v>1093</v>
      </c>
      <c r="AL1" s="398" t="s">
        <v>1094</v>
      </c>
      <c r="AM1" s="398" t="s">
        <v>1096</v>
      </c>
      <c r="AN1" s="398" t="s">
        <v>1098</v>
      </c>
      <c r="AO1" s="398" t="s">
        <v>1100</v>
      </c>
      <c r="AP1" s="398" t="s">
        <v>1101</v>
      </c>
      <c r="AQ1" s="398" t="s">
        <v>1103</v>
      </c>
      <c r="AR1" s="398" t="s">
        <v>1105</v>
      </c>
      <c r="AS1" s="398" t="s">
        <v>1107</v>
      </c>
      <c r="AT1" s="398" t="s">
        <v>1109</v>
      </c>
      <c r="AU1" s="398" t="s">
        <v>1111</v>
      </c>
      <c r="AV1" s="398" t="s">
        <v>1112</v>
      </c>
      <c r="AW1" s="398" t="s">
        <v>1113</v>
      </c>
    </row>
    <row r="2" spans="1:86">
      <c r="A2" s="3" t="str">
        <f>IFERROR(ROUND(SQRT(VLOOKUP(E2, 'S26 Space Requirements'!$B$5:$P$30, 15, 0)), 0), "")</f>
        <v/>
      </c>
      <c r="E2" s="399" t="s">
        <v>1034</v>
      </c>
      <c r="F2" s="3">
        <f>'S28 Transportation Matrix'!B4</f>
        <v>0</v>
      </c>
      <c r="G2" s="3">
        <f>'S28 Transportation Matrix'!C4</f>
        <v>0</v>
      </c>
      <c r="H2" s="3">
        <f>'S28 Transportation Matrix'!D4</f>
        <v>0</v>
      </c>
      <c r="I2" s="3">
        <f>'S28 Transportation Matrix'!E4</f>
        <v>0</v>
      </c>
      <c r="J2" s="3">
        <f>'S28 Transportation Matrix'!F4</f>
        <v>0</v>
      </c>
      <c r="K2" s="3">
        <f>'S28 Transportation Matrix'!G4</f>
        <v>0</v>
      </c>
      <c r="L2" s="3">
        <f>'S28 Transportation Matrix'!H4</f>
        <v>0</v>
      </c>
      <c r="M2" s="3">
        <f>'S28 Transportation Matrix'!I4</f>
        <v>0</v>
      </c>
      <c r="N2" s="3">
        <f>'S28 Transportation Matrix'!J4</f>
        <v>0</v>
      </c>
      <c r="O2" s="3">
        <f>'S28 Transportation Matrix'!K4</f>
        <v>0</v>
      </c>
      <c r="P2" s="3">
        <f>'S28 Transportation Matrix'!L4</f>
        <v>0</v>
      </c>
      <c r="Q2" s="3">
        <f>'S28 Transportation Matrix'!M4</f>
        <v>0</v>
      </c>
      <c r="R2" s="3">
        <f>'S28 Transportation Matrix'!N4</f>
        <v>0</v>
      </c>
      <c r="S2" s="3">
        <f>'S28 Transportation Matrix'!O4</f>
        <v>0</v>
      </c>
      <c r="T2" s="3">
        <f>'S28 Transportation Matrix'!P4</f>
        <v>0</v>
      </c>
      <c r="U2" s="3">
        <f>'S28 Transportation Matrix'!Q4</f>
        <v>0</v>
      </c>
      <c r="V2" s="3">
        <f>'S28 Transportation Matrix'!R4</f>
        <v>0</v>
      </c>
      <c r="W2" s="3">
        <f>'S28 Transportation Matrix'!S4</f>
        <v>0</v>
      </c>
      <c r="X2" s="3">
        <f>'S28 Transportation Matrix'!T4</f>
        <v>0</v>
      </c>
      <c r="Y2" s="3">
        <f>'S28 Transportation Matrix'!U4</f>
        <v>0</v>
      </c>
      <c r="Z2" s="3">
        <f>'S28 Transportation Matrix'!V4</f>
        <v>0</v>
      </c>
      <c r="AA2" s="3">
        <f>'S28 Transportation Matrix'!W4</f>
        <v>0</v>
      </c>
      <c r="AB2" s="3">
        <f>'S28 Transportation Matrix'!X4</f>
        <v>0</v>
      </c>
      <c r="AC2" s="3">
        <f>'S28 Transportation Matrix'!Y4</f>
        <v>0</v>
      </c>
      <c r="AD2" s="3">
        <f>'S28 Transportation Matrix'!Z4</f>
        <v>0</v>
      </c>
      <c r="AE2" s="3">
        <f>'S28 Transportation Matrix'!AA4</f>
        <v>0</v>
      </c>
      <c r="AF2" s="3">
        <f>'S28 Transportation Matrix'!AB4</f>
        <v>0</v>
      </c>
      <c r="AG2" s="3">
        <f>'S28 Transportation Matrix'!AC4</f>
        <v>0</v>
      </c>
      <c r="AH2" s="3">
        <f>'S28 Transportation Matrix'!AD4</f>
        <v>0</v>
      </c>
      <c r="AI2" s="3">
        <f>'S28 Transportation Matrix'!AE4</f>
        <v>0</v>
      </c>
      <c r="AJ2" s="3">
        <f>'S28 Transportation Matrix'!AF4</f>
        <v>0</v>
      </c>
      <c r="AK2" s="3">
        <f>'S28 Transportation Matrix'!AG4</f>
        <v>0</v>
      </c>
      <c r="AL2" s="3">
        <f>'S28 Transportation Matrix'!AH4</f>
        <v>0</v>
      </c>
      <c r="AM2" s="3">
        <f>'S28 Transportation Matrix'!AI4</f>
        <v>0</v>
      </c>
      <c r="AN2" s="3">
        <f>'S28 Transportation Matrix'!AJ4</f>
        <v>0</v>
      </c>
      <c r="AO2" s="3">
        <f>'S28 Transportation Matrix'!AK4</f>
        <v>0</v>
      </c>
      <c r="AP2" s="3">
        <f>'S28 Transportation Matrix'!AL4</f>
        <v>0</v>
      </c>
      <c r="AQ2" s="3">
        <f>'S28 Transportation Matrix'!AM4</f>
        <v>0</v>
      </c>
      <c r="AR2" s="3">
        <f>'S28 Transportation Matrix'!AN4</f>
        <v>0</v>
      </c>
      <c r="AS2" s="3">
        <f>'S28 Transportation Matrix'!AO4</f>
        <v>0</v>
      </c>
      <c r="AT2" s="3">
        <f>'S28 Transportation Matrix'!AP4</f>
        <v>0</v>
      </c>
      <c r="AU2" s="3">
        <f>'S28 Transportation Matrix'!AQ4</f>
        <v>0</v>
      </c>
      <c r="AV2" s="3">
        <f>'S28 Transportation Matrix'!AR4</f>
        <v>0</v>
      </c>
      <c r="AW2" s="3">
        <f>'S28 Transportation Matrix'!AS4</f>
        <v>0</v>
      </c>
    </row>
    <row r="3" spans="1:86" ht="16" thickBot="1">
      <c r="A3" s="3">
        <f>IFERROR(ROUND(SQRT(VLOOKUP(E3, 'S26 Space Requirements'!$B$5:$P$30, 15, 0)), 0), "")</f>
        <v>23</v>
      </c>
      <c r="E3" s="399" t="s">
        <v>1036</v>
      </c>
      <c r="F3" s="3">
        <f>'S28 Transportation Matrix'!B5</f>
        <v>0</v>
      </c>
      <c r="G3" s="3">
        <f>'S28 Transportation Matrix'!C5</f>
        <v>0</v>
      </c>
      <c r="H3" s="3">
        <f>'S28 Transportation Matrix'!D5</f>
        <v>0</v>
      </c>
      <c r="I3" s="3">
        <f>'S28 Transportation Matrix'!E5</f>
        <v>0</v>
      </c>
      <c r="J3" s="3">
        <f>'S28 Transportation Matrix'!F5</f>
        <v>0</v>
      </c>
      <c r="K3" s="3">
        <f>'S28 Transportation Matrix'!G5</f>
        <v>0</v>
      </c>
      <c r="L3" s="3">
        <f>'S28 Transportation Matrix'!H5</f>
        <v>0</v>
      </c>
      <c r="M3" s="3">
        <f>'S28 Transportation Matrix'!I5</f>
        <v>0</v>
      </c>
      <c r="N3" s="3">
        <f>'S28 Transportation Matrix'!J5</f>
        <v>0</v>
      </c>
      <c r="O3" s="3">
        <f>'S28 Transportation Matrix'!K5</f>
        <v>0</v>
      </c>
      <c r="P3" s="3">
        <f>'S28 Transportation Matrix'!L5</f>
        <v>0</v>
      </c>
      <c r="Q3" s="3">
        <f>'S28 Transportation Matrix'!M5</f>
        <v>0</v>
      </c>
      <c r="R3" s="3">
        <f>'S28 Transportation Matrix'!N5</f>
        <v>0</v>
      </c>
      <c r="S3" s="3">
        <f>'S28 Transportation Matrix'!O5</f>
        <v>0</v>
      </c>
      <c r="T3" s="3">
        <f>'S28 Transportation Matrix'!P5</f>
        <v>0</v>
      </c>
      <c r="U3" s="3">
        <f>'S28 Transportation Matrix'!Q5</f>
        <v>0</v>
      </c>
      <c r="V3" s="3">
        <f>'S28 Transportation Matrix'!R5</f>
        <v>0</v>
      </c>
      <c r="W3" s="3">
        <f>'S28 Transportation Matrix'!S5</f>
        <v>151</v>
      </c>
      <c r="X3" s="3">
        <f>'S28 Transportation Matrix'!T5</f>
        <v>0</v>
      </c>
      <c r="Y3" s="3">
        <f>'S28 Transportation Matrix'!U5</f>
        <v>0</v>
      </c>
      <c r="Z3" s="3">
        <f>'S28 Transportation Matrix'!V5</f>
        <v>0</v>
      </c>
      <c r="AA3" s="3">
        <f>'S28 Transportation Matrix'!W5</f>
        <v>0</v>
      </c>
      <c r="AB3" s="3">
        <f>'S28 Transportation Matrix'!X5</f>
        <v>0</v>
      </c>
      <c r="AC3" s="3">
        <f>'S28 Transportation Matrix'!Y5</f>
        <v>0</v>
      </c>
      <c r="AD3" s="3">
        <f>'S28 Transportation Matrix'!Z5</f>
        <v>0</v>
      </c>
      <c r="AE3" s="3">
        <f>'S28 Transportation Matrix'!AA5</f>
        <v>0</v>
      </c>
      <c r="AF3" s="3">
        <f>'S28 Transportation Matrix'!AB5</f>
        <v>0</v>
      </c>
      <c r="AG3" s="3">
        <f>'S28 Transportation Matrix'!AC5</f>
        <v>0</v>
      </c>
      <c r="AH3" s="3">
        <f>'S28 Transportation Matrix'!AD5</f>
        <v>0</v>
      </c>
      <c r="AI3" s="3">
        <f>'S28 Transportation Matrix'!AE5</f>
        <v>0</v>
      </c>
      <c r="AJ3" s="3">
        <f>'S28 Transportation Matrix'!AF5</f>
        <v>0</v>
      </c>
      <c r="AK3" s="3">
        <f>'S28 Transportation Matrix'!AG5</f>
        <v>0</v>
      </c>
      <c r="AL3" s="3">
        <f>'S28 Transportation Matrix'!AH5</f>
        <v>0</v>
      </c>
      <c r="AM3" s="3">
        <f>'S28 Transportation Matrix'!AI5</f>
        <v>0</v>
      </c>
      <c r="AN3" s="3">
        <f>'S28 Transportation Matrix'!AJ5</f>
        <v>0</v>
      </c>
      <c r="AO3" s="3">
        <f>'S28 Transportation Matrix'!AK5</f>
        <v>0</v>
      </c>
      <c r="AP3" s="3">
        <f>'S28 Transportation Matrix'!AL5</f>
        <v>0</v>
      </c>
      <c r="AQ3" s="3">
        <f>'S28 Transportation Matrix'!AM5</f>
        <v>0</v>
      </c>
      <c r="AR3" s="3">
        <f>'S28 Transportation Matrix'!AN5</f>
        <v>0</v>
      </c>
      <c r="AS3" s="3">
        <f>'S28 Transportation Matrix'!AO5</f>
        <v>0</v>
      </c>
      <c r="AT3" s="3">
        <f>'S28 Transportation Matrix'!AP5</f>
        <v>0</v>
      </c>
      <c r="AU3" s="3">
        <f>'S28 Transportation Matrix'!AQ5</f>
        <v>0</v>
      </c>
      <c r="AV3" s="3">
        <f>'S28 Transportation Matrix'!AR5</f>
        <v>0</v>
      </c>
      <c r="AW3" s="3">
        <f>'S28 Transportation Matrix'!AS5</f>
        <v>0</v>
      </c>
    </row>
    <row r="4" spans="1:86" ht="16" thickBot="1">
      <c r="A4" s="3">
        <f>IFERROR(ROUND(SQRT(VLOOKUP(E4, 'S26 Space Requirements'!$B$5:$P$30, 15, 0)), 0), "")</f>
        <v>12</v>
      </c>
      <c r="E4" s="399" t="s">
        <v>1038</v>
      </c>
      <c r="F4" s="3">
        <f>'S28 Transportation Matrix'!B6</f>
        <v>0</v>
      </c>
      <c r="G4" s="3">
        <f>'S28 Transportation Matrix'!C6</f>
        <v>0</v>
      </c>
      <c r="H4" s="3">
        <f>'S28 Transportation Matrix'!D6</f>
        <v>0</v>
      </c>
      <c r="I4" s="3">
        <f>'S28 Transportation Matrix'!E6</f>
        <v>0</v>
      </c>
      <c r="J4" s="3">
        <f>'S28 Transportation Matrix'!F6</f>
        <v>0</v>
      </c>
      <c r="K4" s="3">
        <f>'S28 Transportation Matrix'!G6</f>
        <v>0</v>
      </c>
      <c r="L4" s="3">
        <f>'S28 Transportation Matrix'!H6</f>
        <v>0</v>
      </c>
      <c r="M4" s="3">
        <f>'S28 Transportation Matrix'!I6</f>
        <v>0</v>
      </c>
      <c r="N4" s="3">
        <f>'S28 Transportation Matrix'!J6</f>
        <v>0</v>
      </c>
      <c r="O4" s="3">
        <f>'S28 Transportation Matrix'!K6</f>
        <v>0</v>
      </c>
      <c r="P4" s="3">
        <f>'S28 Transportation Matrix'!L6</f>
        <v>0</v>
      </c>
      <c r="Q4" s="3">
        <f>'S28 Transportation Matrix'!M6</f>
        <v>0</v>
      </c>
      <c r="R4" s="3">
        <f>'S28 Transportation Matrix'!N6</f>
        <v>0</v>
      </c>
      <c r="S4" s="3">
        <f>'S28 Transportation Matrix'!O6</f>
        <v>0</v>
      </c>
      <c r="T4" s="3">
        <f>'S28 Transportation Matrix'!P6</f>
        <v>0</v>
      </c>
      <c r="U4" s="3">
        <f>'S28 Transportation Matrix'!Q6</f>
        <v>0</v>
      </c>
      <c r="V4" s="3">
        <f>'S28 Transportation Matrix'!R6</f>
        <v>0</v>
      </c>
      <c r="W4" s="3">
        <f>'S28 Transportation Matrix'!S6</f>
        <v>0</v>
      </c>
      <c r="X4" s="3">
        <f>'S28 Transportation Matrix'!T6</f>
        <v>0</v>
      </c>
      <c r="Y4" s="3">
        <f>'S28 Transportation Matrix'!U6</f>
        <v>0</v>
      </c>
      <c r="Z4" s="3">
        <f>'S28 Transportation Matrix'!V6</f>
        <v>0</v>
      </c>
      <c r="AA4" s="3">
        <f>'S28 Transportation Matrix'!W6</f>
        <v>0</v>
      </c>
      <c r="AB4" s="3">
        <f>'S28 Transportation Matrix'!X6</f>
        <v>71</v>
      </c>
      <c r="AC4" s="3">
        <f>'S28 Transportation Matrix'!Y6</f>
        <v>0</v>
      </c>
      <c r="AD4" s="3">
        <f>'S28 Transportation Matrix'!Z6</f>
        <v>0</v>
      </c>
      <c r="AE4" s="3">
        <f>'S28 Transportation Matrix'!AA6</f>
        <v>0</v>
      </c>
      <c r="AF4" s="3">
        <f>'S28 Transportation Matrix'!AB6</f>
        <v>0</v>
      </c>
      <c r="AG4" s="3">
        <f>'S28 Transportation Matrix'!AC6</f>
        <v>0</v>
      </c>
      <c r="AH4" s="3">
        <f>'S28 Transportation Matrix'!AD6</f>
        <v>0</v>
      </c>
      <c r="AI4" s="3">
        <f>'S28 Transportation Matrix'!AE6</f>
        <v>0</v>
      </c>
      <c r="AJ4" s="3">
        <f>'S28 Transportation Matrix'!AF6</f>
        <v>0</v>
      </c>
      <c r="AK4" s="3">
        <f>'S28 Transportation Matrix'!AG6</f>
        <v>0</v>
      </c>
      <c r="AL4" s="3">
        <f>'S28 Transportation Matrix'!AH6</f>
        <v>0</v>
      </c>
      <c r="AM4" s="3">
        <f>'S28 Transportation Matrix'!AI6</f>
        <v>0</v>
      </c>
      <c r="AN4" s="3">
        <f>'S28 Transportation Matrix'!AJ6</f>
        <v>0</v>
      </c>
      <c r="AO4" s="3">
        <f>'S28 Transportation Matrix'!AK6</f>
        <v>0</v>
      </c>
      <c r="AP4" s="3">
        <f>'S28 Transportation Matrix'!AL6</f>
        <v>0</v>
      </c>
      <c r="AQ4" s="3">
        <f>'S28 Transportation Matrix'!AM6</f>
        <v>0</v>
      </c>
      <c r="AR4" s="3">
        <f>'S28 Transportation Matrix'!AN6</f>
        <v>0</v>
      </c>
      <c r="AS4" s="3">
        <f>'S28 Transportation Matrix'!AO6</f>
        <v>0</v>
      </c>
      <c r="AT4" s="3">
        <f>'S28 Transportation Matrix'!AP6</f>
        <v>0</v>
      </c>
      <c r="AU4" s="3">
        <f>'S28 Transportation Matrix'!AQ6</f>
        <v>0</v>
      </c>
      <c r="AV4" s="3">
        <f>'S28 Transportation Matrix'!AR6</f>
        <v>0</v>
      </c>
      <c r="AW4" s="3">
        <f>'S28 Transportation Matrix'!AS6</f>
        <v>0</v>
      </c>
      <c r="BH4" s="400"/>
      <c r="BI4" s="285" t="s">
        <v>1119</v>
      </c>
      <c r="BJ4" s="550" t="s">
        <v>1120</v>
      </c>
      <c r="BK4" s="551"/>
      <c r="BL4" s="552"/>
      <c r="BM4" s="547" t="s">
        <v>1121</v>
      </c>
      <c r="BN4" s="548"/>
      <c r="BO4" s="549"/>
      <c r="BP4" s="550" t="s">
        <v>1122</v>
      </c>
      <c r="BQ4" s="551"/>
      <c r="BR4" s="551"/>
      <c r="BS4" s="551"/>
      <c r="BT4" s="551"/>
      <c r="BU4" s="551"/>
      <c r="BV4" s="551"/>
      <c r="BW4" s="552"/>
      <c r="BX4" s="547" t="s">
        <v>1123</v>
      </c>
      <c r="BY4" s="548"/>
      <c r="BZ4" s="548"/>
      <c r="CA4" s="549"/>
      <c r="CB4" s="550" t="s">
        <v>1124</v>
      </c>
      <c r="CC4" s="552"/>
      <c r="CD4" s="547" t="s">
        <v>1120</v>
      </c>
      <c r="CE4" s="548"/>
      <c r="CF4" s="549"/>
      <c r="CG4" s="286" t="s">
        <v>1125</v>
      </c>
      <c r="CH4" s="285" t="s">
        <v>1119</v>
      </c>
    </row>
    <row r="5" spans="1:86" ht="16" thickBot="1">
      <c r="A5" s="3">
        <f>IFERROR(ROUND(SQRT(VLOOKUP(E5, 'S26 Space Requirements'!$B$5:$P$30, 15, 0)), 0), "")</f>
        <v>11</v>
      </c>
      <c r="E5" s="399" t="s">
        <v>1040</v>
      </c>
      <c r="F5" s="3">
        <f>'S28 Transportation Matrix'!B7</f>
        <v>0</v>
      </c>
      <c r="G5" s="3">
        <f>'S28 Transportation Matrix'!C7</f>
        <v>0</v>
      </c>
      <c r="H5" s="3">
        <f>'S28 Transportation Matrix'!D7</f>
        <v>71</v>
      </c>
      <c r="I5" s="3">
        <f>'S28 Transportation Matrix'!E7</f>
        <v>0</v>
      </c>
      <c r="J5" s="3">
        <f>'S28 Transportation Matrix'!F7</f>
        <v>0</v>
      </c>
      <c r="K5" s="3">
        <f>'S28 Transportation Matrix'!G7</f>
        <v>0</v>
      </c>
      <c r="L5" s="3">
        <f>'S28 Transportation Matrix'!H7</f>
        <v>0</v>
      </c>
      <c r="M5" s="3">
        <f>'S28 Transportation Matrix'!I7</f>
        <v>0</v>
      </c>
      <c r="N5" s="3">
        <f>'S28 Transportation Matrix'!J7</f>
        <v>0</v>
      </c>
      <c r="O5" s="3">
        <f>'S28 Transportation Matrix'!K7</f>
        <v>0</v>
      </c>
      <c r="P5" s="3">
        <f>'S28 Transportation Matrix'!L7</f>
        <v>0</v>
      </c>
      <c r="Q5" s="3">
        <f>'S28 Transportation Matrix'!M7</f>
        <v>0</v>
      </c>
      <c r="R5" s="3">
        <f>'S28 Transportation Matrix'!N7</f>
        <v>0</v>
      </c>
      <c r="S5" s="3">
        <f>'S28 Transportation Matrix'!O7</f>
        <v>0</v>
      </c>
      <c r="T5" s="3">
        <f>'S28 Transportation Matrix'!P7</f>
        <v>0</v>
      </c>
      <c r="U5" s="3">
        <f>'S28 Transportation Matrix'!Q7</f>
        <v>0</v>
      </c>
      <c r="V5" s="3">
        <f>'S28 Transportation Matrix'!R7</f>
        <v>0</v>
      </c>
      <c r="W5" s="3">
        <f>'S28 Transportation Matrix'!S7</f>
        <v>0</v>
      </c>
      <c r="X5" s="3">
        <f>'S28 Transportation Matrix'!T7</f>
        <v>0</v>
      </c>
      <c r="Y5" s="3">
        <f>'S28 Transportation Matrix'!U7</f>
        <v>0</v>
      </c>
      <c r="Z5" s="3">
        <f>'S28 Transportation Matrix'!V7</f>
        <v>0</v>
      </c>
      <c r="AA5" s="3">
        <f>'S28 Transportation Matrix'!W7</f>
        <v>0</v>
      </c>
      <c r="AB5" s="3">
        <f>'S28 Transportation Matrix'!X7</f>
        <v>0</v>
      </c>
      <c r="AC5" s="3">
        <f>'S28 Transportation Matrix'!Y7</f>
        <v>0</v>
      </c>
      <c r="AD5" s="3">
        <f>'S28 Transportation Matrix'!Z7</f>
        <v>0</v>
      </c>
      <c r="AE5" s="3">
        <f>'S28 Transportation Matrix'!AA7</f>
        <v>0</v>
      </c>
      <c r="AF5" s="3">
        <f>'S28 Transportation Matrix'!AB7</f>
        <v>0</v>
      </c>
      <c r="AG5" s="3">
        <f>'S28 Transportation Matrix'!AC7</f>
        <v>0</v>
      </c>
      <c r="AH5" s="3">
        <f>'S28 Transportation Matrix'!AD7</f>
        <v>0</v>
      </c>
      <c r="AI5" s="3">
        <f>'S28 Transportation Matrix'!AE7</f>
        <v>0</v>
      </c>
      <c r="AJ5" s="3">
        <f>'S28 Transportation Matrix'!AF7</f>
        <v>0</v>
      </c>
      <c r="AK5" s="3">
        <f>'S28 Transportation Matrix'!AG7</f>
        <v>0</v>
      </c>
      <c r="AL5" s="3">
        <f>'S28 Transportation Matrix'!AH7</f>
        <v>0</v>
      </c>
      <c r="AM5" s="3">
        <f>'S28 Transportation Matrix'!AI7</f>
        <v>0</v>
      </c>
      <c r="AN5" s="3">
        <f>'S28 Transportation Matrix'!AJ7</f>
        <v>0</v>
      </c>
      <c r="AO5" s="3">
        <f>'S28 Transportation Matrix'!AK7</f>
        <v>0</v>
      </c>
      <c r="AP5" s="3">
        <f>'S28 Transportation Matrix'!AL7</f>
        <v>0</v>
      </c>
      <c r="AQ5" s="3">
        <f>'S28 Transportation Matrix'!AM7</f>
        <v>0</v>
      </c>
      <c r="AR5" s="3">
        <f>'S28 Transportation Matrix'!AN7</f>
        <v>0</v>
      </c>
      <c r="AS5" s="3">
        <f>'S28 Transportation Matrix'!AO7</f>
        <v>0</v>
      </c>
      <c r="AT5" s="3">
        <f>'S28 Transportation Matrix'!AP7</f>
        <v>0</v>
      </c>
      <c r="AU5" s="3">
        <f>'S28 Transportation Matrix'!AQ7</f>
        <v>0</v>
      </c>
      <c r="AV5" s="3">
        <f>'S28 Transportation Matrix'!AR7</f>
        <v>0</v>
      </c>
      <c r="AW5" s="3">
        <f>'S28 Transportation Matrix'!AS7</f>
        <v>0</v>
      </c>
      <c r="BG5" s="401" t="s">
        <v>1226</v>
      </c>
      <c r="BH5" s="287" t="str">
        <f>'S20 Clustering'!A2</f>
        <v>Item ID</v>
      </c>
      <c r="BI5" s="288" t="str">
        <f>'S20 Clustering'!B2</f>
        <v>WS-43</v>
      </c>
      <c r="BJ5" s="289" t="str">
        <f>'S20 Clustering'!C2</f>
        <v>WS-36</v>
      </c>
      <c r="BK5" s="290" t="str">
        <f>'S20 Clustering'!D2</f>
        <v>WS-38</v>
      </c>
      <c r="BL5" s="291" t="str">
        <f>'S20 Clustering'!E2</f>
        <v>WS-40</v>
      </c>
      <c r="BM5" s="292" t="str">
        <f>'S20 Clustering'!F2</f>
        <v>WS-02</v>
      </c>
      <c r="BN5" s="293" t="str">
        <f>'S20 Clustering'!G2</f>
        <v>WS-04</v>
      </c>
      <c r="BO5" s="294" t="str">
        <f>'S20 Clustering'!H2</f>
        <v>WS-07</v>
      </c>
      <c r="BP5" s="289" t="str">
        <f>'S20 Clustering'!I2</f>
        <v>WS-03</v>
      </c>
      <c r="BQ5" s="290" t="str">
        <f>'S20 Clustering'!J2</f>
        <v>WS-05</v>
      </c>
      <c r="BR5" s="290" t="str">
        <f>'S20 Clustering'!K2</f>
        <v>WS-08</v>
      </c>
      <c r="BS5" s="290" t="str">
        <f>'S20 Clustering'!L2</f>
        <v>WS-18</v>
      </c>
      <c r="BT5" s="290" t="str">
        <f>'S20 Clustering'!M2</f>
        <v>WS-20</v>
      </c>
      <c r="BU5" s="290" t="str">
        <f>'S20 Clustering'!N2</f>
        <v>WS-21</v>
      </c>
      <c r="BV5" s="290" t="str">
        <f>'S20 Clustering'!O2</f>
        <v>WS-23</v>
      </c>
      <c r="BW5" s="291" t="str">
        <f>'S20 Clustering'!P2</f>
        <v>WS-24</v>
      </c>
      <c r="BX5" s="292" t="str">
        <f>'S20 Clustering'!Q2</f>
        <v>WS-25</v>
      </c>
      <c r="BY5" s="293" t="str">
        <f>'S20 Clustering'!R2</f>
        <v>WS-26</v>
      </c>
      <c r="BZ5" s="293" t="str">
        <f>'S20 Clustering'!S2</f>
        <v>WS-28</v>
      </c>
      <c r="CA5" s="294" t="str">
        <f>'S20 Clustering'!T2</f>
        <v>WS-31</v>
      </c>
      <c r="CB5" s="289" t="str">
        <f>'S20 Clustering'!U2</f>
        <v>WS-27</v>
      </c>
      <c r="CC5" s="291" t="str">
        <f>'S20 Clustering'!V2</f>
        <v>WS-29</v>
      </c>
      <c r="CD5" s="292" t="str">
        <f>'S20 Clustering'!W2</f>
        <v>WS-32</v>
      </c>
      <c r="CE5" s="293" t="str">
        <f>'S20 Clustering'!X2</f>
        <v>WS-33</v>
      </c>
      <c r="CF5" s="294" t="str">
        <f>'S20 Clustering'!Y2</f>
        <v>WS-34</v>
      </c>
      <c r="CG5" s="295" t="str">
        <f>'S20 Clustering'!Z2</f>
        <v>WS-42</v>
      </c>
      <c r="CH5" s="288" t="str">
        <f>'S20 Clustering'!AA2</f>
        <v>WS-44</v>
      </c>
    </row>
    <row r="6" spans="1:86">
      <c r="A6" s="3">
        <f>IFERROR(ROUND(SQRT(VLOOKUP(E6, 'S26 Space Requirements'!$B$5:$P$30, 15, 0)), 0), "")</f>
        <v>33</v>
      </c>
      <c r="E6" s="399" t="s">
        <v>1042</v>
      </c>
      <c r="F6" s="3">
        <f>'S28 Transportation Matrix'!B8</f>
        <v>0</v>
      </c>
      <c r="G6" s="3">
        <f>'S28 Transportation Matrix'!C8</f>
        <v>0</v>
      </c>
      <c r="H6" s="3">
        <f>'S28 Transportation Matrix'!D8</f>
        <v>0</v>
      </c>
      <c r="I6" s="3">
        <f>'S28 Transportation Matrix'!E8</f>
        <v>0</v>
      </c>
      <c r="J6" s="3">
        <f>'S28 Transportation Matrix'!F8</f>
        <v>0</v>
      </c>
      <c r="K6" s="3">
        <f>'S28 Transportation Matrix'!G8</f>
        <v>0</v>
      </c>
      <c r="L6" s="3">
        <f>'S28 Transportation Matrix'!H8</f>
        <v>0</v>
      </c>
      <c r="M6" s="3">
        <f>'S28 Transportation Matrix'!I8</f>
        <v>0</v>
      </c>
      <c r="N6" s="3">
        <f>'S28 Transportation Matrix'!J8</f>
        <v>0</v>
      </c>
      <c r="O6" s="3">
        <f>'S28 Transportation Matrix'!K8</f>
        <v>0</v>
      </c>
      <c r="P6" s="3">
        <f>'S28 Transportation Matrix'!L8</f>
        <v>0</v>
      </c>
      <c r="Q6" s="3">
        <f>'S28 Transportation Matrix'!M8</f>
        <v>0</v>
      </c>
      <c r="R6" s="3">
        <f>'S28 Transportation Matrix'!N8</f>
        <v>0</v>
      </c>
      <c r="S6" s="3">
        <f>'S28 Transportation Matrix'!O8</f>
        <v>0</v>
      </c>
      <c r="T6" s="3">
        <f>'S28 Transportation Matrix'!P8</f>
        <v>0</v>
      </c>
      <c r="U6" s="3">
        <f>'S28 Transportation Matrix'!Q8</f>
        <v>0</v>
      </c>
      <c r="V6" s="3">
        <f>'S28 Transportation Matrix'!R8</f>
        <v>0</v>
      </c>
      <c r="W6" s="3">
        <f>'S28 Transportation Matrix'!S8</f>
        <v>0</v>
      </c>
      <c r="X6" s="3">
        <f>'S28 Transportation Matrix'!T8</f>
        <v>0</v>
      </c>
      <c r="Y6" s="3">
        <f>'S28 Transportation Matrix'!U8</f>
        <v>0</v>
      </c>
      <c r="Z6" s="3">
        <f>'S28 Transportation Matrix'!V8</f>
        <v>0</v>
      </c>
      <c r="AA6" s="3">
        <f>'S28 Transportation Matrix'!W8</f>
        <v>0</v>
      </c>
      <c r="AB6" s="3">
        <f>'S28 Transportation Matrix'!X8</f>
        <v>0</v>
      </c>
      <c r="AC6" s="3">
        <f>'S28 Transportation Matrix'!Y8</f>
        <v>0</v>
      </c>
      <c r="AD6" s="3">
        <f>'S28 Transportation Matrix'!Z8</f>
        <v>213</v>
      </c>
      <c r="AE6" s="3">
        <f>'S28 Transportation Matrix'!AA8</f>
        <v>0</v>
      </c>
      <c r="AF6" s="3">
        <f>'S28 Transportation Matrix'!AB8</f>
        <v>0</v>
      </c>
      <c r="AG6" s="3">
        <f>'S28 Transportation Matrix'!AC8</f>
        <v>0</v>
      </c>
      <c r="AH6" s="3">
        <f>'S28 Transportation Matrix'!AD8</f>
        <v>0</v>
      </c>
      <c r="AI6" s="3">
        <f>'S28 Transportation Matrix'!AE8</f>
        <v>0</v>
      </c>
      <c r="AJ6" s="3">
        <f>'S28 Transportation Matrix'!AF8</f>
        <v>0</v>
      </c>
      <c r="AK6" s="3">
        <f>'S28 Transportation Matrix'!AG8</f>
        <v>0</v>
      </c>
      <c r="AL6" s="3">
        <f>'S28 Transportation Matrix'!AH8</f>
        <v>0</v>
      </c>
      <c r="AM6" s="3">
        <f>'S28 Transportation Matrix'!AI8</f>
        <v>0</v>
      </c>
      <c r="AN6" s="3">
        <f>'S28 Transportation Matrix'!AJ8</f>
        <v>0</v>
      </c>
      <c r="AO6" s="3">
        <f>'S28 Transportation Matrix'!AK8</f>
        <v>0</v>
      </c>
      <c r="AP6" s="3">
        <f>'S28 Transportation Matrix'!AL8</f>
        <v>0</v>
      </c>
      <c r="AQ6" s="3">
        <f>'S28 Transportation Matrix'!AM8</f>
        <v>0</v>
      </c>
      <c r="AR6" s="3">
        <f>'S28 Transportation Matrix'!AN8</f>
        <v>0</v>
      </c>
      <c r="AS6" s="3">
        <f>'S28 Transportation Matrix'!AO8</f>
        <v>0</v>
      </c>
      <c r="AT6" s="3">
        <f>'S28 Transportation Matrix'!AP8</f>
        <v>0</v>
      </c>
      <c r="AU6" s="3">
        <f>'S28 Transportation Matrix'!AQ8</f>
        <v>0</v>
      </c>
      <c r="AV6" s="3">
        <f>'S28 Transportation Matrix'!AR8</f>
        <v>0</v>
      </c>
      <c r="AW6" s="3">
        <f>'S28 Transportation Matrix'!AS8</f>
        <v>0</v>
      </c>
      <c r="BG6" s="3">
        <v>1</v>
      </c>
      <c r="BH6" s="320" t="str">
        <f>'S20 Clustering'!A3</f>
        <v>I-004</v>
      </c>
      <c r="BI6" s="321">
        <f>'S20 Clustering'!B3</f>
        <v>10</v>
      </c>
      <c r="BJ6" s="321">
        <f>'S20 Clustering'!C3</f>
        <v>20</v>
      </c>
      <c r="BK6" s="321" t="str">
        <f>'S20 Clustering'!D3</f>
        <v/>
      </c>
      <c r="BL6" s="321" t="str">
        <f>'S20 Clustering'!E3</f>
        <v/>
      </c>
      <c r="BM6" s="321" t="str">
        <f>'S20 Clustering'!F3</f>
        <v/>
      </c>
      <c r="BN6" s="321" t="str">
        <f>'S20 Clustering'!G3</f>
        <v/>
      </c>
      <c r="BO6" s="321" t="str">
        <f>'S20 Clustering'!H3</f>
        <v/>
      </c>
      <c r="BP6" s="321" t="str">
        <f>'S20 Clustering'!I3</f>
        <v/>
      </c>
      <c r="BQ6" s="321">
        <f>'S20 Clustering'!J3</f>
        <v>30</v>
      </c>
      <c r="BR6" s="321" t="str">
        <f>'S20 Clustering'!K3</f>
        <v/>
      </c>
      <c r="BS6" s="321" t="str">
        <f>'S20 Clustering'!L3</f>
        <v/>
      </c>
      <c r="BT6" s="321" t="str">
        <f>'S20 Clustering'!M3</f>
        <v/>
      </c>
      <c r="BU6" s="321" t="str">
        <f>'S20 Clustering'!N3</f>
        <v/>
      </c>
      <c r="BV6" s="321" t="str">
        <f>'S20 Clustering'!O3</f>
        <v/>
      </c>
      <c r="BW6" s="321" t="str">
        <f>'S20 Clustering'!P3</f>
        <v/>
      </c>
      <c r="BX6" s="321">
        <f>'S20 Clustering'!Q3</f>
        <v>40</v>
      </c>
      <c r="BY6" s="321" t="str">
        <f>'S20 Clustering'!R3</f>
        <v/>
      </c>
      <c r="BZ6" s="321" t="str">
        <f>'S20 Clustering'!S3</f>
        <v/>
      </c>
      <c r="CA6" s="321" t="str">
        <f>'S20 Clustering'!T3</f>
        <v/>
      </c>
      <c r="CB6" s="321" t="str">
        <f>'S20 Clustering'!U3</f>
        <v/>
      </c>
      <c r="CC6" s="321" t="str">
        <f>'S20 Clustering'!V3</f>
        <v/>
      </c>
      <c r="CD6" s="321" t="str">
        <f>'S20 Clustering'!W3</f>
        <v/>
      </c>
      <c r="CE6" s="321" t="str">
        <f>'S20 Clustering'!X3</f>
        <v/>
      </c>
      <c r="CF6" s="321">
        <f>'S20 Clustering'!Y3</f>
        <v>50</v>
      </c>
      <c r="CG6" s="321" t="str">
        <f>'S20 Clustering'!Z3</f>
        <v/>
      </c>
      <c r="CH6" s="322">
        <f>'S20 Clustering'!AA3</f>
        <v>60</v>
      </c>
    </row>
    <row r="7" spans="1:86">
      <c r="A7" s="3" t="str">
        <f>IFERROR(ROUND(SQRT(VLOOKUP(E7, 'S26 Space Requirements'!$B$5:$P$30, 15, 0)), 0), "")</f>
        <v/>
      </c>
      <c r="E7" s="399" t="s">
        <v>1044</v>
      </c>
      <c r="F7" s="3">
        <f>'S28 Transportation Matrix'!B9</f>
        <v>0</v>
      </c>
      <c r="G7" s="3">
        <f>'S28 Transportation Matrix'!C9</f>
        <v>0</v>
      </c>
      <c r="H7" s="3">
        <f>'S28 Transportation Matrix'!D9</f>
        <v>0</v>
      </c>
      <c r="I7" s="3">
        <f>'S28 Transportation Matrix'!E9</f>
        <v>0</v>
      </c>
      <c r="J7" s="3">
        <f>'S28 Transportation Matrix'!F9</f>
        <v>0</v>
      </c>
      <c r="K7" s="3">
        <f>'S28 Transportation Matrix'!G9</f>
        <v>0</v>
      </c>
      <c r="L7" s="3">
        <f>'S28 Transportation Matrix'!H9</f>
        <v>0</v>
      </c>
      <c r="M7" s="3">
        <f>'S28 Transportation Matrix'!I9</f>
        <v>0</v>
      </c>
      <c r="N7" s="3">
        <f>'S28 Transportation Matrix'!J9</f>
        <v>0</v>
      </c>
      <c r="O7" s="3">
        <f>'S28 Transportation Matrix'!K9</f>
        <v>0</v>
      </c>
      <c r="P7" s="3">
        <f>'S28 Transportation Matrix'!L9</f>
        <v>0</v>
      </c>
      <c r="Q7" s="3">
        <f>'S28 Transportation Matrix'!M9</f>
        <v>0</v>
      </c>
      <c r="R7" s="3">
        <f>'S28 Transportation Matrix'!N9</f>
        <v>0</v>
      </c>
      <c r="S7" s="3">
        <f>'S28 Transportation Matrix'!O9</f>
        <v>0</v>
      </c>
      <c r="T7" s="3">
        <f>'S28 Transportation Matrix'!P9</f>
        <v>0</v>
      </c>
      <c r="U7" s="3">
        <f>'S28 Transportation Matrix'!Q9</f>
        <v>0</v>
      </c>
      <c r="V7" s="3">
        <f>'S28 Transportation Matrix'!R9</f>
        <v>0</v>
      </c>
      <c r="W7" s="3">
        <f>'S28 Transportation Matrix'!S9</f>
        <v>0</v>
      </c>
      <c r="X7" s="3">
        <f>'S28 Transportation Matrix'!T9</f>
        <v>0</v>
      </c>
      <c r="Y7" s="3">
        <f>'S28 Transportation Matrix'!U9</f>
        <v>0</v>
      </c>
      <c r="Z7" s="3">
        <f>'S28 Transportation Matrix'!V9</f>
        <v>0</v>
      </c>
      <c r="AA7" s="3">
        <f>'S28 Transportation Matrix'!W9</f>
        <v>0</v>
      </c>
      <c r="AB7" s="3">
        <f>'S28 Transportation Matrix'!X9</f>
        <v>0</v>
      </c>
      <c r="AC7" s="3">
        <f>'S28 Transportation Matrix'!Y9</f>
        <v>0</v>
      </c>
      <c r="AD7" s="3">
        <f>'S28 Transportation Matrix'!Z9</f>
        <v>0</v>
      </c>
      <c r="AE7" s="3">
        <f>'S28 Transportation Matrix'!AA9</f>
        <v>0</v>
      </c>
      <c r="AF7" s="3">
        <f>'S28 Transportation Matrix'!AB9</f>
        <v>0</v>
      </c>
      <c r="AG7" s="3">
        <f>'S28 Transportation Matrix'!AC9</f>
        <v>0</v>
      </c>
      <c r="AH7" s="3">
        <f>'S28 Transportation Matrix'!AD9</f>
        <v>0</v>
      </c>
      <c r="AI7" s="3">
        <f>'S28 Transportation Matrix'!AE9</f>
        <v>0</v>
      </c>
      <c r="AJ7" s="3">
        <f>'S28 Transportation Matrix'!AF9</f>
        <v>0</v>
      </c>
      <c r="AK7" s="3">
        <f>'S28 Transportation Matrix'!AG9</f>
        <v>0</v>
      </c>
      <c r="AL7" s="3">
        <f>'S28 Transportation Matrix'!AH9</f>
        <v>0</v>
      </c>
      <c r="AM7" s="3">
        <f>'S28 Transportation Matrix'!AI9</f>
        <v>0</v>
      </c>
      <c r="AN7" s="3">
        <f>'S28 Transportation Matrix'!AJ9</f>
        <v>0</v>
      </c>
      <c r="AO7" s="3">
        <f>'S28 Transportation Matrix'!AK9</f>
        <v>0</v>
      </c>
      <c r="AP7" s="3">
        <f>'S28 Transportation Matrix'!AL9</f>
        <v>0</v>
      </c>
      <c r="AQ7" s="3">
        <f>'S28 Transportation Matrix'!AM9</f>
        <v>0</v>
      </c>
      <c r="AR7" s="3">
        <f>'S28 Transportation Matrix'!AN9</f>
        <v>0</v>
      </c>
      <c r="AS7" s="3">
        <f>'S28 Transportation Matrix'!AO9</f>
        <v>0</v>
      </c>
      <c r="AT7" s="3">
        <f>'S28 Transportation Matrix'!AP9</f>
        <v>0</v>
      </c>
      <c r="AU7" s="3">
        <f>'S28 Transportation Matrix'!AQ9</f>
        <v>0</v>
      </c>
      <c r="AV7" s="3">
        <f>'S28 Transportation Matrix'!AR9</f>
        <v>0</v>
      </c>
      <c r="AW7" s="3">
        <f>'S28 Transportation Matrix'!AS9</f>
        <v>0</v>
      </c>
      <c r="BG7" s="3">
        <v>1</v>
      </c>
      <c r="BH7" s="323" t="str">
        <f>'S20 Clustering'!A4</f>
        <v>I-066</v>
      </c>
      <c r="BI7" s="4">
        <f>'S20 Clustering'!B4</f>
        <v>10</v>
      </c>
      <c r="BJ7" s="4">
        <f>'S20 Clustering'!C4</f>
        <v>20</v>
      </c>
      <c r="BK7" s="4" t="str">
        <f>'S20 Clustering'!D4</f>
        <v/>
      </c>
      <c r="BL7" s="4" t="str">
        <f>'S20 Clustering'!E4</f>
        <v/>
      </c>
      <c r="BM7" s="4" t="str">
        <f>'S20 Clustering'!F4</f>
        <v/>
      </c>
      <c r="BN7" s="4" t="str">
        <f>'S20 Clustering'!G4</f>
        <v/>
      </c>
      <c r="BO7" s="4" t="str">
        <f>'S20 Clustering'!H4</f>
        <v/>
      </c>
      <c r="BP7" s="4" t="str">
        <f>'S20 Clustering'!I4</f>
        <v/>
      </c>
      <c r="BQ7" s="4">
        <f>'S20 Clustering'!J4</f>
        <v>30</v>
      </c>
      <c r="BR7" s="4" t="str">
        <f>'S20 Clustering'!K4</f>
        <v/>
      </c>
      <c r="BS7" s="4" t="str">
        <f>'S20 Clustering'!L4</f>
        <v/>
      </c>
      <c r="BT7" s="4" t="str">
        <f>'S20 Clustering'!M4</f>
        <v/>
      </c>
      <c r="BU7" s="4" t="str">
        <f>'S20 Clustering'!N4</f>
        <v/>
      </c>
      <c r="BV7" s="4" t="str">
        <f>'S20 Clustering'!O4</f>
        <v/>
      </c>
      <c r="BW7" s="4" t="str">
        <f>'S20 Clustering'!P4</f>
        <v/>
      </c>
      <c r="BX7" s="4">
        <f>'S20 Clustering'!Q4</f>
        <v>40</v>
      </c>
      <c r="BY7" s="4" t="str">
        <f>'S20 Clustering'!R4</f>
        <v/>
      </c>
      <c r="BZ7" s="4" t="str">
        <f>'S20 Clustering'!S4</f>
        <v/>
      </c>
      <c r="CA7" s="4" t="str">
        <f>'S20 Clustering'!T4</f>
        <v/>
      </c>
      <c r="CB7" s="4" t="str">
        <f>'S20 Clustering'!U4</f>
        <v/>
      </c>
      <c r="CC7" s="4" t="str">
        <f>'S20 Clustering'!V4</f>
        <v/>
      </c>
      <c r="CD7" s="4" t="str">
        <f>'S20 Clustering'!W4</f>
        <v/>
      </c>
      <c r="CE7" s="4" t="str">
        <f>'S20 Clustering'!X4</f>
        <v/>
      </c>
      <c r="CF7" s="4">
        <f>'S20 Clustering'!Y4</f>
        <v>50</v>
      </c>
      <c r="CG7" s="4" t="str">
        <f>'S20 Clustering'!Z4</f>
        <v/>
      </c>
      <c r="CH7" s="324">
        <f>'S20 Clustering'!AA4</f>
        <v>60</v>
      </c>
    </row>
    <row r="8" spans="1:86">
      <c r="A8" s="3">
        <f>IFERROR(ROUND(SQRT(VLOOKUP(E8, 'S26 Space Requirements'!$B$5:$P$30, 15, 0)), 0), "")</f>
        <v>26</v>
      </c>
      <c r="E8" s="399" t="s">
        <v>1046</v>
      </c>
      <c r="F8" s="3">
        <f>'S28 Transportation Matrix'!B10</f>
        <v>0</v>
      </c>
      <c r="G8" s="3">
        <f>'S28 Transportation Matrix'!C10</f>
        <v>0</v>
      </c>
      <c r="H8" s="3">
        <f>'S28 Transportation Matrix'!D10</f>
        <v>0</v>
      </c>
      <c r="I8" s="3">
        <f>'S28 Transportation Matrix'!E10</f>
        <v>0</v>
      </c>
      <c r="J8" s="3">
        <f>'S28 Transportation Matrix'!F10</f>
        <v>0</v>
      </c>
      <c r="K8" s="3">
        <f>'S28 Transportation Matrix'!G10</f>
        <v>0</v>
      </c>
      <c r="L8" s="3">
        <f>'S28 Transportation Matrix'!H10</f>
        <v>0</v>
      </c>
      <c r="M8" s="3">
        <f>'S28 Transportation Matrix'!I10</f>
        <v>69</v>
      </c>
      <c r="N8" s="3">
        <f>'S28 Transportation Matrix'!J10</f>
        <v>0</v>
      </c>
      <c r="O8" s="3">
        <f>'S28 Transportation Matrix'!K10</f>
        <v>0</v>
      </c>
      <c r="P8" s="3">
        <f>'S28 Transportation Matrix'!L10</f>
        <v>0</v>
      </c>
      <c r="Q8" s="3">
        <f>'S28 Transportation Matrix'!M10</f>
        <v>0</v>
      </c>
      <c r="R8" s="3">
        <f>'S28 Transportation Matrix'!N10</f>
        <v>0</v>
      </c>
      <c r="S8" s="3">
        <f>'S28 Transportation Matrix'!O10</f>
        <v>0</v>
      </c>
      <c r="T8" s="3">
        <f>'S28 Transportation Matrix'!P10</f>
        <v>0</v>
      </c>
      <c r="U8" s="3">
        <f>'S28 Transportation Matrix'!Q10</f>
        <v>0</v>
      </c>
      <c r="V8" s="3">
        <f>'S28 Transportation Matrix'!R10</f>
        <v>0</v>
      </c>
      <c r="W8" s="3">
        <f>'S28 Transportation Matrix'!S10</f>
        <v>0</v>
      </c>
      <c r="X8" s="3">
        <f>'S28 Transportation Matrix'!T10</f>
        <v>0</v>
      </c>
      <c r="Y8" s="3">
        <f>'S28 Transportation Matrix'!U10</f>
        <v>0</v>
      </c>
      <c r="Z8" s="3">
        <f>'S28 Transportation Matrix'!V10</f>
        <v>89</v>
      </c>
      <c r="AA8" s="3">
        <f>'S28 Transportation Matrix'!W10</f>
        <v>0</v>
      </c>
      <c r="AB8" s="3">
        <f>'S28 Transportation Matrix'!X10</f>
        <v>0</v>
      </c>
      <c r="AC8" s="3">
        <f>'S28 Transportation Matrix'!Y10</f>
        <v>0</v>
      </c>
      <c r="AD8" s="3">
        <f>'S28 Transportation Matrix'!Z10</f>
        <v>0</v>
      </c>
      <c r="AE8" s="3">
        <f>'S28 Transportation Matrix'!AA10</f>
        <v>0</v>
      </c>
      <c r="AF8" s="3">
        <f>'S28 Transportation Matrix'!AB10</f>
        <v>0</v>
      </c>
      <c r="AG8" s="3">
        <f>'S28 Transportation Matrix'!AC10</f>
        <v>0</v>
      </c>
      <c r="AH8" s="3">
        <f>'S28 Transportation Matrix'!AD10</f>
        <v>0</v>
      </c>
      <c r="AI8" s="3">
        <f>'S28 Transportation Matrix'!AE10</f>
        <v>0</v>
      </c>
      <c r="AJ8" s="3">
        <f>'S28 Transportation Matrix'!AF10</f>
        <v>0</v>
      </c>
      <c r="AK8" s="3">
        <f>'S28 Transportation Matrix'!AG10</f>
        <v>0</v>
      </c>
      <c r="AL8" s="3">
        <f>'S28 Transportation Matrix'!AH10</f>
        <v>0</v>
      </c>
      <c r="AM8" s="3">
        <f>'S28 Transportation Matrix'!AI10</f>
        <v>0</v>
      </c>
      <c r="AN8" s="3">
        <f>'S28 Transportation Matrix'!AJ10</f>
        <v>0</v>
      </c>
      <c r="AO8" s="3">
        <f>'S28 Transportation Matrix'!AK10</f>
        <v>0</v>
      </c>
      <c r="AP8" s="3">
        <f>'S28 Transportation Matrix'!AL10</f>
        <v>0</v>
      </c>
      <c r="AQ8" s="3">
        <f>'S28 Transportation Matrix'!AM10</f>
        <v>0</v>
      </c>
      <c r="AR8" s="3">
        <f>'S28 Transportation Matrix'!AN10</f>
        <v>0</v>
      </c>
      <c r="AS8" s="3">
        <f>'S28 Transportation Matrix'!AO10</f>
        <v>0</v>
      </c>
      <c r="AT8" s="3">
        <f>'S28 Transportation Matrix'!AP10</f>
        <v>0</v>
      </c>
      <c r="AU8" s="3">
        <f>'S28 Transportation Matrix'!AQ10</f>
        <v>0</v>
      </c>
      <c r="AV8" s="3">
        <f>'S28 Transportation Matrix'!AR10</f>
        <v>0</v>
      </c>
      <c r="AW8" s="3">
        <f>'S28 Transportation Matrix'!AS10</f>
        <v>0</v>
      </c>
      <c r="BG8" s="3">
        <v>1</v>
      </c>
      <c r="BH8" s="323" t="str">
        <f>'S20 Clustering'!A5</f>
        <v>I-068</v>
      </c>
      <c r="BI8" s="4">
        <f>'S20 Clustering'!B5</f>
        <v>10</v>
      </c>
      <c r="BJ8" s="4">
        <f>'S20 Clustering'!C5</f>
        <v>20</v>
      </c>
      <c r="BK8" s="4" t="str">
        <f>'S20 Clustering'!D5</f>
        <v/>
      </c>
      <c r="BL8" s="4" t="str">
        <f>'S20 Clustering'!E5</f>
        <v/>
      </c>
      <c r="BM8" s="4" t="str">
        <f>'S20 Clustering'!F5</f>
        <v/>
      </c>
      <c r="BN8" s="4" t="str">
        <f>'S20 Clustering'!G5</f>
        <v/>
      </c>
      <c r="BO8" s="4" t="str">
        <f>'S20 Clustering'!H5</f>
        <v/>
      </c>
      <c r="BP8" s="4" t="str">
        <f>'S20 Clustering'!I5</f>
        <v/>
      </c>
      <c r="BQ8" s="4">
        <f>'S20 Clustering'!J5</f>
        <v>30</v>
      </c>
      <c r="BR8" s="4" t="str">
        <f>'S20 Clustering'!K5</f>
        <v/>
      </c>
      <c r="BS8" s="4" t="str">
        <f>'S20 Clustering'!L5</f>
        <v/>
      </c>
      <c r="BT8" s="4" t="str">
        <f>'S20 Clustering'!M5</f>
        <v/>
      </c>
      <c r="BU8" s="4" t="str">
        <f>'S20 Clustering'!N5</f>
        <v/>
      </c>
      <c r="BV8" s="4" t="str">
        <f>'S20 Clustering'!O5</f>
        <v/>
      </c>
      <c r="BW8" s="4" t="str">
        <f>'S20 Clustering'!P5</f>
        <v/>
      </c>
      <c r="BX8" s="4">
        <f>'S20 Clustering'!Q5</f>
        <v>40</v>
      </c>
      <c r="BY8" s="4" t="str">
        <f>'S20 Clustering'!R5</f>
        <v/>
      </c>
      <c r="BZ8" s="4" t="str">
        <f>'S20 Clustering'!S5</f>
        <v/>
      </c>
      <c r="CA8" s="4" t="str">
        <f>'S20 Clustering'!T5</f>
        <v/>
      </c>
      <c r="CB8" s="4" t="str">
        <f>'S20 Clustering'!U5</f>
        <v/>
      </c>
      <c r="CC8" s="4" t="str">
        <f>'S20 Clustering'!V5</f>
        <v/>
      </c>
      <c r="CD8" s="4" t="str">
        <f>'S20 Clustering'!W5</f>
        <v/>
      </c>
      <c r="CE8" s="4" t="str">
        <f>'S20 Clustering'!X5</f>
        <v/>
      </c>
      <c r="CF8" s="4">
        <f>'S20 Clustering'!Y5</f>
        <v>50</v>
      </c>
      <c r="CG8" s="4" t="str">
        <f>'S20 Clustering'!Z5</f>
        <v/>
      </c>
      <c r="CH8" s="324">
        <f>'S20 Clustering'!AA5</f>
        <v>60</v>
      </c>
    </row>
    <row r="9" spans="1:86">
      <c r="A9" s="3">
        <f>IFERROR(ROUND(SQRT(VLOOKUP(E9, 'S26 Space Requirements'!$B$5:$P$30, 15, 0)), 0), "")</f>
        <v>14</v>
      </c>
      <c r="E9" s="399" t="s">
        <v>1048</v>
      </c>
      <c r="F9" s="3">
        <f>'S28 Transportation Matrix'!B11</f>
        <v>0</v>
      </c>
      <c r="G9" s="3">
        <f>'S28 Transportation Matrix'!C11</f>
        <v>0</v>
      </c>
      <c r="H9" s="3">
        <f>'S28 Transportation Matrix'!D11</f>
        <v>0</v>
      </c>
      <c r="I9" s="3">
        <f>'S28 Transportation Matrix'!E11</f>
        <v>0</v>
      </c>
      <c r="J9" s="3">
        <f>'S28 Transportation Matrix'!F11</f>
        <v>0</v>
      </c>
      <c r="K9" s="3">
        <f>'S28 Transportation Matrix'!G11</f>
        <v>0</v>
      </c>
      <c r="L9" s="3">
        <f>'S28 Transportation Matrix'!H11</f>
        <v>0</v>
      </c>
      <c r="M9" s="3">
        <f>'S28 Transportation Matrix'!I11</f>
        <v>0</v>
      </c>
      <c r="N9" s="3">
        <f>'S28 Transportation Matrix'!J11</f>
        <v>0</v>
      </c>
      <c r="O9" s="3">
        <f>'S28 Transportation Matrix'!K11</f>
        <v>0</v>
      </c>
      <c r="P9" s="3">
        <f>'S28 Transportation Matrix'!L11</f>
        <v>0</v>
      </c>
      <c r="Q9" s="3">
        <f>'S28 Transportation Matrix'!M11</f>
        <v>0</v>
      </c>
      <c r="R9" s="3">
        <f>'S28 Transportation Matrix'!N11</f>
        <v>0</v>
      </c>
      <c r="S9" s="3">
        <f>'S28 Transportation Matrix'!O11</f>
        <v>0</v>
      </c>
      <c r="T9" s="3">
        <f>'S28 Transportation Matrix'!P11</f>
        <v>0</v>
      </c>
      <c r="U9" s="3">
        <f>'S28 Transportation Matrix'!Q11</f>
        <v>0</v>
      </c>
      <c r="V9" s="3">
        <f>'S28 Transportation Matrix'!R11</f>
        <v>0</v>
      </c>
      <c r="W9" s="3">
        <f>'S28 Transportation Matrix'!S11</f>
        <v>0</v>
      </c>
      <c r="X9" s="3">
        <f>'S28 Transportation Matrix'!T11</f>
        <v>0</v>
      </c>
      <c r="Y9" s="3">
        <f>'S28 Transportation Matrix'!U11</f>
        <v>69</v>
      </c>
      <c r="Z9" s="3">
        <f>'S28 Transportation Matrix'!V11</f>
        <v>0</v>
      </c>
      <c r="AA9" s="3">
        <f>'S28 Transportation Matrix'!W11</f>
        <v>0</v>
      </c>
      <c r="AB9" s="3">
        <f>'S28 Transportation Matrix'!X11</f>
        <v>0</v>
      </c>
      <c r="AC9" s="3">
        <f>'S28 Transportation Matrix'!Y11</f>
        <v>0</v>
      </c>
      <c r="AD9" s="3">
        <f>'S28 Transportation Matrix'!Z11</f>
        <v>0</v>
      </c>
      <c r="AE9" s="3">
        <f>'S28 Transportation Matrix'!AA11</f>
        <v>0</v>
      </c>
      <c r="AF9" s="3">
        <f>'S28 Transportation Matrix'!AB11</f>
        <v>0</v>
      </c>
      <c r="AG9" s="3">
        <f>'S28 Transportation Matrix'!AC11</f>
        <v>0</v>
      </c>
      <c r="AH9" s="3">
        <f>'S28 Transportation Matrix'!AD11</f>
        <v>0</v>
      </c>
      <c r="AI9" s="3">
        <f>'S28 Transportation Matrix'!AE11</f>
        <v>0</v>
      </c>
      <c r="AJ9" s="3">
        <f>'S28 Transportation Matrix'!AF11</f>
        <v>0</v>
      </c>
      <c r="AK9" s="3">
        <f>'S28 Transportation Matrix'!AG11</f>
        <v>0</v>
      </c>
      <c r="AL9" s="3">
        <f>'S28 Transportation Matrix'!AH11</f>
        <v>0</v>
      </c>
      <c r="AM9" s="3">
        <f>'S28 Transportation Matrix'!AI11</f>
        <v>0</v>
      </c>
      <c r="AN9" s="3">
        <f>'S28 Transportation Matrix'!AJ11</f>
        <v>0</v>
      </c>
      <c r="AO9" s="3">
        <f>'S28 Transportation Matrix'!AK11</f>
        <v>0</v>
      </c>
      <c r="AP9" s="3">
        <f>'S28 Transportation Matrix'!AL11</f>
        <v>0</v>
      </c>
      <c r="AQ9" s="3">
        <f>'S28 Transportation Matrix'!AM11</f>
        <v>0</v>
      </c>
      <c r="AR9" s="3">
        <f>'S28 Transportation Matrix'!AN11</f>
        <v>0</v>
      </c>
      <c r="AS9" s="3">
        <f>'S28 Transportation Matrix'!AO11</f>
        <v>0</v>
      </c>
      <c r="AT9" s="3">
        <f>'S28 Transportation Matrix'!AP11</f>
        <v>0</v>
      </c>
      <c r="AU9" s="3">
        <f>'S28 Transportation Matrix'!AQ11</f>
        <v>0</v>
      </c>
      <c r="AV9" s="3">
        <f>'S28 Transportation Matrix'!AR11</f>
        <v>0</v>
      </c>
      <c r="AW9" s="3">
        <f>'S28 Transportation Matrix'!AS11</f>
        <v>0</v>
      </c>
      <c r="BG9" s="3">
        <v>1</v>
      </c>
      <c r="BH9" s="323" t="str">
        <f>'S20 Clustering'!A6</f>
        <v>I-069</v>
      </c>
      <c r="BI9" s="4">
        <f>'S20 Clustering'!B6</f>
        <v>10</v>
      </c>
      <c r="BJ9" s="4">
        <f>'S20 Clustering'!C6</f>
        <v>20</v>
      </c>
      <c r="BK9" s="4" t="str">
        <f>'S20 Clustering'!D6</f>
        <v/>
      </c>
      <c r="BL9" s="4" t="str">
        <f>'S20 Clustering'!E6</f>
        <v/>
      </c>
      <c r="BM9" s="4" t="str">
        <f>'S20 Clustering'!F6</f>
        <v/>
      </c>
      <c r="BN9" s="4" t="str">
        <f>'S20 Clustering'!G6</f>
        <v/>
      </c>
      <c r="BO9" s="4" t="str">
        <f>'S20 Clustering'!H6</f>
        <v/>
      </c>
      <c r="BP9" s="4" t="str">
        <f>'S20 Clustering'!I6</f>
        <v/>
      </c>
      <c r="BQ9" s="4">
        <f>'S20 Clustering'!J6</f>
        <v>30</v>
      </c>
      <c r="BR9" s="4" t="str">
        <f>'S20 Clustering'!K6</f>
        <v/>
      </c>
      <c r="BS9" s="4" t="str">
        <f>'S20 Clustering'!L6</f>
        <v/>
      </c>
      <c r="BT9" s="4" t="str">
        <f>'S20 Clustering'!M6</f>
        <v/>
      </c>
      <c r="BU9" s="4" t="str">
        <f>'S20 Clustering'!N6</f>
        <v/>
      </c>
      <c r="BV9" s="4" t="str">
        <f>'S20 Clustering'!O6</f>
        <v/>
      </c>
      <c r="BW9" s="4" t="str">
        <f>'S20 Clustering'!P6</f>
        <v/>
      </c>
      <c r="BX9" s="4">
        <f>'S20 Clustering'!Q6</f>
        <v>40</v>
      </c>
      <c r="BY9" s="4" t="str">
        <f>'S20 Clustering'!R6</f>
        <v/>
      </c>
      <c r="BZ9" s="4" t="str">
        <f>'S20 Clustering'!S6</f>
        <v/>
      </c>
      <c r="CA9" s="4" t="str">
        <f>'S20 Clustering'!T6</f>
        <v/>
      </c>
      <c r="CB9" s="4" t="str">
        <f>'S20 Clustering'!U6</f>
        <v/>
      </c>
      <c r="CC9" s="4" t="str">
        <f>'S20 Clustering'!V6</f>
        <v/>
      </c>
      <c r="CD9" s="4" t="str">
        <f>'S20 Clustering'!W6</f>
        <v/>
      </c>
      <c r="CE9" s="4" t="str">
        <f>'S20 Clustering'!X6</f>
        <v/>
      </c>
      <c r="CF9" s="4">
        <f>'S20 Clustering'!Y6</f>
        <v>50</v>
      </c>
      <c r="CG9" s="4" t="str">
        <f>'S20 Clustering'!Z6</f>
        <v/>
      </c>
      <c r="CH9" s="324">
        <f>'S20 Clustering'!AA6</f>
        <v>60</v>
      </c>
    </row>
    <row r="10" spans="1:86">
      <c r="A10" s="3" t="str">
        <f>IFERROR(ROUND(SQRT(VLOOKUP(E10, 'S26 Space Requirements'!$B$5:$P$30, 15, 0)), 0), "")</f>
        <v/>
      </c>
      <c r="E10" s="399" t="s">
        <v>1049</v>
      </c>
      <c r="F10" s="3">
        <f>'S28 Transportation Matrix'!B12</f>
        <v>0</v>
      </c>
      <c r="G10" s="3">
        <f>'S28 Transportation Matrix'!C12</f>
        <v>0</v>
      </c>
      <c r="H10" s="3">
        <f>'S28 Transportation Matrix'!D12</f>
        <v>0</v>
      </c>
      <c r="I10" s="3">
        <f>'S28 Transportation Matrix'!E12</f>
        <v>0</v>
      </c>
      <c r="J10" s="3">
        <f>'S28 Transportation Matrix'!F12</f>
        <v>0</v>
      </c>
      <c r="K10" s="3">
        <f>'S28 Transportation Matrix'!G12</f>
        <v>0</v>
      </c>
      <c r="L10" s="3">
        <f>'S28 Transportation Matrix'!H12</f>
        <v>0</v>
      </c>
      <c r="M10" s="3">
        <f>'S28 Transportation Matrix'!I12</f>
        <v>0</v>
      </c>
      <c r="N10" s="3">
        <f>'S28 Transportation Matrix'!J12</f>
        <v>0</v>
      </c>
      <c r="O10" s="3">
        <f>'S28 Transportation Matrix'!K12</f>
        <v>0</v>
      </c>
      <c r="P10" s="3">
        <f>'S28 Transportation Matrix'!L12</f>
        <v>0</v>
      </c>
      <c r="Q10" s="3">
        <f>'S28 Transportation Matrix'!M12</f>
        <v>0</v>
      </c>
      <c r="R10" s="3">
        <f>'S28 Transportation Matrix'!N12</f>
        <v>0</v>
      </c>
      <c r="S10" s="3">
        <f>'S28 Transportation Matrix'!O12</f>
        <v>0</v>
      </c>
      <c r="T10" s="3">
        <f>'S28 Transportation Matrix'!P12</f>
        <v>0</v>
      </c>
      <c r="U10" s="3">
        <f>'S28 Transportation Matrix'!Q12</f>
        <v>0</v>
      </c>
      <c r="V10" s="3">
        <f>'S28 Transportation Matrix'!R12</f>
        <v>0</v>
      </c>
      <c r="W10" s="3">
        <f>'S28 Transportation Matrix'!S12</f>
        <v>0</v>
      </c>
      <c r="X10" s="3">
        <f>'S28 Transportation Matrix'!T12</f>
        <v>0</v>
      </c>
      <c r="Y10" s="3">
        <f>'S28 Transportation Matrix'!U12</f>
        <v>0</v>
      </c>
      <c r="Z10" s="3">
        <f>'S28 Transportation Matrix'!V12</f>
        <v>0</v>
      </c>
      <c r="AA10" s="3">
        <f>'S28 Transportation Matrix'!W12</f>
        <v>0</v>
      </c>
      <c r="AB10" s="3">
        <f>'S28 Transportation Matrix'!X12</f>
        <v>0</v>
      </c>
      <c r="AC10" s="3">
        <f>'S28 Transportation Matrix'!Y12</f>
        <v>0</v>
      </c>
      <c r="AD10" s="3">
        <f>'S28 Transportation Matrix'!Z12</f>
        <v>0</v>
      </c>
      <c r="AE10" s="3">
        <f>'S28 Transportation Matrix'!AA12</f>
        <v>0</v>
      </c>
      <c r="AF10" s="3">
        <f>'S28 Transportation Matrix'!AB12</f>
        <v>0</v>
      </c>
      <c r="AG10" s="3">
        <f>'S28 Transportation Matrix'!AC12</f>
        <v>0</v>
      </c>
      <c r="AH10" s="3">
        <f>'S28 Transportation Matrix'!AD12</f>
        <v>0</v>
      </c>
      <c r="AI10" s="3">
        <f>'S28 Transportation Matrix'!AE12</f>
        <v>0</v>
      </c>
      <c r="AJ10" s="3">
        <f>'S28 Transportation Matrix'!AF12</f>
        <v>0</v>
      </c>
      <c r="AK10" s="3">
        <f>'S28 Transportation Matrix'!AG12</f>
        <v>0</v>
      </c>
      <c r="AL10" s="3">
        <f>'S28 Transportation Matrix'!AH12</f>
        <v>0</v>
      </c>
      <c r="AM10" s="3">
        <f>'S28 Transportation Matrix'!AI12</f>
        <v>0</v>
      </c>
      <c r="AN10" s="3">
        <f>'S28 Transportation Matrix'!AJ12</f>
        <v>0</v>
      </c>
      <c r="AO10" s="3">
        <f>'S28 Transportation Matrix'!AK12</f>
        <v>0</v>
      </c>
      <c r="AP10" s="3">
        <f>'S28 Transportation Matrix'!AL12</f>
        <v>0</v>
      </c>
      <c r="AQ10" s="3">
        <f>'S28 Transportation Matrix'!AM12</f>
        <v>0</v>
      </c>
      <c r="AR10" s="3">
        <f>'S28 Transportation Matrix'!AN12</f>
        <v>0</v>
      </c>
      <c r="AS10" s="3">
        <f>'S28 Transportation Matrix'!AO12</f>
        <v>0</v>
      </c>
      <c r="AT10" s="3">
        <f>'S28 Transportation Matrix'!AP12</f>
        <v>0</v>
      </c>
      <c r="AU10" s="3">
        <f>'S28 Transportation Matrix'!AQ12</f>
        <v>0</v>
      </c>
      <c r="AV10" s="3">
        <f>'S28 Transportation Matrix'!AR12</f>
        <v>0</v>
      </c>
      <c r="AW10" s="3">
        <f>'S28 Transportation Matrix'!AS12</f>
        <v>0</v>
      </c>
      <c r="BG10" s="3">
        <v>1</v>
      </c>
      <c r="BH10" s="323" t="str">
        <f>'S20 Clustering'!A7</f>
        <v>I-070</v>
      </c>
      <c r="BI10" s="4">
        <f>'S20 Clustering'!B7</f>
        <v>10</v>
      </c>
      <c r="BJ10" s="4">
        <f>'S20 Clustering'!C7</f>
        <v>20</v>
      </c>
      <c r="BK10" s="4" t="str">
        <f>'S20 Clustering'!D7</f>
        <v/>
      </c>
      <c r="BL10" s="4" t="str">
        <f>'S20 Clustering'!E7</f>
        <v/>
      </c>
      <c r="BM10" s="4" t="str">
        <f>'S20 Clustering'!F7</f>
        <v/>
      </c>
      <c r="BN10" s="4" t="str">
        <f>'S20 Clustering'!G7</f>
        <v/>
      </c>
      <c r="BO10" s="4" t="str">
        <f>'S20 Clustering'!H7</f>
        <v/>
      </c>
      <c r="BP10" s="4" t="str">
        <f>'S20 Clustering'!I7</f>
        <v/>
      </c>
      <c r="BQ10" s="4">
        <f>'S20 Clustering'!J7</f>
        <v>30</v>
      </c>
      <c r="BR10" s="4" t="str">
        <f>'S20 Clustering'!K7</f>
        <v/>
      </c>
      <c r="BS10" s="4" t="str">
        <f>'S20 Clustering'!L7</f>
        <v/>
      </c>
      <c r="BT10" s="4" t="str">
        <f>'S20 Clustering'!M7</f>
        <v/>
      </c>
      <c r="BU10" s="4" t="str">
        <f>'S20 Clustering'!N7</f>
        <v/>
      </c>
      <c r="BV10" s="4" t="str">
        <f>'S20 Clustering'!O7</f>
        <v/>
      </c>
      <c r="BW10" s="4" t="str">
        <f>'S20 Clustering'!P7</f>
        <v/>
      </c>
      <c r="BX10" s="4">
        <f>'S20 Clustering'!Q7</f>
        <v>40</v>
      </c>
      <c r="BY10" s="4" t="str">
        <f>'S20 Clustering'!R7</f>
        <v/>
      </c>
      <c r="BZ10" s="4" t="str">
        <f>'S20 Clustering'!S7</f>
        <v/>
      </c>
      <c r="CA10" s="4" t="str">
        <f>'S20 Clustering'!T7</f>
        <v/>
      </c>
      <c r="CB10" s="4" t="str">
        <f>'S20 Clustering'!U7</f>
        <v/>
      </c>
      <c r="CC10" s="4" t="str">
        <f>'S20 Clustering'!V7</f>
        <v/>
      </c>
      <c r="CD10" s="4" t="str">
        <f>'S20 Clustering'!W7</f>
        <v/>
      </c>
      <c r="CE10" s="4" t="str">
        <f>'S20 Clustering'!X7</f>
        <v/>
      </c>
      <c r="CF10" s="4">
        <f>'S20 Clustering'!Y7</f>
        <v>50</v>
      </c>
      <c r="CG10" s="4" t="str">
        <f>'S20 Clustering'!Z7</f>
        <v/>
      </c>
      <c r="CH10" s="324">
        <f>'S20 Clustering'!AA7</f>
        <v>60</v>
      </c>
    </row>
    <row r="11" spans="1:86" ht="16" thickBot="1">
      <c r="A11" s="3" t="str">
        <f>IFERROR(ROUND(SQRT(VLOOKUP(E11, 'S26 Space Requirements'!$B$5:$P$30, 15, 0)), 0), "")</f>
        <v/>
      </c>
      <c r="E11" s="399" t="s">
        <v>1051</v>
      </c>
      <c r="F11" s="3">
        <f>'S28 Transportation Matrix'!B13</f>
        <v>0</v>
      </c>
      <c r="G11" s="3">
        <f>'S28 Transportation Matrix'!C13</f>
        <v>0</v>
      </c>
      <c r="H11" s="3">
        <f>'S28 Transportation Matrix'!D13</f>
        <v>0</v>
      </c>
      <c r="I11" s="3">
        <f>'S28 Transportation Matrix'!E13</f>
        <v>0</v>
      </c>
      <c r="J11" s="3">
        <f>'S28 Transportation Matrix'!F13</f>
        <v>0</v>
      </c>
      <c r="K11" s="3">
        <f>'S28 Transportation Matrix'!G13</f>
        <v>0</v>
      </c>
      <c r="L11" s="3">
        <f>'S28 Transportation Matrix'!H13</f>
        <v>0</v>
      </c>
      <c r="M11" s="3">
        <f>'S28 Transportation Matrix'!I13</f>
        <v>0</v>
      </c>
      <c r="N11" s="3">
        <f>'S28 Transportation Matrix'!J13</f>
        <v>0</v>
      </c>
      <c r="O11" s="3">
        <f>'S28 Transportation Matrix'!K13</f>
        <v>0</v>
      </c>
      <c r="P11" s="3">
        <f>'S28 Transportation Matrix'!L13</f>
        <v>0</v>
      </c>
      <c r="Q11" s="3">
        <f>'S28 Transportation Matrix'!M13</f>
        <v>0</v>
      </c>
      <c r="R11" s="3">
        <f>'S28 Transportation Matrix'!N13</f>
        <v>0</v>
      </c>
      <c r="S11" s="3">
        <f>'S28 Transportation Matrix'!O13</f>
        <v>0</v>
      </c>
      <c r="T11" s="3">
        <f>'S28 Transportation Matrix'!P13</f>
        <v>0</v>
      </c>
      <c r="U11" s="3">
        <f>'S28 Transportation Matrix'!Q13</f>
        <v>0</v>
      </c>
      <c r="V11" s="3">
        <f>'S28 Transportation Matrix'!R13</f>
        <v>0</v>
      </c>
      <c r="W11" s="3">
        <f>'S28 Transportation Matrix'!S13</f>
        <v>0</v>
      </c>
      <c r="X11" s="3">
        <f>'S28 Transportation Matrix'!T13</f>
        <v>0</v>
      </c>
      <c r="Y11" s="3">
        <f>'S28 Transportation Matrix'!U13</f>
        <v>0</v>
      </c>
      <c r="Z11" s="3">
        <f>'S28 Transportation Matrix'!V13</f>
        <v>0</v>
      </c>
      <c r="AA11" s="3">
        <f>'S28 Transportation Matrix'!W13</f>
        <v>0</v>
      </c>
      <c r="AB11" s="3">
        <f>'S28 Transportation Matrix'!X13</f>
        <v>0</v>
      </c>
      <c r="AC11" s="3">
        <f>'S28 Transportation Matrix'!Y13</f>
        <v>0</v>
      </c>
      <c r="AD11" s="3">
        <f>'S28 Transportation Matrix'!Z13</f>
        <v>0</v>
      </c>
      <c r="AE11" s="3">
        <f>'S28 Transportation Matrix'!AA13</f>
        <v>0</v>
      </c>
      <c r="AF11" s="3">
        <f>'S28 Transportation Matrix'!AB13</f>
        <v>0</v>
      </c>
      <c r="AG11" s="3">
        <f>'S28 Transportation Matrix'!AC13</f>
        <v>0</v>
      </c>
      <c r="AH11" s="3">
        <f>'S28 Transportation Matrix'!AD13</f>
        <v>0</v>
      </c>
      <c r="AI11" s="3">
        <f>'S28 Transportation Matrix'!AE13</f>
        <v>0</v>
      </c>
      <c r="AJ11" s="3">
        <f>'S28 Transportation Matrix'!AF13</f>
        <v>0</v>
      </c>
      <c r="AK11" s="3">
        <f>'S28 Transportation Matrix'!AG13</f>
        <v>0</v>
      </c>
      <c r="AL11" s="3">
        <f>'S28 Transportation Matrix'!AH13</f>
        <v>0</v>
      </c>
      <c r="AM11" s="3">
        <f>'S28 Transportation Matrix'!AI13</f>
        <v>0</v>
      </c>
      <c r="AN11" s="3">
        <f>'S28 Transportation Matrix'!AJ13</f>
        <v>0</v>
      </c>
      <c r="AO11" s="3">
        <f>'S28 Transportation Matrix'!AK13</f>
        <v>0</v>
      </c>
      <c r="AP11" s="3">
        <f>'S28 Transportation Matrix'!AL13</f>
        <v>0</v>
      </c>
      <c r="AQ11" s="3">
        <f>'S28 Transportation Matrix'!AM13</f>
        <v>0</v>
      </c>
      <c r="AR11" s="3">
        <f>'S28 Transportation Matrix'!AN13</f>
        <v>0</v>
      </c>
      <c r="AS11" s="3">
        <f>'S28 Transportation Matrix'!AO13</f>
        <v>0</v>
      </c>
      <c r="AT11" s="3">
        <f>'S28 Transportation Matrix'!AP13</f>
        <v>0</v>
      </c>
      <c r="AU11" s="3">
        <f>'S28 Transportation Matrix'!AQ13</f>
        <v>0</v>
      </c>
      <c r="AV11" s="3">
        <f>'S28 Transportation Matrix'!AR13</f>
        <v>0</v>
      </c>
      <c r="AW11" s="3">
        <f>'S28 Transportation Matrix'!AS13</f>
        <v>0</v>
      </c>
      <c r="BG11" s="3">
        <v>1</v>
      </c>
      <c r="BH11" s="325" t="str">
        <f>'S20 Clustering'!A8</f>
        <v>I-071</v>
      </c>
      <c r="BI11" s="326">
        <f>'S20 Clustering'!B8</f>
        <v>10</v>
      </c>
      <c r="BJ11" s="326">
        <f>'S20 Clustering'!C8</f>
        <v>20</v>
      </c>
      <c r="BK11" s="326" t="str">
        <f>'S20 Clustering'!D8</f>
        <v/>
      </c>
      <c r="BL11" s="326" t="str">
        <f>'S20 Clustering'!E8</f>
        <v/>
      </c>
      <c r="BM11" s="326" t="str">
        <f>'S20 Clustering'!F8</f>
        <v/>
      </c>
      <c r="BN11" s="326" t="str">
        <f>'S20 Clustering'!G8</f>
        <v/>
      </c>
      <c r="BO11" s="326" t="str">
        <f>'S20 Clustering'!H8</f>
        <v/>
      </c>
      <c r="BP11" s="326" t="str">
        <f>'S20 Clustering'!I8</f>
        <v/>
      </c>
      <c r="BQ11" s="326">
        <f>'S20 Clustering'!J8</f>
        <v>30</v>
      </c>
      <c r="BR11" s="326" t="str">
        <f>'S20 Clustering'!K8</f>
        <v/>
      </c>
      <c r="BS11" s="326" t="str">
        <f>'S20 Clustering'!L8</f>
        <v/>
      </c>
      <c r="BT11" s="326" t="str">
        <f>'S20 Clustering'!M8</f>
        <v/>
      </c>
      <c r="BU11" s="326" t="str">
        <f>'S20 Clustering'!N8</f>
        <v/>
      </c>
      <c r="BV11" s="326" t="str">
        <f>'S20 Clustering'!O8</f>
        <v/>
      </c>
      <c r="BW11" s="326" t="str">
        <f>'S20 Clustering'!P8</f>
        <v/>
      </c>
      <c r="BX11" s="326">
        <f>'S20 Clustering'!Q8</f>
        <v>40</v>
      </c>
      <c r="BY11" s="326" t="str">
        <f>'S20 Clustering'!R8</f>
        <v/>
      </c>
      <c r="BZ11" s="326" t="str">
        <f>'S20 Clustering'!S8</f>
        <v/>
      </c>
      <c r="CA11" s="326" t="str">
        <f>'S20 Clustering'!T8</f>
        <v/>
      </c>
      <c r="CB11" s="326" t="str">
        <f>'S20 Clustering'!U8</f>
        <v/>
      </c>
      <c r="CC11" s="326" t="str">
        <f>'S20 Clustering'!V8</f>
        <v/>
      </c>
      <c r="CD11" s="326" t="str">
        <f>'S20 Clustering'!W8</f>
        <v/>
      </c>
      <c r="CE11" s="326" t="str">
        <f>'S20 Clustering'!X8</f>
        <v/>
      </c>
      <c r="CF11" s="326">
        <f>'S20 Clustering'!Y8</f>
        <v>50</v>
      </c>
      <c r="CG11" s="326" t="str">
        <f>'S20 Clustering'!Z8</f>
        <v/>
      </c>
      <c r="CH11" s="327">
        <f>'S20 Clustering'!AA8</f>
        <v>60</v>
      </c>
    </row>
    <row r="12" spans="1:86">
      <c r="A12" s="3" t="str">
        <f>IFERROR(ROUND(SQRT(VLOOKUP(E12, 'S26 Space Requirements'!$B$5:$P$30, 15, 0)), 0), "")</f>
        <v/>
      </c>
      <c r="E12" s="399" t="s">
        <v>1053</v>
      </c>
      <c r="F12" s="3">
        <f>'S28 Transportation Matrix'!B14</f>
        <v>0</v>
      </c>
      <c r="G12" s="3">
        <f>'S28 Transportation Matrix'!C14</f>
        <v>0</v>
      </c>
      <c r="H12" s="3">
        <f>'S28 Transportation Matrix'!D14</f>
        <v>0</v>
      </c>
      <c r="I12" s="3">
        <f>'S28 Transportation Matrix'!E14</f>
        <v>0</v>
      </c>
      <c r="J12" s="3">
        <f>'S28 Transportation Matrix'!F14</f>
        <v>0</v>
      </c>
      <c r="K12" s="3">
        <f>'S28 Transportation Matrix'!G14</f>
        <v>0</v>
      </c>
      <c r="L12" s="3">
        <f>'S28 Transportation Matrix'!H14</f>
        <v>0</v>
      </c>
      <c r="M12" s="3">
        <f>'S28 Transportation Matrix'!I14</f>
        <v>0</v>
      </c>
      <c r="N12" s="3">
        <f>'S28 Transportation Matrix'!J14</f>
        <v>0</v>
      </c>
      <c r="O12" s="3">
        <f>'S28 Transportation Matrix'!K14</f>
        <v>0</v>
      </c>
      <c r="P12" s="3">
        <f>'S28 Transportation Matrix'!L14</f>
        <v>0</v>
      </c>
      <c r="Q12" s="3">
        <f>'S28 Transportation Matrix'!M14</f>
        <v>0</v>
      </c>
      <c r="R12" s="3">
        <f>'S28 Transportation Matrix'!N14</f>
        <v>0</v>
      </c>
      <c r="S12" s="3">
        <f>'S28 Transportation Matrix'!O14</f>
        <v>0</v>
      </c>
      <c r="T12" s="3">
        <f>'S28 Transportation Matrix'!P14</f>
        <v>0</v>
      </c>
      <c r="U12" s="3">
        <f>'S28 Transportation Matrix'!Q14</f>
        <v>0</v>
      </c>
      <c r="V12" s="3">
        <f>'S28 Transportation Matrix'!R14</f>
        <v>0</v>
      </c>
      <c r="W12" s="3">
        <f>'S28 Transportation Matrix'!S14</f>
        <v>0</v>
      </c>
      <c r="X12" s="3">
        <f>'S28 Transportation Matrix'!T14</f>
        <v>0</v>
      </c>
      <c r="Y12" s="3">
        <f>'S28 Transportation Matrix'!U14</f>
        <v>0</v>
      </c>
      <c r="Z12" s="3">
        <f>'S28 Transportation Matrix'!V14</f>
        <v>0</v>
      </c>
      <c r="AA12" s="3">
        <f>'S28 Transportation Matrix'!W14</f>
        <v>0</v>
      </c>
      <c r="AB12" s="3">
        <f>'S28 Transportation Matrix'!X14</f>
        <v>0</v>
      </c>
      <c r="AC12" s="3">
        <f>'S28 Transportation Matrix'!Y14</f>
        <v>0</v>
      </c>
      <c r="AD12" s="3">
        <f>'S28 Transportation Matrix'!Z14</f>
        <v>0</v>
      </c>
      <c r="AE12" s="3">
        <f>'S28 Transportation Matrix'!AA14</f>
        <v>0</v>
      </c>
      <c r="AF12" s="3">
        <f>'S28 Transportation Matrix'!AB14</f>
        <v>0</v>
      </c>
      <c r="AG12" s="3">
        <f>'S28 Transportation Matrix'!AC14</f>
        <v>0</v>
      </c>
      <c r="AH12" s="3">
        <f>'S28 Transportation Matrix'!AD14</f>
        <v>0</v>
      </c>
      <c r="AI12" s="3">
        <f>'S28 Transportation Matrix'!AE14</f>
        <v>0</v>
      </c>
      <c r="AJ12" s="3">
        <f>'S28 Transportation Matrix'!AF14</f>
        <v>0</v>
      </c>
      <c r="AK12" s="3">
        <f>'S28 Transportation Matrix'!AG14</f>
        <v>0</v>
      </c>
      <c r="AL12" s="3">
        <f>'S28 Transportation Matrix'!AH14</f>
        <v>0</v>
      </c>
      <c r="AM12" s="3">
        <f>'S28 Transportation Matrix'!AI14</f>
        <v>0</v>
      </c>
      <c r="AN12" s="3">
        <f>'S28 Transportation Matrix'!AJ14</f>
        <v>0</v>
      </c>
      <c r="AO12" s="3">
        <f>'S28 Transportation Matrix'!AK14</f>
        <v>0</v>
      </c>
      <c r="AP12" s="3">
        <f>'S28 Transportation Matrix'!AL14</f>
        <v>0</v>
      </c>
      <c r="AQ12" s="3">
        <f>'S28 Transportation Matrix'!AM14</f>
        <v>0</v>
      </c>
      <c r="AR12" s="3">
        <f>'S28 Transportation Matrix'!AN14</f>
        <v>0</v>
      </c>
      <c r="AS12" s="3">
        <f>'S28 Transportation Matrix'!AO14</f>
        <v>0</v>
      </c>
      <c r="AT12" s="3">
        <f>'S28 Transportation Matrix'!AP14</f>
        <v>0</v>
      </c>
      <c r="AU12" s="3">
        <f>'S28 Transportation Matrix'!AQ14</f>
        <v>0</v>
      </c>
      <c r="AV12" s="3">
        <f>'S28 Transportation Matrix'!AR14</f>
        <v>0</v>
      </c>
      <c r="AW12" s="3">
        <f>'S28 Transportation Matrix'!AS14</f>
        <v>0</v>
      </c>
      <c r="BG12" s="3">
        <v>2</v>
      </c>
      <c r="BH12" s="320" t="str">
        <f>'S20 Clustering'!A9</f>
        <v>I-037</v>
      </c>
      <c r="BI12" s="321">
        <f>'S20 Clustering'!B9</f>
        <v>10</v>
      </c>
      <c r="BJ12" s="321" t="str">
        <f>'S20 Clustering'!C9</f>
        <v/>
      </c>
      <c r="BK12" s="321">
        <f>'S20 Clustering'!D9</f>
        <v>20</v>
      </c>
      <c r="BL12" s="321" t="str">
        <f>'S20 Clustering'!E9</f>
        <v/>
      </c>
      <c r="BM12" s="321" t="str">
        <f>'S20 Clustering'!F9</f>
        <v/>
      </c>
      <c r="BN12" s="321" t="str">
        <f>'S20 Clustering'!G9</f>
        <v/>
      </c>
      <c r="BO12" s="321">
        <f>'S20 Clustering'!H9</f>
        <v>30</v>
      </c>
      <c r="BP12" s="321" t="str">
        <f>'S20 Clustering'!I9</f>
        <v/>
      </c>
      <c r="BQ12" s="321" t="str">
        <f>'S20 Clustering'!J9</f>
        <v/>
      </c>
      <c r="BR12" s="321" t="str">
        <f>'S20 Clustering'!K9</f>
        <v/>
      </c>
      <c r="BS12" s="321" t="str">
        <f>'S20 Clustering'!L9</f>
        <v/>
      </c>
      <c r="BT12" s="321" t="str">
        <f>'S20 Clustering'!M9</f>
        <v/>
      </c>
      <c r="BU12" s="321">
        <f>'S20 Clustering'!N9</f>
        <v>40</v>
      </c>
      <c r="BV12" s="321" t="str">
        <f>'S20 Clustering'!O9</f>
        <v/>
      </c>
      <c r="BW12" s="321" t="str">
        <f>'S20 Clustering'!P9</f>
        <v/>
      </c>
      <c r="BX12" s="321" t="str">
        <f>'S20 Clustering'!Q9</f>
        <v/>
      </c>
      <c r="BY12" s="321" t="str">
        <f>'S20 Clustering'!R9</f>
        <v/>
      </c>
      <c r="BZ12" s="321">
        <f>'S20 Clustering'!S9</f>
        <v>50</v>
      </c>
      <c r="CA12" s="321" t="str">
        <f>'S20 Clustering'!T9</f>
        <v/>
      </c>
      <c r="CB12" s="321">
        <f>'S20 Clustering'!U9</f>
        <v>60</v>
      </c>
      <c r="CC12" s="321" t="str">
        <f>'S20 Clustering'!V9</f>
        <v/>
      </c>
      <c r="CD12" s="321">
        <f>'S20 Clustering'!W9</f>
        <v>70</v>
      </c>
      <c r="CE12" s="321" t="str">
        <f>'S20 Clustering'!X9</f>
        <v/>
      </c>
      <c r="CF12" s="321" t="str">
        <f>'S20 Clustering'!Y9</f>
        <v/>
      </c>
      <c r="CG12" s="321" t="str">
        <f>'S20 Clustering'!Z9</f>
        <v/>
      </c>
      <c r="CH12" s="322">
        <f>'S20 Clustering'!AA9</f>
        <v>80</v>
      </c>
    </row>
    <row r="13" spans="1:86">
      <c r="A13" s="3" t="str">
        <f>IFERROR(ROUND(SQRT(VLOOKUP(E13, 'S26 Space Requirements'!$B$5:$P$30, 15, 0)), 0), "")</f>
        <v/>
      </c>
      <c r="E13" s="399" t="s">
        <v>1055</v>
      </c>
      <c r="F13" s="3">
        <f>'S28 Transportation Matrix'!B15</f>
        <v>0</v>
      </c>
      <c r="G13" s="3">
        <f>'S28 Transportation Matrix'!C15</f>
        <v>0</v>
      </c>
      <c r="H13" s="3">
        <f>'S28 Transportation Matrix'!D15</f>
        <v>0</v>
      </c>
      <c r="I13" s="3">
        <f>'S28 Transportation Matrix'!E15</f>
        <v>0</v>
      </c>
      <c r="J13" s="3">
        <f>'S28 Transportation Matrix'!F15</f>
        <v>0</v>
      </c>
      <c r="K13" s="3">
        <f>'S28 Transportation Matrix'!G15</f>
        <v>0</v>
      </c>
      <c r="L13" s="3">
        <f>'S28 Transportation Matrix'!H15</f>
        <v>0</v>
      </c>
      <c r="M13" s="3">
        <f>'S28 Transportation Matrix'!I15</f>
        <v>0</v>
      </c>
      <c r="N13" s="3">
        <f>'S28 Transportation Matrix'!J15</f>
        <v>0</v>
      </c>
      <c r="O13" s="3">
        <f>'S28 Transportation Matrix'!K15</f>
        <v>0</v>
      </c>
      <c r="P13" s="3">
        <f>'S28 Transportation Matrix'!L15</f>
        <v>0</v>
      </c>
      <c r="Q13" s="3">
        <f>'S28 Transportation Matrix'!M15</f>
        <v>0</v>
      </c>
      <c r="R13" s="3">
        <f>'S28 Transportation Matrix'!N15</f>
        <v>0</v>
      </c>
      <c r="S13" s="3">
        <f>'S28 Transportation Matrix'!O15</f>
        <v>0</v>
      </c>
      <c r="T13" s="3">
        <f>'S28 Transportation Matrix'!P15</f>
        <v>0</v>
      </c>
      <c r="U13" s="3">
        <f>'S28 Transportation Matrix'!Q15</f>
        <v>0</v>
      </c>
      <c r="V13" s="3">
        <f>'S28 Transportation Matrix'!R15</f>
        <v>0</v>
      </c>
      <c r="W13" s="3">
        <f>'S28 Transportation Matrix'!S15</f>
        <v>0</v>
      </c>
      <c r="X13" s="3">
        <f>'S28 Transportation Matrix'!T15</f>
        <v>0</v>
      </c>
      <c r="Y13" s="3">
        <f>'S28 Transportation Matrix'!U15</f>
        <v>0</v>
      </c>
      <c r="Z13" s="3">
        <f>'S28 Transportation Matrix'!V15</f>
        <v>0</v>
      </c>
      <c r="AA13" s="3">
        <f>'S28 Transportation Matrix'!W15</f>
        <v>0</v>
      </c>
      <c r="AB13" s="3">
        <f>'S28 Transportation Matrix'!X15</f>
        <v>0</v>
      </c>
      <c r="AC13" s="3">
        <f>'S28 Transportation Matrix'!Y15</f>
        <v>0</v>
      </c>
      <c r="AD13" s="3">
        <f>'S28 Transportation Matrix'!Z15</f>
        <v>0</v>
      </c>
      <c r="AE13" s="3">
        <f>'S28 Transportation Matrix'!AA15</f>
        <v>0</v>
      </c>
      <c r="AF13" s="3">
        <f>'S28 Transportation Matrix'!AB15</f>
        <v>0</v>
      </c>
      <c r="AG13" s="3">
        <f>'S28 Transportation Matrix'!AC15</f>
        <v>0</v>
      </c>
      <c r="AH13" s="3">
        <f>'S28 Transportation Matrix'!AD15</f>
        <v>0</v>
      </c>
      <c r="AI13" s="3">
        <f>'S28 Transportation Matrix'!AE15</f>
        <v>0</v>
      </c>
      <c r="AJ13" s="3">
        <f>'S28 Transportation Matrix'!AF15</f>
        <v>0</v>
      </c>
      <c r="AK13" s="3">
        <f>'S28 Transportation Matrix'!AG15</f>
        <v>0</v>
      </c>
      <c r="AL13" s="3">
        <f>'S28 Transportation Matrix'!AH15</f>
        <v>0</v>
      </c>
      <c r="AM13" s="3">
        <f>'S28 Transportation Matrix'!AI15</f>
        <v>0</v>
      </c>
      <c r="AN13" s="3">
        <f>'S28 Transportation Matrix'!AJ15</f>
        <v>0</v>
      </c>
      <c r="AO13" s="3">
        <f>'S28 Transportation Matrix'!AK15</f>
        <v>0</v>
      </c>
      <c r="AP13" s="3">
        <f>'S28 Transportation Matrix'!AL15</f>
        <v>0</v>
      </c>
      <c r="AQ13" s="3">
        <f>'S28 Transportation Matrix'!AM15</f>
        <v>0</v>
      </c>
      <c r="AR13" s="3">
        <f>'S28 Transportation Matrix'!AN15</f>
        <v>0</v>
      </c>
      <c r="AS13" s="3">
        <f>'S28 Transportation Matrix'!AO15</f>
        <v>0</v>
      </c>
      <c r="AT13" s="3">
        <f>'S28 Transportation Matrix'!AP15</f>
        <v>0</v>
      </c>
      <c r="AU13" s="3">
        <f>'S28 Transportation Matrix'!AQ15</f>
        <v>0</v>
      </c>
      <c r="AV13" s="3">
        <f>'S28 Transportation Matrix'!AR15</f>
        <v>0</v>
      </c>
      <c r="AW13" s="3">
        <f>'S28 Transportation Matrix'!AS15</f>
        <v>0</v>
      </c>
      <c r="BG13" s="3">
        <v>2</v>
      </c>
      <c r="BH13" s="323" t="str">
        <f>'S20 Clustering'!A10</f>
        <v>I-073</v>
      </c>
      <c r="BI13" s="4">
        <f>'S20 Clustering'!B10</f>
        <v>10</v>
      </c>
      <c r="BJ13" s="4" t="str">
        <f>'S20 Clustering'!C10</f>
        <v/>
      </c>
      <c r="BK13" s="4">
        <f>'S20 Clustering'!D10</f>
        <v>20</v>
      </c>
      <c r="BL13" s="4" t="str">
        <f>'S20 Clustering'!E10</f>
        <v/>
      </c>
      <c r="BM13" s="4" t="str">
        <f>'S20 Clustering'!F10</f>
        <v/>
      </c>
      <c r="BN13" s="4" t="str">
        <f>'S20 Clustering'!G10</f>
        <v/>
      </c>
      <c r="BO13" s="4">
        <f>'S20 Clustering'!H10</f>
        <v>30</v>
      </c>
      <c r="BP13" s="4" t="str">
        <f>'S20 Clustering'!I10</f>
        <v/>
      </c>
      <c r="BQ13" s="4" t="str">
        <f>'S20 Clustering'!J10</f>
        <v/>
      </c>
      <c r="BR13" s="4" t="str">
        <f>'S20 Clustering'!K10</f>
        <v/>
      </c>
      <c r="BS13" s="4" t="str">
        <f>'S20 Clustering'!L10</f>
        <v/>
      </c>
      <c r="BT13" s="4" t="str">
        <f>'S20 Clustering'!M10</f>
        <v/>
      </c>
      <c r="BU13" s="4">
        <f>'S20 Clustering'!N10</f>
        <v>40</v>
      </c>
      <c r="BV13" s="4" t="str">
        <f>'S20 Clustering'!O10</f>
        <v/>
      </c>
      <c r="BW13" s="4" t="str">
        <f>'S20 Clustering'!P10</f>
        <v/>
      </c>
      <c r="BX13" s="4" t="str">
        <f>'S20 Clustering'!Q10</f>
        <v/>
      </c>
      <c r="BY13" s="4" t="str">
        <f>'S20 Clustering'!R10</f>
        <v/>
      </c>
      <c r="BZ13" s="4">
        <f>'S20 Clustering'!S10</f>
        <v>50</v>
      </c>
      <c r="CA13" s="4" t="str">
        <f>'S20 Clustering'!T10</f>
        <v/>
      </c>
      <c r="CB13" s="4">
        <f>'S20 Clustering'!U10</f>
        <v>60</v>
      </c>
      <c r="CC13" s="4" t="str">
        <f>'S20 Clustering'!V10</f>
        <v/>
      </c>
      <c r="CD13" s="4">
        <f>'S20 Clustering'!W10</f>
        <v>70</v>
      </c>
      <c r="CE13" s="4" t="str">
        <f>'S20 Clustering'!X10</f>
        <v/>
      </c>
      <c r="CF13" s="4" t="str">
        <f>'S20 Clustering'!Y10</f>
        <v/>
      </c>
      <c r="CG13" s="4" t="str">
        <f>'S20 Clustering'!Z10</f>
        <v/>
      </c>
      <c r="CH13" s="324">
        <f>'S20 Clustering'!AA10</f>
        <v>80</v>
      </c>
    </row>
    <row r="14" spans="1:86" ht="16" thickBot="1">
      <c r="A14" s="3" t="str">
        <f>IFERROR(ROUND(SQRT(VLOOKUP(E14, 'S26 Space Requirements'!$B$5:$P$30, 15, 0)), 0), "")</f>
        <v/>
      </c>
      <c r="E14" s="399" t="s">
        <v>1057</v>
      </c>
      <c r="F14" s="3">
        <f>'S28 Transportation Matrix'!B16</f>
        <v>0</v>
      </c>
      <c r="G14" s="3">
        <f>'S28 Transportation Matrix'!C16</f>
        <v>0</v>
      </c>
      <c r="H14" s="3">
        <f>'S28 Transportation Matrix'!D16</f>
        <v>0</v>
      </c>
      <c r="I14" s="3">
        <f>'S28 Transportation Matrix'!E16</f>
        <v>0</v>
      </c>
      <c r="J14" s="3">
        <f>'S28 Transportation Matrix'!F16</f>
        <v>0</v>
      </c>
      <c r="K14" s="3">
        <f>'S28 Transportation Matrix'!G16</f>
        <v>0</v>
      </c>
      <c r="L14" s="3">
        <f>'S28 Transportation Matrix'!H16</f>
        <v>0</v>
      </c>
      <c r="M14" s="3">
        <f>'S28 Transportation Matrix'!I16</f>
        <v>0</v>
      </c>
      <c r="N14" s="3">
        <f>'S28 Transportation Matrix'!J16</f>
        <v>0</v>
      </c>
      <c r="O14" s="3">
        <f>'S28 Transportation Matrix'!K16</f>
        <v>0</v>
      </c>
      <c r="P14" s="3">
        <f>'S28 Transportation Matrix'!L16</f>
        <v>0</v>
      </c>
      <c r="Q14" s="3">
        <f>'S28 Transportation Matrix'!M16</f>
        <v>0</v>
      </c>
      <c r="R14" s="3">
        <f>'S28 Transportation Matrix'!N16</f>
        <v>0</v>
      </c>
      <c r="S14" s="3">
        <f>'S28 Transportation Matrix'!O16</f>
        <v>0</v>
      </c>
      <c r="T14" s="3">
        <f>'S28 Transportation Matrix'!P16</f>
        <v>0</v>
      </c>
      <c r="U14" s="3">
        <f>'S28 Transportation Matrix'!Q16</f>
        <v>0</v>
      </c>
      <c r="V14" s="3">
        <f>'S28 Transportation Matrix'!R16</f>
        <v>0</v>
      </c>
      <c r="W14" s="3">
        <f>'S28 Transportation Matrix'!S16</f>
        <v>0</v>
      </c>
      <c r="X14" s="3">
        <f>'S28 Transportation Matrix'!T16</f>
        <v>0</v>
      </c>
      <c r="Y14" s="3">
        <f>'S28 Transportation Matrix'!U16</f>
        <v>0</v>
      </c>
      <c r="Z14" s="3">
        <f>'S28 Transportation Matrix'!V16</f>
        <v>0</v>
      </c>
      <c r="AA14" s="3">
        <f>'S28 Transportation Matrix'!W16</f>
        <v>0</v>
      </c>
      <c r="AB14" s="3">
        <f>'S28 Transportation Matrix'!X16</f>
        <v>0</v>
      </c>
      <c r="AC14" s="3">
        <f>'S28 Transportation Matrix'!Y16</f>
        <v>0</v>
      </c>
      <c r="AD14" s="3">
        <f>'S28 Transportation Matrix'!Z16</f>
        <v>0</v>
      </c>
      <c r="AE14" s="3">
        <f>'S28 Transportation Matrix'!AA16</f>
        <v>0</v>
      </c>
      <c r="AF14" s="3">
        <f>'S28 Transportation Matrix'!AB16</f>
        <v>0</v>
      </c>
      <c r="AG14" s="3">
        <f>'S28 Transportation Matrix'!AC16</f>
        <v>0</v>
      </c>
      <c r="AH14" s="3">
        <f>'S28 Transportation Matrix'!AD16</f>
        <v>0</v>
      </c>
      <c r="AI14" s="3">
        <f>'S28 Transportation Matrix'!AE16</f>
        <v>0</v>
      </c>
      <c r="AJ14" s="3">
        <f>'S28 Transportation Matrix'!AF16</f>
        <v>0</v>
      </c>
      <c r="AK14" s="3">
        <f>'S28 Transportation Matrix'!AG16</f>
        <v>0</v>
      </c>
      <c r="AL14" s="3">
        <f>'S28 Transportation Matrix'!AH16</f>
        <v>0</v>
      </c>
      <c r="AM14" s="3">
        <f>'S28 Transportation Matrix'!AI16</f>
        <v>0</v>
      </c>
      <c r="AN14" s="3">
        <f>'S28 Transportation Matrix'!AJ16</f>
        <v>0</v>
      </c>
      <c r="AO14" s="3">
        <f>'S28 Transportation Matrix'!AK16</f>
        <v>0</v>
      </c>
      <c r="AP14" s="3">
        <f>'S28 Transportation Matrix'!AL16</f>
        <v>0</v>
      </c>
      <c r="AQ14" s="3">
        <f>'S28 Transportation Matrix'!AM16</f>
        <v>0</v>
      </c>
      <c r="AR14" s="3">
        <f>'S28 Transportation Matrix'!AN16</f>
        <v>0</v>
      </c>
      <c r="AS14" s="3">
        <f>'S28 Transportation Matrix'!AO16</f>
        <v>0</v>
      </c>
      <c r="AT14" s="3">
        <f>'S28 Transportation Matrix'!AP16</f>
        <v>0</v>
      </c>
      <c r="AU14" s="3">
        <f>'S28 Transportation Matrix'!AQ16</f>
        <v>0</v>
      </c>
      <c r="AV14" s="3">
        <f>'S28 Transportation Matrix'!AR16</f>
        <v>0</v>
      </c>
      <c r="AW14" s="3">
        <f>'S28 Transportation Matrix'!AS16</f>
        <v>0</v>
      </c>
      <c r="BG14" s="3">
        <v>2</v>
      </c>
      <c r="BH14" s="325" t="str">
        <f>'S20 Clustering'!A11</f>
        <v>I-074</v>
      </c>
      <c r="BI14" s="326">
        <f>'S20 Clustering'!B11</f>
        <v>10</v>
      </c>
      <c r="BJ14" s="326" t="str">
        <f>'S20 Clustering'!C11</f>
        <v/>
      </c>
      <c r="BK14" s="326">
        <f>'S20 Clustering'!D11</f>
        <v>20</v>
      </c>
      <c r="BL14" s="326" t="str">
        <f>'S20 Clustering'!E11</f>
        <v/>
      </c>
      <c r="BM14" s="326" t="str">
        <f>'S20 Clustering'!F11</f>
        <v/>
      </c>
      <c r="BN14" s="326" t="str">
        <f>'S20 Clustering'!G11</f>
        <v/>
      </c>
      <c r="BO14" s="326">
        <f>'S20 Clustering'!H11</f>
        <v>30</v>
      </c>
      <c r="BP14" s="326" t="str">
        <f>'S20 Clustering'!I11</f>
        <v/>
      </c>
      <c r="BQ14" s="326" t="str">
        <f>'S20 Clustering'!J11</f>
        <v/>
      </c>
      <c r="BR14" s="326" t="str">
        <f>'S20 Clustering'!K11</f>
        <v/>
      </c>
      <c r="BS14" s="326" t="str">
        <f>'S20 Clustering'!L11</f>
        <v/>
      </c>
      <c r="BT14" s="326" t="str">
        <f>'S20 Clustering'!M11</f>
        <v/>
      </c>
      <c r="BU14" s="326">
        <f>'S20 Clustering'!N11</f>
        <v>40</v>
      </c>
      <c r="BV14" s="326" t="str">
        <f>'S20 Clustering'!O11</f>
        <v/>
      </c>
      <c r="BW14" s="326" t="str">
        <f>'S20 Clustering'!P11</f>
        <v/>
      </c>
      <c r="BX14" s="326" t="str">
        <f>'S20 Clustering'!Q11</f>
        <v/>
      </c>
      <c r="BY14" s="326" t="str">
        <f>'S20 Clustering'!R11</f>
        <v/>
      </c>
      <c r="BZ14" s="326">
        <f>'S20 Clustering'!S11</f>
        <v>50</v>
      </c>
      <c r="CA14" s="326" t="str">
        <f>'S20 Clustering'!T11</f>
        <v/>
      </c>
      <c r="CB14" s="326">
        <f>'S20 Clustering'!U11</f>
        <v>60</v>
      </c>
      <c r="CC14" s="326" t="str">
        <f>'S20 Clustering'!V11</f>
        <v/>
      </c>
      <c r="CD14" s="326">
        <f>'S20 Clustering'!W11</f>
        <v>70</v>
      </c>
      <c r="CE14" s="326" t="str">
        <f>'S20 Clustering'!X11</f>
        <v/>
      </c>
      <c r="CF14" s="326" t="str">
        <f>'S20 Clustering'!Y11</f>
        <v/>
      </c>
      <c r="CG14" s="326" t="str">
        <f>'S20 Clustering'!Z11</f>
        <v/>
      </c>
      <c r="CH14" s="327">
        <f>'S20 Clustering'!AA11</f>
        <v>80</v>
      </c>
    </row>
    <row r="15" spans="1:86">
      <c r="A15" s="3" t="str">
        <f>IFERROR(ROUND(SQRT(VLOOKUP(E15, 'S26 Space Requirements'!$B$5:$P$30, 15, 0)), 0), "")</f>
        <v/>
      </c>
      <c r="E15" s="399" t="s">
        <v>1059</v>
      </c>
      <c r="F15" s="3">
        <f>'S28 Transportation Matrix'!B17</f>
        <v>0</v>
      </c>
      <c r="G15" s="3">
        <f>'S28 Transportation Matrix'!C17</f>
        <v>0</v>
      </c>
      <c r="H15" s="3">
        <f>'S28 Transportation Matrix'!D17</f>
        <v>0</v>
      </c>
      <c r="I15" s="3">
        <f>'S28 Transportation Matrix'!E17</f>
        <v>0</v>
      </c>
      <c r="J15" s="3">
        <f>'S28 Transportation Matrix'!F17</f>
        <v>0</v>
      </c>
      <c r="K15" s="3">
        <f>'S28 Transportation Matrix'!G17</f>
        <v>0</v>
      </c>
      <c r="L15" s="3">
        <f>'S28 Transportation Matrix'!H17</f>
        <v>0</v>
      </c>
      <c r="M15" s="3">
        <f>'S28 Transportation Matrix'!I17</f>
        <v>0</v>
      </c>
      <c r="N15" s="3">
        <f>'S28 Transportation Matrix'!J17</f>
        <v>0</v>
      </c>
      <c r="O15" s="3">
        <f>'S28 Transportation Matrix'!K17</f>
        <v>0</v>
      </c>
      <c r="P15" s="3">
        <f>'S28 Transportation Matrix'!L17</f>
        <v>0</v>
      </c>
      <c r="Q15" s="3">
        <f>'S28 Transportation Matrix'!M17</f>
        <v>0</v>
      </c>
      <c r="R15" s="3">
        <f>'S28 Transportation Matrix'!N17</f>
        <v>0</v>
      </c>
      <c r="S15" s="3">
        <f>'S28 Transportation Matrix'!O17</f>
        <v>0</v>
      </c>
      <c r="T15" s="3">
        <f>'S28 Transportation Matrix'!P17</f>
        <v>0</v>
      </c>
      <c r="U15" s="3">
        <f>'S28 Transportation Matrix'!Q17</f>
        <v>0</v>
      </c>
      <c r="V15" s="3">
        <f>'S28 Transportation Matrix'!R17</f>
        <v>0</v>
      </c>
      <c r="W15" s="3">
        <f>'S28 Transportation Matrix'!S17</f>
        <v>0</v>
      </c>
      <c r="X15" s="3">
        <f>'S28 Transportation Matrix'!T17</f>
        <v>0</v>
      </c>
      <c r="Y15" s="3">
        <f>'S28 Transportation Matrix'!U17</f>
        <v>0</v>
      </c>
      <c r="Z15" s="3">
        <f>'S28 Transportation Matrix'!V17</f>
        <v>0</v>
      </c>
      <c r="AA15" s="3">
        <f>'S28 Transportation Matrix'!W17</f>
        <v>0</v>
      </c>
      <c r="AB15" s="3">
        <f>'S28 Transportation Matrix'!X17</f>
        <v>0</v>
      </c>
      <c r="AC15" s="3">
        <f>'S28 Transportation Matrix'!Y17</f>
        <v>0</v>
      </c>
      <c r="AD15" s="3">
        <f>'S28 Transportation Matrix'!Z17</f>
        <v>0</v>
      </c>
      <c r="AE15" s="3">
        <f>'S28 Transportation Matrix'!AA17</f>
        <v>0</v>
      </c>
      <c r="AF15" s="3">
        <f>'S28 Transportation Matrix'!AB17</f>
        <v>0</v>
      </c>
      <c r="AG15" s="3">
        <f>'S28 Transportation Matrix'!AC17</f>
        <v>0</v>
      </c>
      <c r="AH15" s="3">
        <f>'S28 Transportation Matrix'!AD17</f>
        <v>0</v>
      </c>
      <c r="AI15" s="3">
        <f>'S28 Transportation Matrix'!AE17</f>
        <v>0</v>
      </c>
      <c r="AJ15" s="3">
        <f>'S28 Transportation Matrix'!AF17</f>
        <v>0</v>
      </c>
      <c r="AK15" s="3">
        <f>'S28 Transportation Matrix'!AG17</f>
        <v>0</v>
      </c>
      <c r="AL15" s="3">
        <f>'S28 Transportation Matrix'!AH17</f>
        <v>0</v>
      </c>
      <c r="AM15" s="3">
        <f>'S28 Transportation Matrix'!AI17</f>
        <v>0</v>
      </c>
      <c r="AN15" s="3">
        <f>'S28 Transportation Matrix'!AJ17</f>
        <v>0</v>
      </c>
      <c r="AO15" s="3">
        <f>'S28 Transportation Matrix'!AK17</f>
        <v>0</v>
      </c>
      <c r="AP15" s="3">
        <f>'S28 Transportation Matrix'!AL17</f>
        <v>0</v>
      </c>
      <c r="AQ15" s="3">
        <f>'S28 Transportation Matrix'!AM17</f>
        <v>0</v>
      </c>
      <c r="AR15" s="3">
        <f>'S28 Transportation Matrix'!AN17</f>
        <v>0</v>
      </c>
      <c r="AS15" s="3">
        <f>'S28 Transportation Matrix'!AO17</f>
        <v>0</v>
      </c>
      <c r="AT15" s="3">
        <f>'S28 Transportation Matrix'!AP17</f>
        <v>0</v>
      </c>
      <c r="AU15" s="3">
        <f>'S28 Transportation Matrix'!AQ17</f>
        <v>0</v>
      </c>
      <c r="AV15" s="3">
        <f>'S28 Transportation Matrix'!AR17</f>
        <v>0</v>
      </c>
      <c r="AW15" s="3">
        <f>'S28 Transportation Matrix'!AS17</f>
        <v>0</v>
      </c>
      <c r="BG15" s="3">
        <v>3</v>
      </c>
      <c r="BH15" s="320" t="str">
        <f>'S20 Clustering'!A12</f>
        <v>I-006</v>
      </c>
      <c r="BI15" s="321">
        <f>'S20 Clustering'!B12</f>
        <v>10</v>
      </c>
      <c r="BJ15" s="321" t="str">
        <f>'S20 Clustering'!C12</f>
        <v/>
      </c>
      <c r="BK15" s="321" t="str">
        <f>'S20 Clustering'!D12</f>
        <v/>
      </c>
      <c r="BL15" s="321">
        <f>'S20 Clustering'!E12</f>
        <v>20</v>
      </c>
      <c r="BM15" s="321">
        <f>'S20 Clustering'!F12</f>
        <v>30</v>
      </c>
      <c r="BN15" s="321" t="str">
        <f>'S20 Clustering'!G12</f>
        <v/>
      </c>
      <c r="BO15" s="321" t="str">
        <f>'S20 Clustering'!H12</f>
        <v/>
      </c>
      <c r="BP15" s="321" t="str">
        <f>'S20 Clustering'!I12</f>
        <v/>
      </c>
      <c r="BQ15" s="321" t="str">
        <f>'S20 Clustering'!J12</f>
        <v/>
      </c>
      <c r="BR15" s="321" t="str">
        <f>'S20 Clustering'!K12</f>
        <v/>
      </c>
      <c r="BS15" s="321">
        <f>'S20 Clustering'!L12</f>
        <v>40</v>
      </c>
      <c r="BT15" s="321" t="str">
        <f>'S20 Clustering'!M12</f>
        <v/>
      </c>
      <c r="BU15" s="321" t="str">
        <f>'S20 Clustering'!N12</f>
        <v/>
      </c>
      <c r="BV15" s="321" t="str">
        <f>'S20 Clustering'!O12</f>
        <v/>
      </c>
      <c r="BW15" s="321">
        <f>'S20 Clustering'!P12</f>
        <v>50</v>
      </c>
      <c r="BX15" s="321" t="str">
        <f>'S20 Clustering'!Q12</f>
        <v/>
      </c>
      <c r="BY15" s="321" t="str">
        <f>'S20 Clustering'!R12</f>
        <v/>
      </c>
      <c r="BZ15" s="321" t="str">
        <f>'S20 Clustering'!S12</f>
        <v/>
      </c>
      <c r="CA15" s="321" t="str">
        <f>'S20 Clustering'!T12</f>
        <v/>
      </c>
      <c r="CB15" s="321" t="str">
        <f>'S20 Clustering'!U12</f>
        <v/>
      </c>
      <c r="CC15" s="321">
        <f>'S20 Clustering'!V12</f>
        <v>60</v>
      </c>
      <c r="CD15" s="321" t="str">
        <f>'S20 Clustering'!W12</f>
        <v/>
      </c>
      <c r="CE15" s="321">
        <f>'S20 Clustering'!X12</f>
        <v>70</v>
      </c>
      <c r="CF15" s="321" t="str">
        <f>'S20 Clustering'!Y12</f>
        <v/>
      </c>
      <c r="CG15" s="321" t="str">
        <f>'S20 Clustering'!Z12</f>
        <v/>
      </c>
      <c r="CH15" s="322">
        <f>'S20 Clustering'!AA12</f>
        <v>80</v>
      </c>
    </row>
    <row r="16" spans="1:86">
      <c r="A16" s="3" t="str">
        <f>IFERROR(ROUND(SQRT(VLOOKUP(E16, 'S26 Space Requirements'!$B$5:$P$30, 15, 0)), 0), "")</f>
        <v/>
      </c>
      <c r="E16" s="399" t="s">
        <v>1061</v>
      </c>
      <c r="F16" s="3">
        <f>'S28 Transportation Matrix'!B18</f>
        <v>0</v>
      </c>
      <c r="G16" s="3">
        <f>'S28 Transportation Matrix'!C18</f>
        <v>0</v>
      </c>
      <c r="H16" s="3">
        <f>'S28 Transportation Matrix'!D18</f>
        <v>0</v>
      </c>
      <c r="I16" s="3">
        <f>'S28 Transportation Matrix'!E18</f>
        <v>0</v>
      </c>
      <c r="J16" s="3">
        <f>'S28 Transportation Matrix'!F18</f>
        <v>0</v>
      </c>
      <c r="K16" s="3">
        <f>'S28 Transportation Matrix'!G18</f>
        <v>0</v>
      </c>
      <c r="L16" s="3">
        <f>'S28 Transportation Matrix'!H18</f>
        <v>0</v>
      </c>
      <c r="M16" s="3">
        <f>'S28 Transportation Matrix'!I18</f>
        <v>0</v>
      </c>
      <c r="N16" s="3">
        <f>'S28 Transportation Matrix'!J18</f>
        <v>0</v>
      </c>
      <c r="O16" s="3">
        <f>'S28 Transportation Matrix'!K18</f>
        <v>0</v>
      </c>
      <c r="P16" s="3">
        <f>'S28 Transportation Matrix'!L18</f>
        <v>0</v>
      </c>
      <c r="Q16" s="3">
        <f>'S28 Transportation Matrix'!M18</f>
        <v>0</v>
      </c>
      <c r="R16" s="3">
        <f>'S28 Transportation Matrix'!N18</f>
        <v>0</v>
      </c>
      <c r="S16" s="3">
        <f>'S28 Transportation Matrix'!O18</f>
        <v>0</v>
      </c>
      <c r="T16" s="3">
        <f>'S28 Transportation Matrix'!P18</f>
        <v>0</v>
      </c>
      <c r="U16" s="3">
        <f>'S28 Transportation Matrix'!Q18</f>
        <v>0</v>
      </c>
      <c r="V16" s="3">
        <f>'S28 Transportation Matrix'!R18</f>
        <v>0</v>
      </c>
      <c r="W16" s="3">
        <f>'S28 Transportation Matrix'!S18</f>
        <v>0</v>
      </c>
      <c r="X16" s="3">
        <f>'S28 Transportation Matrix'!T18</f>
        <v>0</v>
      </c>
      <c r="Y16" s="3">
        <f>'S28 Transportation Matrix'!U18</f>
        <v>0</v>
      </c>
      <c r="Z16" s="3">
        <f>'S28 Transportation Matrix'!V18</f>
        <v>0</v>
      </c>
      <c r="AA16" s="3">
        <f>'S28 Transportation Matrix'!W18</f>
        <v>0</v>
      </c>
      <c r="AB16" s="3">
        <f>'S28 Transportation Matrix'!X18</f>
        <v>0</v>
      </c>
      <c r="AC16" s="3">
        <f>'S28 Transportation Matrix'!Y18</f>
        <v>0</v>
      </c>
      <c r="AD16" s="3">
        <f>'S28 Transportation Matrix'!Z18</f>
        <v>0</v>
      </c>
      <c r="AE16" s="3">
        <f>'S28 Transportation Matrix'!AA18</f>
        <v>0</v>
      </c>
      <c r="AF16" s="3">
        <f>'S28 Transportation Matrix'!AB18</f>
        <v>0</v>
      </c>
      <c r="AG16" s="3">
        <f>'S28 Transportation Matrix'!AC18</f>
        <v>0</v>
      </c>
      <c r="AH16" s="3">
        <f>'S28 Transportation Matrix'!AD18</f>
        <v>0</v>
      </c>
      <c r="AI16" s="3">
        <f>'S28 Transportation Matrix'!AE18</f>
        <v>0</v>
      </c>
      <c r="AJ16" s="3">
        <f>'S28 Transportation Matrix'!AF18</f>
        <v>0</v>
      </c>
      <c r="AK16" s="3">
        <f>'S28 Transportation Matrix'!AG18</f>
        <v>0</v>
      </c>
      <c r="AL16" s="3">
        <f>'S28 Transportation Matrix'!AH18</f>
        <v>0</v>
      </c>
      <c r="AM16" s="3">
        <f>'S28 Transportation Matrix'!AI18</f>
        <v>0</v>
      </c>
      <c r="AN16" s="3">
        <f>'S28 Transportation Matrix'!AJ18</f>
        <v>0</v>
      </c>
      <c r="AO16" s="3">
        <f>'S28 Transportation Matrix'!AK18</f>
        <v>0</v>
      </c>
      <c r="AP16" s="3">
        <f>'S28 Transportation Matrix'!AL18</f>
        <v>0</v>
      </c>
      <c r="AQ16" s="3">
        <f>'S28 Transportation Matrix'!AM18</f>
        <v>0</v>
      </c>
      <c r="AR16" s="3">
        <f>'S28 Transportation Matrix'!AN18</f>
        <v>0</v>
      </c>
      <c r="AS16" s="3">
        <f>'S28 Transportation Matrix'!AO18</f>
        <v>0</v>
      </c>
      <c r="AT16" s="3">
        <f>'S28 Transportation Matrix'!AP18</f>
        <v>0</v>
      </c>
      <c r="AU16" s="3">
        <f>'S28 Transportation Matrix'!AQ18</f>
        <v>0</v>
      </c>
      <c r="AV16" s="3">
        <f>'S28 Transportation Matrix'!AR18</f>
        <v>0</v>
      </c>
      <c r="AW16" s="3">
        <f>'S28 Transportation Matrix'!AS18</f>
        <v>0</v>
      </c>
      <c r="BG16" s="3">
        <v>3</v>
      </c>
      <c r="BH16" s="323" t="str">
        <f>'S20 Clustering'!A13</f>
        <v>I-007</v>
      </c>
      <c r="BI16" s="4">
        <f>'S20 Clustering'!B13</f>
        <v>10</v>
      </c>
      <c r="BJ16" s="4" t="str">
        <f>'S20 Clustering'!C13</f>
        <v/>
      </c>
      <c r="BK16" s="4" t="str">
        <f>'S20 Clustering'!D13</f>
        <v/>
      </c>
      <c r="BL16" s="4">
        <f>'S20 Clustering'!E13</f>
        <v>20</v>
      </c>
      <c r="BM16" s="4">
        <f>'S20 Clustering'!F13</f>
        <v>30</v>
      </c>
      <c r="BN16" s="4" t="str">
        <f>'S20 Clustering'!G13</f>
        <v/>
      </c>
      <c r="BO16" s="4" t="str">
        <f>'S20 Clustering'!H13</f>
        <v/>
      </c>
      <c r="BP16" s="4" t="str">
        <f>'S20 Clustering'!I13</f>
        <v/>
      </c>
      <c r="BQ16" s="4" t="str">
        <f>'S20 Clustering'!J13</f>
        <v/>
      </c>
      <c r="BR16" s="4" t="str">
        <f>'S20 Clustering'!K13</f>
        <v/>
      </c>
      <c r="BS16" s="4">
        <f>'S20 Clustering'!L13</f>
        <v>40</v>
      </c>
      <c r="BT16" s="4" t="str">
        <f>'S20 Clustering'!M13</f>
        <v/>
      </c>
      <c r="BU16" s="4" t="str">
        <f>'S20 Clustering'!N13</f>
        <v/>
      </c>
      <c r="BV16" s="4" t="str">
        <f>'S20 Clustering'!O13</f>
        <v/>
      </c>
      <c r="BW16" s="4">
        <f>'S20 Clustering'!P13</f>
        <v>50</v>
      </c>
      <c r="BX16" s="4" t="str">
        <f>'S20 Clustering'!Q13</f>
        <v/>
      </c>
      <c r="BY16" s="4" t="str">
        <f>'S20 Clustering'!R13</f>
        <v/>
      </c>
      <c r="BZ16" s="4" t="str">
        <f>'S20 Clustering'!S13</f>
        <v/>
      </c>
      <c r="CA16" s="4" t="str">
        <f>'S20 Clustering'!T13</f>
        <v/>
      </c>
      <c r="CB16" s="4" t="str">
        <f>'S20 Clustering'!U13</f>
        <v/>
      </c>
      <c r="CC16" s="4">
        <f>'S20 Clustering'!V13</f>
        <v>60</v>
      </c>
      <c r="CD16" s="4" t="str">
        <f>'S20 Clustering'!W13</f>
        <v/>
      </c>
      <c r="CE16" s="4">
        <f>'S20 Clustering'!X13</f>
        <v>70</v>
      </c>
      <c r="CF16" s="4" t="str">
        <f>'S20 Clustering'!Y13</f>
        <v/>
      </c>
      <c r="CG16" s="4" t="str">
        <f>'S20 Clustering'!Z13</f>
        <v/>
      </c>
      <c r="CH16" s="324">
        <f>'S20 Clustering'!AA13</f>
        <v>80</v>
      </c>
    </row>
    <row r="17" spans="1:86" ht="16" thickBot="1">
      <c r="A17" s="3" t="str">
        <f>IFERROR(ROUND(SQRT(VLOOKUP(E17, 'S26 Space Requirements'!$B$5:$P$30, 15, 0)), 0), "")</f>
        <v/>
      </c>
      <c r="E17" s="399" t="s">
        <v>1063</v>
      </c>
      <c r="F17" s="3">
        <f>'S28 Transportation Matrix'!B19</f>
        <v>0</v>
      </c>
      <c r="G17" s="3">
        <f>'S28 Transportation Matrix'!C19</f>
        <v>0</v>
      </c>
      <c r="H17" s="3">
        <f>'S28 Transportation Matrix'!D19</f>
        <v>0</v>
      </c>
      <c r="I17" s="3">
        <f>'S28 Transportation Matrix'!E19</f>
        <v>0</v>
      </c>
      <c r="J17" s="3">
        <f>'S28 Transportation Matrix'!F19</f>
        <v>0</v>
      </c>
      <c r="K17" s="3">
        <f>'S28 Transportation Matrix'!G19</f>
        <v>0</v>
      </c>
      <c r="L17" s="3">
        <f>'S28 Transportation Matrix'!H19</f>
        <v>0</v>
      </c>
      <c r="M17" s="3">
        <f>'S28 Transportation Matrix'!I19</f>
        <v>0</v>
      </c>
      <c r="N17" s="3">
        <f>'S28 Transportation Matrix'!J19</f>
        <v>0</v>
      </c>
      <c r="O17" s="3">
        <f>'S28 Transportation Matrix'!K19</f>
        <v>0</v>
      </c>
      <c r="P17" s="3">
        <f>'S28 Transportation Matrix'!L19</f>
        <v>0</v>
      </c>
      <c r="Q17" s="3">
        <f>'S28 Transportation Matrix'!M19</f>
        <v>0</v>
      </c>
      <c r="R17" s="3">
        <f>'S28 Transportation Matrix'!N19</f>
        <v>0</v>
      </c>
      <c r="S17" s="3">
        <f>'S28 Transportation Matrix'!O19</f>
        <v>0</v>
      </c>
      <c r="T17" s="3">
        <f>'S28 Transportation Matrix'!P19</f>
        <v>0</v>
      </c>
      <c r="U17" s="3">
        <f>'S28 Transportation Matrix'!Q19</f>
        <v>0</v>
      </c>
      <c r="V17" s="3">
        <f>'S28 Transportation Matrix'!R19</f>
        <v>0</v>
      </c>
      <c r="W17" s="3">
        <f>'S28 Transportation Matrix'!S19</f>
        <v>0</v>
      </c>
      <c r="X17" s="3">
        <f>'S28 Transportation Matrix'!T19</f>
        <v>0</v>
      </c>
      <c r="Y17" s="3">
        <f>'S28 Transportation Matrix'!U19</f>
        <v>0</v>
      </c>
      <c r="Z17" s="3">
        <f>'S28 Transportation Matrix'!V19</f>
        <v>0</v>
      </c>
      <c r="AA17" s="3">
        <f>'S28 Transportation Matrix'!W19</f>
        <v>0</v>
      </c>
      <c r="AB17" s="3">
        <f>'S28 Transportation Matrix'!X19</f>
        <v>0</v>
      </c>
      <c r="AC17" s="3">
        <f>'S28 Transportation Matrix'!Y19</f>
        <v>0</v>
      </c>
      <c r="AD17" s="3">
        <f>'S28 Transportation Matrix'!Z19</f>
        <v>0</v>
      </c>
      <c r="AE17" s="3">
        <f>'S28 Transportation Matrix'!AA19</f>
        <v>0</v>
      </c>
      <c r="AF17" s="3">
        <f>'S28 Transportation Matrix'!AB19</f>
        <v>0</v>
      </c>
      <c r="AG17" s="3">
        <f>'S28 Transportation Matrix'!AC19</f>
        <v>0</v>
      </c>
      <c r="AH17" s="3">
        <f>'S28 Transportation Matrix'!AD19</f>
        <v>0</v>
      </c>
      <c r="AI17" s="3">
        <f>'S28 Transportation Matrix'!AE19</f>
        <v>0</v>
      </c>
      <c r="AJ17" s="3">
        <f>'S28 Transportation Matrix'!AF19</f>
        <v>0</v>
      </c>
      <c r="AK17" s="3">
        <f>'S28 Transportation Matrix'!AG19</f>
        <v>0</v>
      </c>
      <c r="AL17" s="3">
        <f>'S28 Transportation Matrix'!AH19</f>
        <v>0</v>
      </c>
      <c r="AM17" s="3">
        <f>'S28 Transportation Matrix'!AI19</f>
        <v>0</v>
      </c>
      <c r="AN17" s="3">
        <f>'S28 Transportation Matrix'!AJ19</f>
        <v>0</v>
      </c>
      <c r="AO17" s="3">
        <f>'S28 Transportation Matrix'!AK19</f>
        <v>0</v>
      </c>
      <c r="AP17" s="3">
        <f>'S28 Transportation Matrix'!AL19</f>
        <v>0</v>
      </c>
      <c r="AQ17" s="3">
        <f>'S28 Transportation Matrix'!AM19</f>
        <v>0</v>
      </c>
      <c r="AR17" s="3">
        <f>'S28 Transportation Matrix'!AN19</f>
        <v>0</v>
      </c>
      <c r="AS17" s="3">
        <f>'S28 Transportation Matrix'!AO19</f>
        <v>0</v>
      </c>
      <c r="AT17" s="3">
        <f>'S28 Transportation Matrix'!AP19</f>
        <v>0</v>
      </c>
      <c r="AU17" s="3">
        <f>'S28 Transportation Matrix'!AQ19</f>
        <v>0</v>
      </c>
      <c r="AV17" s="3">
        <f>'S28 Transportation Matrix'!AR19</f>
        <v>0</v>
      </c>
      <c r="AW17" s="3">
        <f>'S28 Transportation Matrix'!AS19</f>
        <v>0</v>
      </c>
      <c r="BG17" s="3">
        <v>3</v>
      </c>
      <c r="BH17" s="325" t="str">
        <f>'S20 Clustering'!A14</f>
        <v>I-010</v>
      </c>
      <c r="BI17" s="326">
        <f>'S20 Clustering'!B14</f>
        <v>10</v>
      </c>
      <c r="BJ17" s="326" t="str">
        <f>'S20 Clustering'!C14</f>
        <v/>
      </c>
      <c r="BK17" s="326" t="str">
        <f>'S20 Clustering'!D14</f>
        <v/>
      </c>
      <c r="BL17" s="326">
        <f>'S20 Clustering'!E14</f>
        <v>20</v>
      </c>
      <c r="BM17" s="326">
        <f>'S20 Clustering'!F14</f>
        <v>30</v>
      </c>
      <c r="BN17" s="326" t="str">
        <f>'S20 Clustering'!G14</f>
        <v/>
      </c>
      <c r="BO17" s="326" t="str">
        <f>'S20 Clustering'!H14</f>
        <v/>
      </c>
      <c r="BP17" s="326" t="str">
        <f>'S20 Clustering'!I14</f>
        <v/>
      </c>
      <c r="BQ17" s="326" t="str">
        <f>'S20 Clustering'!J14</f>
        <v/>
      </c>
      <c r="BR17" s="326" t="str">
        <f>'S20 Clustering'!K14</f>
        <v/>
      </c>
      <c r="BS17" s="326">
        <f>'S20 Clustering'!L14</f>
        <v>40</v>
      </c>
      <c r="BT17" s="326" t="str">
        <f>'S20 Clustering'!M14</f>
        <v/>
      </c>
      <c r="BU17" s="326" t="str">
        <f>'S20 Clustering'!N14</f>
        <v/>
      </c>
      <c r="BV17" s="326" t="str">
        <f>'S20 Clustering'!O14</f>
        <v/>
      </c>
      <c r="BW17" s="326">
        <f>'S20 Clustering'!P14</f>
        <v>50</v>
      </c>
      <c r="BX17" s="326" t="str">
        <f>'S20 Clustering'!Q14</f>
        <v/>
      </c>
      <c r="BY17" s="326" t="str">
        <f>'S20 Clustering'!R14</f>
        <v/>
      </c>
      <c r="BZ17" s="326" t="str">
        <f>'S20 Clustering'!S14</f>
        <v/>
      </c>
      <c r="CA17" s="326" t="str">
        <f>'S20 Clustering'!T14</f>
        <v/>
      </c>
      <c r="CB17" s="326" t="str">
        <f>'S20 Clustering'!U14</f>
        <v/>
      </c>
      <c r="CC17" s="326">
        <f>'S20 Clustering'!V14</f>
        <v>60</v>
      </c>
      <c r="CD17" s="326" t="str">
        <f>'S20 Clustering'!W14</f>
        <v/>
      </c>
      <c r="CE17" s="326">
        <f>'S20 Clustering'!X14</f>
        <v>70</v>
      </c>
      <c r="CF17" s="326" t="str">
        <f>'S20 Clustering'!Y14</f>
        <v/>
      </c>
      <c r="CG17" s="326" t="str">
        <f>'S20 Clustering'!Z14</f>
        <v/>
      </c>
      <c r="CH17" s="327">
        <f>'S20 Clustering'!AA14</f>
        <v>80</v>
      </c>
    </row>
    <row r="18" spans="1:86">
      <c r="A18" s="3" t="str">
        <f>IFERROR(ROUND(SQRT(VLOOKUP(E18, 'S26 Space Requirements'!$B$5:$P$30, 15, 0)), 0), "")</f>
        <v/>
      </c>
      <c r="E18" s="399" t="s">
        <v>1065</v>
      </c>
      <c r="F18" s="3">
        <f>'S28 Transportation Matrix'!B20</f>
        <v>0</v>
      </c>
      <c r="G18" s="3">
        <f>'S28 Transportation Matrix'!C20</f>
        <v>0</v>
      </c>
      <c r="H18" s="3">
        <f>'S28 Transportation Matrix'!D20</f>
        <v>0</v>
      </c>
      <c r="I18" s="3">
        <f>'S28 Transportation Matrix'!E20</f>
        <v>0</v>
      </c>
      <c r="J18" s="3">
        <f>'S28 Transportation Matrix'!F20</f>
        <v>0</v>
      </c>
      <c r="K18" s="3">
        <f>'S28 Transportation Matrix'!G20</f>
        <v>0</v>
      </c>
      <c r="L18" s="3">
        <f>'S28 Transportation Matrix'!H20</f>
        <v>0</v>
      </c>
      <c r="M18" s="3">
        <f>'S28 Transportation Matrix'!I20</f>
        <v>0</v>
      </c>
      <c r="N18" s="3">
        <f>'S28 Transportation Matrix'!J20</f>
        <v>0</v>
      </c>
      <c r="O18" s="3">
        <f>'S28 Transportation Matrix'!K20</f>
        <v>0</v>
      </c>
      <c r="P18" s="3">
        <f>'S28 Transportation Matrix'!L20</f>
        <v>0</v>
      </c>
      <c r="Q18" s="3">
        <f>'S28 Transportation Matrix'!M20</f>
        <v>0</v>
      </c>
      <c r="R18" s="3">
        <f>'S28 Transportation Matrix'!N20</f>
        <v>0</v>
      </c>
      <c r="S18" s="3">
        <f>'S28 Transportation Matrix'!O20</f>
        <v>0</v>
      </c>
      <c r="T18" s="3">
        <f>'S28 Transportation Matrix'!P20</f>
        <v>0</v>
      </c>
      <c r="U18" s="3">
        <f>'S28 Transportation Matrix'!Q20</f>
        <v>0</v>
      </c>
      <c r="V18" s="3">
        <f>'S28 Transportation Matrix'!R20</f>
        <v>0</v>
      </c>
      <c r="W18" s="3">
        <f>'S28 Transportation Matrix'!S20</f>
        <v>0</v>
      </c>
      <c r="X18" s="3">
        <f>'S28 Transportation Matrix'!T20</f>
        <v>0</v>
      </c>
      <c r="Y18" s="3">
        <f>'S28 Transportation Matrix'!U20</f>
        <v>0</v>
      </c>
      <c r="Z18" s="3">
        <f>'S28 Transportation Matrix'!V20</f>
        <v>0</v>
      </c>
      <c r="AA18" s="3">
        <f>'S28 Transportation Matrix'!W20</f>
        <v>0</v>
      </c>
      <c r="AB18" s="3">
        <f>'S28 Transportation Matrix'!X20</f>
        <v>0</v>
      </c>
      <c r="AC18" s="3">
        <f>'S28 Transportation Matrix'!Y20</f>
        <v>0</v>
      </c>
      <c r="AD18" s="3">
        <f>'S28 Transportation Matrix'!Z20</f>
        <v>0</v>
      </c>
      <c r="AE18" s="3">
        <f>'S28 Transportation Matrix'!AA20</f>
        <v>0</v>
      </c>
      <c r="AF18" s="3">
        <f>'S28 Transportation Matrix'!AB20</f>
        <v>0</v>
      </c>
      <c r="AG18" s="3">
        <f>'S28 Transportation Matrix'!AC20</f>
        <v>0</v>
      </c>
      <c r="AH18" s="3">
        <f>'S28 Transportation Matrix'!AD20</f>
        <v>0</v>
      </c>
      <c r="AI18" s="3">
        <f>'S28 Transportation Matrix'!AE20</f>
        <v>0</v>
      </c>
      <c r="AJ18" s="3">
        <f>'S28 Transportation Matrix'!AF20</f>
        <v>0</v>
      </c>
      <c r="AK18" s="3">
        <f>'S28 Transportation Matrix'!AG20</f>
        <v>0</v>
      </c>
      <c r="AL18" s="3">
        <f>'S28 Transportation Matrix'!AH20</f>
        <v>0</v>
      </c>
      <c r="AM18" s="3">
        <f>'S28 Transportation Matrix'!AI20</f>
        <v>0</v>
      </c>
      <c r="AN18" s="3">
        <f>'S28 Transportation Matrix'!AJ20</f>
        <v>0</v>
      </c>
      <c r="AO18" s="3">
        <f>'S28 Transportation Matrix'!AK20</f>
        <v>0</v>
      </c>
      <c r="AP18" s="3">
        <f>'S28 Transportation Matrix'!AL20</f>
        <v>0</v>
      </c>
      <c r="AQ18" s="3">
        <f>'S28 Transportation Matrix'!AM20</f>
        <v>0</v>
      </c>
      <c r="AR18" s="3">
        <f>'S28 Transportation Matrix'!AN20</f>
        <v>0</v>
      </c>
      <c r="AS18" s="3">
        <f>'S28 Transportation Matrix'!AO20</f>
        <v>0</v>
      </c>
      <c r="AT18" s="3">
        <f>'S28 Transportation Matrix'!AP20</f>
        <v>0</v>
      </c>
      <c r="AU18" s="3">
        <f>'S28 Transportation Matrix'!AQ20</f>
        <v>0</v>
      </c>
      <c r="AV18" s="3">
        <f>'S28 Transportation Matrix'!AR20</f>
        <v>0</v>
      </c>
      <c r="AW18" s="3">
        <f>'S28 Transportation Matrix'!AS20</f>
        <v>0</v>
      </c>
      <c r="BG18" s="3">
        <v>4</v>
      </c>
      <c r="BH18" s="320" t="str">
        <f>'S20 Clustering'!A15</f>
        <v>I-012</v>
      </c>
      <c r="BI18" s="321">
        <f>'S20 Clustering'!B15</f>
        <v>10</v>
      </c>
      <c r="BJ18" s="321" t="str">
        <f>'S20 Clustering'!C15</f>
        <v/>
      </c>
      <c r="BK18" s="321" t="str">
        <f>'S20 Clustering'!D15</f>
        <v/>
      </c>
      <c r="BL18" s="321">
        <f>'S20 Clustering'!E15</f>
        <v>20</v>
      </c>
      <c r="BM18" s="321" t="str">
        <f>'S20 Clustering'!F15</f>
        <v/>
      </c>
      <c r="BN18" s="321" t="str">
        <f>'S20 Clustering'!G15</f>
        <v/>
      </c>
      <c r="BO18" s="321">
        <f>'S20 Clustering'!H15</f>
        <v>30</v>
      </c>
      <c r="BP18" s="321" t="str">
        <f>'S20 Clustering'!I15</f>
        <v/>
      </c>
      <c r="BQ18" s="321" t="str">
        <f>'S20 Clustering'!J15</f>
        <v/>
      </c>
      <c r="BR18" s="321">
        <f>'S20 Clustering'!K15</f>
        <v>40</v>
      </c>
      <c r="BS18" s="321" t="str">
        <f>'S20 Clustering'!L15</f>
        <v/>
      </c>
      <c r="BT18" s="321">
        <f>'S20 Clustering'!M15</f>
        <v>50</v>
      </c>
      <c r="BU18" s="321" t="str">
        <f>'S20 Clustering'!N15</f>
        <v/>
      </c>
      <c r="BV18" s="321" t="str">
        <f>'S20 Clustering'!O15</f>
        <v/>
      </c>
      <c r="BW18" s="321" t="str">
        <f>'S20 Clustering'!P15</f>
        <v/>
      </c>
      <c r="BX18" s="321" t="str">
        <f>'S20 Clustering'!Q15</f>
        <v/>
      </c>
      <c r="BY18" s="321">
        <f>'S20 Clustering'!R15</f>
        <v>60</v>
      </c>
      <c r="BZ18" s="321" t="str">
        <f>'S20 Clustering'!S15</f>
        <v/>
      </c>
      <c r="CA18" s="321" t="str">
        <f>'S20 Clustering'!T15</f>
        <v/>
      </c>
      <c r="CB18" s="321" t="str">
        <f>'S20 Clustering'!U15</f>
        <v/>
      </c>
      <c r="CC18" s="321" t="str">
        <f>'S20 Clustering'!V15</f>
        <v/>
      </c>
      <c r="CD18" s="321">
        <f>'S20 Clustering'!W15</f>
        <v>70</v>
      </c>
      <c r="CE18" s="321" t="str">
        <f>'S20 Clustering'!X15</f>
        <v/>
      </c>
      <c r="CF18" s="321" t="str">
        <f>'S20 Clustering'!Y15</f>
        <v/>
      </c>
      <c r="CG18" s="321" t="str">
        <f>'S20 Clustering'!Z15</f>
        <v/>
      </c>
      <c r="CH18" s="322">
        <f>'S20 Clustering'!AA15</f>
        <v>80</v>
      </c>
    </row>
    <row r="19" spans="1:86" ht="16" thickBot="1">
      <c r="A19" s="3">
        <f>IFERROR(ROUND(SQRT(VLOOKUP(E19, 'S26 Space Requirements'!$B$5:$P$30, 15, 0)), 0), "")</f>
        <v>25</v>
      </c>
      <c r="E19" s="399" t="s">
        <v>1067</v>
      </c>
      <c r="F19" s="3">
        <f>'S28 Transportation Matrix'!B21</f>
        <v>0</v>
      </c>
      <c r="G19" s="3">
        <f>'S28 Transportation Matrix'!C21</f>
        <v>0</v>
      </c>
      <c r="H19" s="3">
        <f>'S28 Transportation Matrix'!D21</f>
        <v>0</v>
      </c>
      <c r="I19" s="3">
        <f>'S28 Transportation Matrix'!E21</f>
        <v>0</v>
      </c>
      <c r="J19" s="3">
        <f>'S28 Transportation Matrix'!F21</f>
        <v>0</v>
      </c>
      <c r="K19" s="3">
        <f>'S28 Transportation Matrix'!G21</f>
        <v>0</v>
      </c>
      <c r="L19" s="3">
        <f>'S28 Transportation Matrix'!H21</f>
        <v>0</v>
      </c>
      <c r="M19" s="3">
        <f>'S28 Transportation Matrix'!I21</f>
        <v>0</v>
      </c>
      <c r="N19" s="3">
        <f>'S28 Transportation Matrix'!J21</f>
        <v>0</v>
      </c>
      <c r="O19" s="3">
        <f>'S28 Transportation Matrix'!K21</f>
        <v>0</v>
      </c>
      <c r="P19" s="3">
        <f>'S28 Transportation Matrix'!L21</f>
        <v>0</v>
      </c>
      <c r="Q19" s="3">
        <f>'S28 Transportation Matrix'!M21</f>
        <v>0</v>
      </c>
      <c r="R19" s="3">
        <f>'S28 Transportation Matrix'!N21</f>
        <v>0</v>
      </c>
      <c r="S19" s="3">
        <f>'S28 Transportation Matrix'!O21</f>
        <v>0</v>
      </c>
      <c r="T19" s="3">
        <f>'S28 Transportation Matrix'!P21</f>
        <v>0</v>
      </c>
      <c r="U19" s="3">
        <f>'S28 Transportation Matrix'!Q21</f>
        <v>0</v>
      </c>
      <c r="V19" s="3">
        <f>'S28 Transportation Matrix'!R21</f>
        <v>0</v>
      </c>
      <c r="W19" s="3">
        <f>'S28 Transportation Matrix'!S21</f>
        <v>0</v>
      </c>
      <c r="X19" s="3">
        <f>'S28 Transportation Matrix'!T21</f>
        <v>0</v>
      </c>
      <c r="Y19" s="3">
        <f>'S28 Transportation Matrix'!U21</f>
        <v>0</v>
      </c>
      <c r="Z19" s="3">
        <f>'S28 Transportation Matrix'!V21</f>
        <v>0</v>
      </c>
      <c r="AA19" s="3">
        <f>'S28 Transportation Matrix'!W21</f>
        <v>0</v>
      </c>
      <c r="AB19" s="3">
        <f>'S28 Transportation Matrix'!X21</f>
        <v>0</v>
      </c>
      <c r="AC19" s="3">
        <f>'S28 Transportation Matrix'!Y21</f>
        <v>151</v>
      </c>
      <c r="AD19" s="3">
        <f>'S28 Transportation Matrix'!Z21</f>
        <v>0</v>
      </c>
      <c r="AE19" s="3">
        <f>'S28 Transportation Matrix'!AA21</f>
        <v>0</v>
      </c>
      <c r="AF19" s="3">
        <f>'S28 Transportation Matrix'!AB21</f>
        <v>0</v>
      </c>
      <c r="AG19" s="3">
        <f>'S28 Transportation Matrix'!AC21</f>
        <v>0</v>
      </c>
      <c r="AH19" s="3">
        <f>'S28 Transportation Matrix'!AD21</f>
        <v>0</v>
      </c>
      <c r="AI19" s="3">
        <f>'S28 Transportation Matrix'!AE21</f>
        <v>0</v>
      </c>
      <c r="AJ19" s="3">
        <f>'S28 Transportation Matrix'!AF21</f>
        <v>0</v>
      </c>
      <c r="AK19" s="3">
        <f>'S28 Transportation Matrix'!AG21</f>
        <v>0</v>
      </c>
      <c r="AL19" s="3">
        <f>'S28 Transportation Matrix'!AH21</f>
        <v>0</v>
      </c>
      <c r="AM19" s="3">
        <f>'S28 Transportation Matrix'!AI21</f>
        <v>0</v>
      </c>
      <c r="AN19" s="3">
        <f>'S28 Transportation Matrix'!AJ21</f>
        <v>0</v>
      </c>
      <c r="AO19" s="3">
        <f>'S28 Transportation Matrix'!AK21</f>
        <v>0</v>
      </c>
      <c r="AP19" s="3">
        <f>'S28 Transportation Matrix'!AL21</f>
        <v>0</v>
      </c>
      <c r="AQ19" s="3">
        <f>'S28 Transportation Matrix'!AM21</f>
        <v>0</v>
      </c>
      <c r="AR19" s="3">
        <f>'S28 Transportation Matrix'!AN21</f>
        <v>0</v>
      </c>
      <c r="AS19" s="3">
        <f>'S28 Transportation Matrix'!AO21</f>
        <v>0</v>
      </c>
      <c r="AT19" s="3">
        <f>'S28 Transportation Matrix'!AP21</f>
        <v>0</v>
      </c>
      <c r="AU19" s="3">
        <f>'S28 Transportation Matrix'!AQ21</f>
        <v>0</v>
      </c>
      <c r="AV19" s="3">
        <f>'S28 Transportation Matrix'!AR21</f>
        <v>0</v>
      </c>
      <c r="AW19" s="3">
        <f>'S28 Transportation Matrix'!AS21</f>
        <v>0</v>
      </c>
      <c r="BG19" s="3">
        <v>4</v>
      </c>
      <c r="BH19" s="325" t="str">
        <f>'S20 Clustering'!A16</f>
        <v>I-052</v>
      </c>
      <c r="BI19" s="326">
        <f>'S20 Clustering'!B16</f>
        <v>10</v>
      </c>
      <c r="BJ19" s="326" t="str">
        <f>'S20 Clustering'!C16</f>
        <v/>
      </c>
      <c r="BK19" s="326" t="str">
        <f>'S20 Clustering'!D16</f>
        <v/>
      </c>
      <c r="BL19" s="326">
        <f>'S20 Clustering'!E16</f>
        <v>20</v>
      </c>
      <c r="BM19" s="326" t="str">
        <f>'S20 Clustering'!F16</f>
        <v/>
      </c>
      <c r="BN19" s="326" t="str">
        <f>'S20 Clustering'!G16</f>
        <v/>
      </c>
      <c r="BO19" s="326">
        <f>'S20 Clustering'!H16</f>
        <v>30</v>
      </c>
      <c r="BP19" s="326" t="str">
        <f>'S20 Clustering'!I16</f>
        <v/>
      </c>
      <c r="BQ19" s="326" t="str">
        <f>'S20 Clustering'!J16</f>
        <v/>
      </c>
      <c r="BR19" s="326">
        <f>'S20 Clustering'!K16</f>
        <v>40</v>
      </c>
      <c r="BS19" s="326" t="str">
        <f>'S20 Clustering'!L16</f>
        <v/>
      </c>
      <c r="BT19" s="326">
        <f>'S20 Clustering'!M16</f>
        <v>50</v>
      </c>
      <c r="BU19" s="326" t="str">
        <f>'S20 Clustering'!N16</f>
        <v/>
      </c>
      <c r="BV19" s="326" t="str">
        <f>'S20 Clustering'!O16</f>
        <v/>
      </c>
      <c r="BW19" s="326" t="str">
        <f>'S20 Clustering'!P16</f>
        <v/>
      </c>
      <c r="BX19" s="326" t="str">
        <f>'S20 Clustering'!Q16</f>
        <v/>
      </c>
      <c r="BY19" s="326">
        <f>'S20 Clustering'!R16</f>
        <v>60</v>
      </c>
      <c r="BZ19" s="326" t="str">
        <f>'S20 Clustering'!S16</f>
        <v/>
      </c>
      <c r="CA19" s="326" t="str">
        <f>'S20 Clustering'!T16</f>
        <v/>
      </c>
      <c r="CB19" s="326" t="str">
        <f>'S20 Clustering'!U16</f>
        <v/>
      </c>
      <c r="CC19" s="326" t="str">
        <f>'S20 Clustering'!V16</f>
        <v/>
      </c>
      <c r="CD19" s="326">
        <f>'S20 Clustering'!W16</f>
        <v>70</v>
      </c>
      <c r="CE19" s="326" t="str">
        <f>'S20 Clustering'!X16</f>
        <v/>
      </c>
      <c r="CF19" s="326" t="str">
        <f>'S20 Clustering'!Y16</f>
        <v/>
      </c>
      <c r="CG19" s="326" t="str">
        <f>'S20 Clustering'!Z16</f>
        <v/>
      </c>
      <c r="CH19" s="327">
        <f>'S20 Clustering'!AA16</f>
        <v>80</v>
      </c>
    </row>
    <row r="20" spans="1:86">
      <c r="A20" s="3" t="str">
        <f>IFERROR(ROUND(SQRT(VLOOKUP(E20, 'S26 Space Requirements'!$B$5:$P$30, 15, 0)), 0), "")</f>
        <v/>
      </c>
      <c r="E20" s="399" t="s">
        <v>1069</v>
      </c>
      <c r="F20" s="3">
        <f>'S28 Transportation Matrix'!B22</f>
        <v>0</v>
      </c>
      <c r="G20" s="3">
        <f>'S28 Transportation Matrix'!C22</f>
        <v>0</v>
      </c>
      <c r="H20" s="3">
        <f>'S28 Transportation Matrix'!D22</f>
        <v>0</v>
      </c>
      <c r="I20" s="3">
        <f>'S28 Transportation Matrix'!E22</f>
        <v>0</v>
      </c>
      <c r="J20" s="3">
        <f>'S28 Transportation Matrix'!F22</f>
        <v>0</v>
      </c>
      <c r="K20" s="3">
        <f>'S28 Transportation Matrix'!G22</f>
        <v>0</v>
      </c>
      <c r="L20" s="3">
        <f>'S28 Transportation Matrix'!H22</f>
        <v>0</v>
      </c>
      <c r="M20" s="3">
        <f>'S28 Transportation Matrix'!I22</f>
        <v>0</v>
      </c>
      <c r="N20" s="3">
        <f>'S28 Transportation Matrix'!J22</f>
        <v>0</v>
      </c>
      <c r="O20" s="3">
        <f>'S28 Transportation Matrix'!K22</f>
        <v>0</v>
      </c>
      <c r="P20" s="3">
        <f>'S28 Transportation Matrix'!L22</f>
        <v>0</v>
      </c>
      <c r="Q20" s="3">
        <f>'S28 Transportation Matrix'!M22</f>
        <v>0</v>
      </c>
      <c r="R20" s="3">
        <f>'S28 Transportation Matrix'!N22</f>
        <v>0</v>
      </c>
      <c r="S20" s="3">
        <f>'S28 Transportation Matrix'!O22</f>
        <v>0</v>
      </c>
      <c r="T20" s="3">
        <f>'S28 Transportation Matrix'!P22</f>
        <v>0</v>
      </c>
      <c r="U20" s="3">
        <f>'S28 Transportation Matrix'!Q22</f>
        <v>0</v>
      </c>
      <c r="V20" s="3">
        <f>'S28 Transportation Matrix'!R22</f>
        <v>0</v>
      </c>
      <c r="W20" s="3">
        <f>'S28 Transportation Matrix'!S22</f>
        <v>0</v>
      </c>
      <c r="X20" s="3">
        <f>'S28 Transportation Matrix'!T22</f>
        <v>0</v>
      </c>
      <c r="Y20" s="3">
        <f>'S28 Transportation Matrix'!U22</f>
        <v>0</v>
      </c>
      <c r="Z20" s="3">
        <f>'S28 Transportation Matrix'!V22</f>
        <v>0</v>
      </c>
      <c r="AA20" s="3">
        <f>'S28 Transportation Matrix'!W22</f>
        <v>0</v>
      </c>
      <c r="AB20" s="3">
        <f>'S28 Transportation Matrix'!X22</f>
        <v>0</v>
      </c>
      <c r="AC20" s="3">
        <f>'S28 Transportation Matrix'!Y22</f>
        <v>0</v>
      </c>
      <c r="AD20" s="3">
        <f>'S28 Transportation Matrix'!Z22</f>
        <v>0</v>
      </c>
      <c r="AE20" s="3">
        <f>'S28 Transportation Matrix'!AA22</f>
        <v>0</v>
      </c>
      <c r="AF20" s="3">
        <f>'S28 Transportation Matrix'!AB22</f>
        <v>0</v>
      </c>
      <c r="AG20" s="3">
        <f>'S28 Transportation Matrix'!AC22</f>
        <v>0</v>
      </c>
      <c r="AH20" s="3">
        <f>'S28 Transportation Matrix'!AD22</f>
        <v>0</v>
      </c>
      <c r="AI20" s="3">
        <f>'S28 Transportation Matrix'!AE22</f>
        <v>0</v>
      </c>
      <c r="AJ20" s="3">
        <f>'S28 Transportation Matrix'!AF22</f>
        <v>0</v>
      </c>
      <c r="AK20" s="3">
        <f>'S28 Transportation Matrix'!AG22</f>
        <v>0</v>
      </c>
      <c r="AL20" s="3">
        <f>'S28 Transportation Matrix'!AH22</f>
        <v>0</v>
      </c>
      <c r="AM20" s="3">
        <f>'S28 Transportation Matrix'!AI22</f>
        <v>0</v>
      </c>
      <c r="AN20" s="3">
        <f>'S28 Transportation Matrix'!AJ22</f>
        <v>0</v>
      </c>
      <c r="AO20" s="3">
        <f>'S28 Transportation Matrix'!AK22</f>
        <v>0</v>
      </c>
      <c r="AP20" s="3">
        <f>'S28 Transportation Matrix'!AL22</f>
        <v>0</v>
      </c>
      <c r="AQ20" s="3">
        <f>'S28 Transportation Matrix'!AM22</f>
        <v>0</v>
      </c>
      <c r="AR20" s="3">
        <f>'S28 Transportation Matrix'!AN22</f>
        <v>0</v>
      </c>
      <c r="AS20" s="3">
        <f>'S28 Transportation Matrix'!AO22</f>
        <v>0</v>
      </c>
      <c r="AT20" s="3">
        <f>'S28 Transportation Matrix'!AP22</f>
        <v>0</v>
      </c>
      <c r="AU20" s="3">
        <f>'S28 Transportation Matrix'!AQ22</f>
        <v>0</v>
      </c>
      <c r="AV20" s="3">
        <f>'S28 Transportation Matrix'!AR22</f>
        <v>0</v>
      </c>
      <c r="AW20" s="3">
        <f>'S28 Transportation Matrix'!AS22</f>
        <v>0</v>
      </c>
      <c r="BG20" s="3">
        <v>5</v>
      </c>
      <c r="BH20" s="319" t="str">
        <f>'S20 Clustering'!A17</f>
        <v>I-053</v>
      </c>
      <c r="BI20" s="307">
        <f>'S20 Clustering'!B17</f>
        <v>10</v>
      </c>
      <c r="BJ20" s="307" t="str">
        <f>'S20 Clustering'!C17</f>
        <v/>
      </c>
      <c r="BK20" s="307" t="str">
        <f>'S20 Clustering'!D17</f>
        <v/>
      </c>
      <c r="BL20" s="307">
        <f>'S20 Clustering'!E17</f>
        <v>20</v>
      </c>
      <c r="BM20" s="307" t="str">
        <f>'S20 Clustering'!F17</f>
        <v/>
      </c>
      <c r="BN20" s="307">
        <f>'S20 Clustering'!G17</f>
        <v>30</v>
      </c>
      <c r="BO20" s="307" t="str">
        <f>'S20 Clustering'!H17</f>
        <v/>
      </c>
      <c r="BP20" s="307">
        <f>'S20 Clustering'!I17</f>
        <v>40</v>
      </c>
      <c r="BQ20" s="307" t="str">
        <f>'S20 Clustering'!J17</f>
        <v/>
      </c>
      <c r="BR20" s="307" t="str">
        <f>'S20 Clustering'!K17</f>
        <v/>
      </c>
      <c r="BS20" s="307" t="str">
        <f>'S20 Clustering'!L17</f>
        <v/>
      </c>
      <c r="BT20" s="307" t="str">
        <f>'S20 Clustering'!M17</f>
        <v/>
      </c>
      <c r="BU20" s="307" t="str">
        <f>'S20 Clustering'!N17</f>
        <v/>
      </c>
      <c r="BV20" s="307">
        <f>'S20 Clustering'!O17</f>
        <v>50</v>
      </c>
      <c r="BW20" s="307" t="str">
        <f>'S20 Clustering'!P17</f>
        <v/>
      </c>
      <c r="BX20" s="307" t="str">
        <f>'S20 Clustering'!Q17</f>
        <v/>
      </c>
      <c r="BY20" s="307" t="str">
        <f>'S20 Clustering'!R17</f>
        <v/>
      </c>
      <c r="BZ20" s="307" t="str">
        <f>'S20 Clustering'!S17</f>
        <v/>
      </c>
      <c r="CA20" s="307">
        <f>'S20 Clustering'!T17</f>
        <v>60</v>
      </c>
      <c r="CB20" s="307" t="str">
        <f>'S20 Clustering'!U17</f>
        <v/>
      </c>
      <c r="CC20" s="307" t="str">
        <f>'S20 Clustering'!V17</f>
        <v/>
      </c>
      <c r="CD20" s="307">
        <f>'S20 Clustering'!W17</f>
        <v>70</v>
      </c>
      <c r="CE20" s="307" t="str">
        <f>'S20 Clustering'!X17</f>
        <v/>
      </c>
      <c r="CF20" s="307" t="str">
        <f>'S20 Clustering'!Y17</f>
        <v/>
      </c>
      <c r="CG20" s="307" t="str">
        <f>'S20 Clustering'!Z17</f>
        <v/>
      </c>
      <c r="CH20" s="307">
        <f>'S20 Clustering'!AA17</f>
        <v>80</v>
      </c>
    </row>
    <row r="21" spans="1:86">
      <c r="A21" s="3">
        <f>IFERROR(ROUND(SQRT(VLOOKUP(E21, 'S26 Space Requirements'!$B$5:$P$30, 15, 0)), 0), "")</f>
        <v>23</v>
      </c>
      <c r="E21" s="399" t="s">
        <v>1071</v>
      </c>
      <c r="F21" s="3">
        <f>'S28 Transportation Matrix'!B23</f>
        <v>0</v>
      </c>
      <c r="G21" s="3">
        <f>'S28 Transportation Matrix'!C23</f>
        <v>0</v>
      </c>
      <c r="H21" s="3">
        <f>'S28 Transportation Matrix'!D23</f>
        <v>0</v>
      </c>
      <c r="I21" s="3">
        <f>'S28 Transportation Matrix'!E23</f>
        <v>0</v>
      </c>
      <c r="J21" s="3">
        <f>'S28 Transportation Matrix'!F23</f>
        <v>0</v>
      </c>
      <c r="K21" s="3">
        <f>'S28 Transportation Matrix'!G23</f>
        <v>0</v>
      </c>
      <c r="L21" s="3">
        <f>'S28 Transportation Matrix'!H23</f>
        <v>0</v>
      </c>
      <c r="M21" s="3">
        <f>'S28 Transportation Matrix'!I23</f>
        <v>0</v>
      </c>
      <c r="N21" s="3">
        <f>'S28 Transportation Matrix'!J23</f>
        <v>0</v>
      </c>
      <c r="O21" s="3">
        <f>'S28 Transportation Matrix'!K23</f>
        <v>0</v>
      </c>
      <c r="P21" s="3">
        <f>'S28 Transportation Matrix'!L23</f>
        <v>0</v>
      </c>
      <c r="Q21" s="3">
        <f>'S28 Transportation Matrix'!M23</f>
        <v>0</v>
      </c>
      <c r="R21" s="3">
        <f>'S28 Transportation Matrix'!N23</f>
        <v>0</v>
      </c>
      <c r="S21" s="3">
        <f>'S28 Transportation Matrix'!O23</f>
        <v>0</v>
      </c>
      <c r="T21" s="3">
        <f>'S28 Transportation Matrix'!P23</f>
        <v>0</v>
      </c>
      <c r="U21" s="3">
        <f>'S28 Transportation Matrix'!Q23</f>
        <v>0</v>
      </c>
      <c r="V21" s="3">
        <f>'S28 Transportation Matrix'!R23</f>
        <v>0</v>
      </c>
      <c r="W21" s="3">
        <f>'S28 Transportation Matrix'!S23</f>
        <v>0</v>
      </c>
      <c r="X21" s="3">
        <f>'S28 Transportation Matrix'!T23</f>
        <v>0</v>
      </c>
      <c r="Y21" s="3">
        <f>'S28 Transportation Matrix'!U23</f>
        <v>0</v>
      </c>
      <c r="Z21" s="3">
        <f>'S28 Transportation Matrix'!V23</f>
        <v>0</v>
      </c>
      <c r="AA21" s="3">
        <f>'S28 Transportation Matrix'!W23</f>
        <v>0</v>
      </c>
      <c r="AB21" s="3">
        <f>'S28 Transportation Matrix'!X23</f>
        <v>0</v>
      </c>
      <c r="AC21" s="3">
        <f>'S28 Transportation Matrix'!Y23</f>
        <v>0</v>
      </c>
      <c r="AD21" s="3">
        <f>'S28 Transportation Matrix'!Z23</f>
        <v>0</v>
      </c>
      <c r="AE21" s="3">
        <f>'S28 Transportation Matrix'!AA23</f>
        <v>69</v>
      </c>
      <c r="AF21" s="3">
        <f>'S28 Transportation Matrix'!AB23</f>
        <v>0</v>
      </c>
      <c r="AG21" s="3">
        <f>'S28 Transportation Matrix'!AC23</f>
        <v>0</v>
      </c>
      <c r="AH21" s="3">
        <f>'S28 Transportation Matrix'!AD23</f>
        <v>0</v>
      </c>
      <c r="AI21" s="3">
        <f>'S28 Transportation Matrix'!AE23</f>
        <v>0</v>
      </c>
      <c r="AJ21" s="3">
        <f>'S28 Transportation Matrix'!AF23</f>
        <v>0</v>
      </c>
      <c r="AK21" s="3">
        <f>'S28 Transportation Matrix'!AG23</f>
        <v>0</v>
      </c>
      <c r="AL21" s="3">
        <f>'S28 Transportation Matrix'!AH23</f>
        <v>0</v>
      </c>
      <c r="AM21" s="3">
        <f>'S28 Transportation Matrix'!AI23</f>
        <v>0</v>
      </c>
      <c r="AN21" s="3">
        <f>'S28 Transportation Matrix'!AJ23</f>
        <v>0</v>
      </c>
      <c r="AO21" s="3">
        <f>'S28 Transportation Matrix'!AK23</f>
        <v>0</v>
      </c>
      <c r="AP21" s="3">
        <f>'S28 Transportation Matrix'!AL23</f>
        <v>0</v>
      </c>
      <c r="AQ21" s="3">
        <f>'S28 Transportation Matrix'!AM23</f>
        <v>0</v>
      </c>
      <c r="AR21" s="3">
        <f>'S28 Transportation Matrix'!AN23</f>
        <v>0</v>
      </c>
      <c r="AS21" s="3">
        <f>'S28 Transportation Matrix'!AO23</f>
        <v>0</v>
      </c>
      <c r="AT21" s="3">
        <f>'S28 Transportation Matrix'!AP23</f>
        <v>0</v>
      </c>
      <c r="AU21" s="3">
        <f>'S28 Transportation Matrix'!AQ23</f>
        <v>0</v>
      </c>
      <c r="AV21" s="3">
        <f>'S28 Transportation Matrix'!AR23</f>
        <v>0</v>
      </c>
      <c r="AW21" s="3">
        <f>'S28 Transportation Matrix'!AS23</f>
        <v>0</v>
      </c>
      <c r="BG21" s="3">
        <v>5</v>
      </c>
      <c r="BH21" s="318" t="str">
        <f>'S20 Clustering'!A18</f>
        <v>I-064</v>
      </c>
      <c r="BI21" s="4">
        <f>'S20 Clustering'!B18</f>
        <v>10</v>
      </c>
      <c r="BJ21" s="4" t="str">
        <f>'S20 Clustering'!C18</f>
        <v/>
      </c>
      <c r="BK21" s="4" t="str">
        <f>'S20 Clustering'!D18</f>
        <v/>
      </c>
      <c r="BL21" s="4">
        <f>'S20 Clustering'!E18</f>
        <v>20</v>
      </c>
      <c r="BM21" s="4" t="str">
        <f>'S20 Clustering'!F18</f>
        <v/>
      </c>
      <c r="BN21" s="4">
        <f>'S20 Clustering'!G18</f>
        <v>30</v>
      </c>
      <c r="BO21" s="4" t="str">
        <f>'S20 Clustering'!H18</f>
        <v/>
      </c>
      <c r="BP21" s="4">
        <f>'S20 Clustering'!I18</f>
        <v>40</v>
      </c>
      <c r="BQ21" s="4" t="str">
        <f>'S20 Clustering'!J18</f>
        <v/>
      </c>
      <c r="BR21" s="4" t="str">
        <f>'S20 Clustering'!K18</f>
        <v/>
      </c>
      <c r="BS21" s="4" t="str">
        <f>'S20 Clustering'!L18</f>
        <v/>
      </c>
      <c r="BT21" s="4" t="str">
        <f>'S20 Clustering'!M18</f>
        <v/>
      </c>
      <c r="BU21" s="4" t="str">
        <f>'S20 Clustering'!N18</f>
        <v/>
      </c>
      <c r="BV21" s="4">
        <f>'S20 Clustering'!O18</f>
        <v>50</v>
      </c>
      <c r="BW21" s="4" t="str">
        <f>'S20 Clustering'!P18</f>
        <v/>
      </c>
      <c r="BX21" s="4" t="str">
        <f>'S20 Clustering'!Q18</f>
        <v/>
      </c>
      <c r="BY21" s="4" t="str">
        <f>'S20 Clustering'!R18</f>
        <v/>
      </c>
      <c r="BZ21" s="4" t="str">
        <f>'S20 Clustering'!S18</f>
        <v/>
      </c>
      <c r="CA21" s="4">
        <f>'S20 Clustering'!T18</f>
        <v>60</v>
      </c>
      <c r="CB21" s="4" t="str">
        <f>'S20 Clustering'!U18</f>
        <v/>
      </c>
      <c r="CC21" s="4" t="str">
        <f>'S20 Clustering'!V18</f>
        <v/>
      </c>
      <c r="CD21" s="4">
        <f>'S20 Clustering'!W18</f>
        <v>70</v>
      </c>
      <c r="CE21" s="4" t="str">
        <f>'S20 Clustering'!X18</f>
        <v/>
      </c>
      <c r="CF21" s="4" t="str">
        <f>'S20 Clustering'!Y18</f>
        <v/>
      </c>
      <c r="CG21" s="4">
        <f>'S20 Clustering'!Z18</f>
        <v>80</v>
      </c>
      <c r="CH21" s="4">
        <f>'S20 Clustering'!AA18</f>
        <v>90</v>
      </c>
    </row>
    <row r="22" spans="1:86">
      <c r="A22" s="3">
        <f>IFERROR(ROUND(SQRT(VLOOKUP(E22, 'S26 Space Requirements'!$B$5:$P$30, 15, 0)), 0), "")</f>
        <v>21</v>
      </c>
      <c r="E22" s="399" t="s">
        <v>1072</v>
      </c>
      <c r="F22" s="3">
        <f>'S28 Transportation Matrix'!B24</f>
        <v>0</v>
      </c>
      <c r="G22" s="3">
        <f>'S28 Transportation Matrix'!C24</f>
        <v>0</v>
      </c>
      <c r="H22" s="3">
        <f>'S28 Transportation Matrix'!D24</f>
        <v>0</v>
      </c>
      <c r="I22" s="3">
        <f>'S28 Transportation Matrix'!E24</f>
        <v>0</v>
      </c>
      <c r="J22" s="3">
        <f>'S28 Transportation Matrix'!F24</f>
        <v>0</v>
      </c>
      <c r="K22" s="3">
        <f>'S28 Transportation Matrix'!G24</f>
        <v>0</v>
      </c>
      <c r="L22" s="3">
        <f>'S28 Transportation Matrix'!H24</f>
        <v>0</v>
      </c>
      <c r="M22" s="3">
        <f>'S28 Transportation Matrix'!I24</f>
        <v>0</v>
      </c>
      <c r="N22" s="3">
        <f>'S28 Transportation Matrix'!J24</f>
        <v>0</v>
      </c>
      <c r="O22" s="3">
        <f>'S28 Transportation Matrix'!K24</f>
        <v>0</v>
      </c>
      <c r="P22" s="3">
        <f>'S28 Transportation Matrix'!L24</f>
        <v>0</v>
      </c>
      <c r="Q22" s="3">
        <f>'S28 Transportation Matrix'!M24</f>
        <v>0</v>
      </c>
      <c r="R22" s="3">
        <f>'S28 Transportation Matrix'!N24</f>
        <v>0</v>
      </c>
      <c r="S22" s="3">
        <f>'S28 Transportation Matrix'!O24</f>
        <v>0</v>
      </c>
      <c r="T22" s="3">
        <f>'S28 Transportation Matrix'!P24</f>
        <v>0</v>
      </c>
      <c r="U22" s="3">
        <f>'S28 Transportation Matrix'!Q24</f>
        <v>0</v>
      </c>
      <c r="V22" s="3">
        <f>'S28 Transportation Matrix'!R24</f>
        <v>0</v>
      </c>
      <c r="W22" s="3">
        <f>'S28 Transportation Matrix'!S24</f>
        <v>0</v>
      </c>
      <c r="X22" s="3">
        <f>'S28 Transportation Matrix'!T24</f>
        <v>0</v>
      </c>
      <c r="Y22" s="3">
        <f>'S28 Transportation Matrix'!U24</f>
        <v>0</v>
      </c>
      <c r="Z22" s="3">
        <f>'S28 Transportation Matrix'!V24</f>
        <v>0</v>
      </c>
      <c r="AA22" s="3">
        <f>'S28 Transportation Matrix'!W24</f>
        <v>0</v>
      </c>
      <c r="AB22" s="3">
        <f>'S28 Transportation Matrix'!X24</f>
        <v>0</v>
      </c>
      <c r="AC22" s="3">
        <f>'S28 Transportation Matrix'!Y24</f>
        <v>0</v>
      </c>
      <c r="AD22" s="3">
        <f>'S28 Transportation Matrix'!Z24</f>
        <v>0</v>
      </c>
      <c r="AE22" s="3">
        <f>'S28 Transportation Matrix'!AA24</f>
        <v>0</v>
      </c>
      <c r="AF22" s="3">
        <f>'S28 Transportation Matrix'!AB24</f>
        <v>0</v>
      </c>
      <c r="AG22" s="3">
        <f>'S28 Transportation Matrix'!AC24</f>
        <v>89</v>
      </c>
      <c r="AH22" s="3">
        <f>'S28 Transportation Matrix'!AD24</f>
        <v>0</v>
      </c>
      <c r="AI22" s="3">
        <f>'S28 Transportation Matrix'!AE24</f>
        <v>0</v>
      </c>
      <c r="AJ22" s="3">
        <f>'S28 Transportation Matrix'!AF24</f>
        <v>0</v>
      </c>
      <c r="AK22" s="3">
        <f>'S28 Transportation Matrix'!AG24</f>
        <v>0</v>
      </c>
      <c r="AL22" s="3">
        <f>'S28 Transportation Matrix'!AH24</f>
        <v>0</v>
      </c>
      <c r="AM22" s="3">
        <f>'S28 Transportation Matrix'!AI24</f>
        <v>0</v>
      </c>
      <c r="AN22" s="3">
        <f>'S28 Transportation Matrix'!AJ24</f>
        <v>0</v>
      </c>
      <c r="AO22" s="3">
        <f>'S28 Transportation Matrix'!AK24</f>
        <v>0</v>
      </c>
      <c r="AP22" s="3">
        <f>'S28 Transportation Matrix'!AL24</f>
        <v>0</v>
      </c>
      <c r="AQ22" s="3">
        <f>'S28 Transportation Matrix'!AM24</f>
        <v>0</v>
      </c>
      <c r="AR22" s="3">
        <f>'S28 Transportation Matrix'!AN24</f>
        <v>0</v>
      </c>
      <c r="AS22" s="3">
        <f>'S28 Transportation Matrix'!AO24</f>
        <v>0</v>
      </c>
      <c r="AT22" s="3">
        <f>'S28 Transportation Matrix'!AP24</f>
        <v>0</v>
      </c>
      <c r="AU22" s="3">
        <f>'S28 Transportation Matrix'!AQ24</f>
        <v>0</v>
      </c>
      <c r="AV22" s="3">
        <f>'S28 Transportation Matrix'!AR24</f>
        <v>0</v>
      </c>
      <c r="AW22" s="3">
        <f>'S28 Transportation Matrix'!AS24</f>
        <v>0</v>
      </c>
    </row>
    <row r="23" spans="1:86">
      <c r="A23" s="3" t="str">
        <f>IFERROR(ROUND(SQRT(VLOOKUP(E23, 'S26 Space Requirements'!$B$5:$P$30, 15, 0)), 0), "")</f>
        <v/>
      </c>
      <c r="E23" s="399" t="s">
        <v>1074</v>
      </c>
      <c r="F23" s="3">
        <f>'S28 Transportation Matrix'!B25</f>
        <v>0</v>
      </c>
      <c r="G23" s="3">
        <f>'S28 Transportation Matrix'!C25</f>
        <v>0</v>
      </c>
      <c r="H23" s="3">
        <f>'S28 Transportation Matrix'!D25</f>
        <v>0</v>
      </c>
      <c r="I23" s="3">
        <f>'S28 Transportation Matrix'!E25</f>
        <v>0</v>
      </c>
      <c r="J23" s="3">
        <f>'S28 Transportation Matrix'!F25</f>
        <v>0</v>
      </c>
      <c r="K23" s="3">
        <f>'S28 Transportation Matrix'!G25</f>
        <v>0</v>
      </c>
      <c r="L23" s="3">
        <f>'S28 Transportation Matrix'!H25</f>
        <v>0</v>
      </c>
      <c r="M23" s="3">
        <f>'S28 Transportation Matrix'!I25</f>
        <v>0</v>
      </c>
      <c r="N23" s="3">
        <f>'S28 Transportation Matrix'!J25</f>
        <v>0</v>
      </c>
      <c r="O23" s="3">
        <f>'S28 Transportation Matrix'!K25</f>
        <v>0</v>
      </c>
      <c r="P23" s="3">
        <f>'S28 Transportation Matrix'!L25</f>
        <v>0</v>
      </c>
      <c r="Q23" s="3">
        <f>'S28 Transportation Matrix'!M25</f>
        <v>0</v>
      </c>
      <c r="R23" s="3">
        <f>'S28 Transportation Matrix'!N25</f>
        <v>0</v>
      </c>
      <c r="S23" s="3">
        <f>'S28 Transportation Matrix'!O25</f>
        <v>0</v>
      </c>
      <c r="T23" s="3">
        <f>'S28 Transportation Matrix'!P25</f>
        <v>0</v>
      </c>
      <c r="U23" s="3">
        <f>'S28 Transportation Matrix'!Q25</f>
        <v>0</v>
      </c>
      <c r="V23" s="3">
        <f>'S28 Transportation Matrix'!R25</f>
        <v>0</v>
      </c>
      <c r="W23" s="3">
        <f>'S28 Transportation Matrix'!S25</f>
        <v>0</v>
      </c>
      <c r="X23" s="3">
        <f>'S28 Transportation Matrix'!T25</f>
        <v>0</v>
      </c>
      <c r="Y23" s="3">
        <f>'S28 Transportation Matrix'!U25</f>
        <v>0</v>
      </c>
      <c r="Z23" s="3">
        <f>'S28 Transportation Matrix'!V25</f>
        <v>0</v>
      </c>
      <c r="AA23" s="3">
        <f>'S28 Transportation Matrix'!W25</f>
        <v>0</v>
      </c>
      <c r="AB23" s="3">
        <f>'S28 Transportation Matrix'!X25</f>
        <v>0</v>
      </c>
      <c r="AC23" s="3">
        <f>'S28 Transportation Matrix'!Y25</f>
        <v>0</v>
      </c>
      <c r="AD23" s="3">
        <f>'S28 Transportation Matrix'!Z25</f>
        <v>0</v>
      </c>
      <c r="AE23" s="3">
        <f>'S28 Transportation Matrix'!AA25</f>
        <v>0</v>
      </c>
      <c r="AF23" s="3">
        <f>'S28 Transportation Matrix'!AB25</f>
        <v>0</v>
      </c>
      <c r="AG23" s="3">
        <f>'S28 Transportation Matrix'!AC25</f>
        <v>0</v>
      </c>
      <c r="AH23" s="3">
        <f>'S28 Transportation Matrix'!AD25</f>
        <v>0</v>
      </c>
      <c r="AI23" s="3">
        <f>'S28 Transportation Matrix'!AE25</f>
        <v>0</v>
      </c>
      <c r="AJ23" s="3">
        <f>'S28 Transportation Matrix'!AF25</f>
        <v>0</v>
      </c>
      <c r="AK23" s="3">
        <f>'S28 Transportation Matrix'!AG25</f>
        <v>0</v>
      </c>
      <c r="AL23" s="3">
        <f>'S28 Transportation Matrix'!AH25</f>
        <v>0</v>
      </c>
      <c r="AM23" s="3">
        <f>'S28 Transportation Matrix'!AI25</f>
        <v>0</v>
      </c>
      <c r="AN23" s="3">
        <f>'S28 Transportation Matrix'!AJ25</f>
        <v>0</v>
      </c>
      <c r="AO23" s="3">
        <f>'S28 Transportation Matrix'!AK25</f>
        <v>0</v>
      </c>
      <c r="AP23" s="3">
        <f>'S28 Transportation Matrix'!AL25</f>
        <v>0</v>
      </c>
      <c r="AQ23" s="3">
        <f>'S28 Transportation Matrix'!AM25</f>
        <v>0</v>
      </c>
      <c r="AR23" s="3">
        <f>'S28 Transportation Matrix'!AN25</f>
        <v>0</v>
      </c>
      <c r="AS23" s="3">
        <f>'S28 Transportation Matrix'!AO25</f>
        <v>0</v>
      </c>
      <c r="AT23" s="3">
        <f>'S28 Transportation Matrix'!AP25</f>
        <v>0</v>
      </c>
      <c r="AU23" s="3">
        <f>'S28 Transportation Matrix'!AQ25</f>
        <v>0</v>
      </c>
      <c r="AV23" s="3">
        <f>'S28 Transportation Matrix'!AR25</f>
        <v>0</v>
      </c>
      <c r="AW23" s="3">
        <f>'S28 Transportation Matrix'!AS25</f>
        <v>0</v>
      </c>
    </row>
    <row r="24" spans="1:86">
      <c r="A24" s="3">
        <f>IFERROR(ROUND(SQRT(VLOOKUP(E24, 'S26 Space Requirements'!$B$5:$P$30, 15, 0)), 0), "")</f>
        <v>15</v>
      </c>
      <c r="E24" s="399" t="s">
        <v>1076</v>
      </c>
      <c r="F24" s="3">
        <f>'S28 Transportation Matrix'!B26</f>
        <v>0</v>
      </c>
      <c r="G24" s="3">
        <f>'S28 Transportation Matrix'!C26</f>
        <v>0</v>
      </c>
      <c r="H24" s="3">
        <f>'S28 Transportation Matrix'!D26</f>
        <v>0</v>
      </c>
      <c r="I24" s="3">
        <f>'S28 Transportation Matrix'!E26</f>
        <v>0</v>
      </c>
      <c r="J24" s="3">
        <f>'S28 Transportation Matrix'!F26</f>
        <v>0</v>
      </c>
      <c r="K24" s="3">
        <f>'S28 Transportation Matrix'!G26</f>
        <v>0</v>
      </c>
      <c r="L24" s="3">
        <f>'S28 Transportation Matrix'!H26</f>
        <v>0</v>
      </c>
      <c r="M24" s="3">
        <f>'S28 Transportation Matrix'!I26</f>
        <v>0</v>
      </c>
      <c r="N24" s="3">
        <f>'S28 Transportation Matrix'!J26</f>
        <v>0</v>
      </c>
      <c r="O24" s="3">
        <f>'S28 Transportation Matrix'!K26</f>
        <v>0</v>
      </c>
      <c r="P24" s="3">
        <f>'S28 Transportation Matrix'!L26</f>
        <v>0</v>
      </c>
      <c r="Q24" s="3">
        <f>'S28 Transportation Matrix'!M26</f>
        <v>0</v>
      </c>
      <c r="R24" s="3">
        <f>'S28 Transportation Matrix'!N26</f>
        <v>0</v>
      </c>
      <c r="S24" s="3">
        <f>'S28 Transportation Matrix'!O26</f>
        <v>0</v>
      </c>
      <c r="T24" s="3">
        <f>'S28 Transportation Matrix'!P26</f>
        <v>0</v>
      </c>
      <c r="U24" s="3">
        <f>'S28 Transportation Matrix'!Q26</f>
        <v>0</v>
      </c>
      <c r="V24" s="3">
        <f>'S28 Transportation Matrix'!R26</f>
        <v>0</v>
      </c>
      <c r="W24" s="3">
        <f>'S28 Transportation Matrix'!S26</f>
        <v>0</v>
      </c>
      <c r="X24" s="3">
        <f>'S28 Transportation Matrix'!T26</f>
        <v>0</v>
      </c>
      <c r="Y24" s="3">
        <f>'S28 Transportation Matrix'!U26</f>
        <v>0</v>
      </c>
      <c r="Z24" s="3">
        <f>'S28 Transportation Matrix'!V26</f>
        <v>0</v>
      </c>
      <c r="AA24" s="3">
        <f>'S28 Transportation Matrix'!W26</f>
        <v>0</v>
      </c>
      <c r="AB24" s="3">
        <f>'S28 Transportation Matrix'!X26</f>
        <v>0</v>
      </c>
      <c r="AC24" s="3">
        <f>'S28 Transportation Matrix'!Y26</f>
        <v>0</v>
      </c>
      <c r="AD24" s="3">
        <f>'S28 Transportation Matrix'!Z26</f>
        <v>0</v>
      </c>
      <c r="AE24" s="3">
        <f>'S28 Transportation Matrix'!AA26</f>
        <v>0</v>
      </c>
      <c r="AF24" s="3">
        <f>'S28 Transportation Matrix'!AB26</f>
        <v>0</v>
      </c>
      <c r="AG24" s="3">
        <f>'S28 Transportation Matrix'!AC26</f>
        <v>0</v>
      </c>
      <c r="AH24" s="3">
        <f>'S28 Transportation Matrix'!AD26</f>
        <v>0</v>
      </c>
      <c r="AI24" s="3">
        <f>'S28 Transportation Matrix'!AE26</f>
        <v>0</v>
      </c>
      <c r="AJ24" s="3">
        <f>'S28 Transportation Matrix'!AF26</f>
        <v>71</v>
      </c>
      <c r="AK24" s="3">
        <f>'S28 Transportation Matrix'!AG26</f>
        <v>0</v>
      </c>
      <c r="AL24" s="3">
        <f>'S28 Transportation Matrix'!AH26</f>
        <v>0</v>
      </c>
      <c r="AM24" s="3">
        <f>'S28 Transportation Matrix'!AI26</f>
        <v>0</v>
      </c>
      <c r="AN24" s="3">
        <f>'S28 Transportation Matrix'!AJ26</f>
        <v>0</v>
      </c>
      <c r="AO24" s="3">
        <f>'S28 Transportation Matrix'!AK26</f>
        <v>0</v>
      </c>
      <c r="AP24" s="3">
        <f>'S28 Transportation Matrix'!AL26</f>
        <v>0</v>
      </c>
      <c r="AQ24" s="3">
        <f>'S28 Transportation Matrix'!AM26</f>
        <v>0</v>
      </c>
      <c r="AR24" s="3">
        <f>'S28 Transportation Matrix'!AN26</f>
        <v>0</v>
      </c>
      <c r="AS24" s="3">
        <f>'S28 Transportation Matrix'!AO26</f>
        <v>0</v>
      </c>
      <c r="AT24" s="3">
        <f>'S28 Transportation Matrix'!AP26</f>
        <v>0</v>
      </c>
      <c r="AU24" s="3">
        <f>'S28 Transportation Matrix'!AQ26</f>
        <v>0</v>
      </c>
      <c r="AV24" s="3">
        <f>'S28 Transportation Matrix'!AR26</f>
        <v>0</v>
      </c>
      <c r="AW24" s="3">
        <f>'S28 Transportation Matrix'!AS26</f>
        <v>0</v>
      </c>
    </row>
    <row r="25" spans="1:86">
      <c r="A25" s="3">
        <f>IFERROR(ROUND(SQRT(VLOOKUP(E25, 'S26 Space Requirements'!$B$5:$P$30, 15, 0)), 0), "")</f>
        <v>27</v>
      </c>
      <c r="E25" s="399" t="s">
        <v>1078</v>
      </c>
      <c r="F25" s="3">
        <f>'S28 Transportation Matrix'!B27</f>
        <v>0</v>
      </c>
      <c r="G25" s="3">
        <f>'S28 Transportation Matrix'!C27</f>
        <v>0</v>
      </c>
      <c r="H25" s="3">
        <f>'S28 Transportation Matrix'!D27</f>
        <v>0</v>
      </c>
      <c r="I25" s="3">
        <f>'S28 Transportation Matrix'!E27</f>
        <v>0</v>
      </c>
      <c r="J25" s="3">
        <f>'S28 Transportation Matrix'!F27</f>
        <v>0</v>
      </c>
      <c r="K25" s="3">
        <f>'S28 Transportation Matrix'!G27</f>
        <v>0</v>
      </c>
      <c r="L25" s="3">
        <f>'S28 Transportation Matrix'!H27</f>
        <v>0</v>
      </c>
      <c r="M25" s="3">
        <f>'S28 Transportation Matrix'!I27</f>
        <v>0</v>
      </c>
      <c r="N25" s="3">
        <f>'S28 Transportation Matrix'!J27</f>
        <v>0</v>
      </c>
      <c r="O25" s="3">
        <f>'S28 Transportation Matrix'!K27</f>
        <v>0</v>
      </c>
      <c r="P25" s="3">
        <f>'S28 Transportation Matrix'!L27</f>
        <v>0</v>
      </c>
      <c r="Q25" s="3">
        <f>'S28 Transportation Matrix'!M27</f>
        <v>0</v>
      </c>
      <c r="R25" s="3">
        <f>'S28 Transportation Matrix'!N27</f>
        <v>0</v>
      </c>
      <c r="S25" s="3">
        <f>'S28 Transportation Matrix'!O27</f>
        <v>0</v>
      </c>
      <c r="T25" s="3">
        <f>'S28 Transportation Matrix'!P27</f>
        <v>0</v>
      </c>
      <c r="U25" s="3">
        <f>'S28 Transportation Matrix'!Q27</f>
        <v>0</v>
      </c>
      <c r="V25" s="3">
        <f>'S28 Transportation Matrix'!R27</f>
        <v>0</v>
      </c>
      <c r="W25" s="3">
        <f>'S28 Transportation Matrix'!S27</f>
        <v>0</v>
      </c>
      <c r="X25" s="3">
        <f>'S28 Transportation Matrix'!T27</f>
        <v>0</v>
      </c>
      <c r="Y25" s="3">
        <f>'S28 Transportation Matrix'!U27</f>
        <v>0</v>
      </c>
      <c r="Z25" s="3">
        <f>'S28 Transportation Matrix'!V27</f>
        <v>0</v>
      </c>
      <c r="AA25" s="3">
        <f>'S28 Transportation Matrix'!W27</f>
        <v>0</v>
      </c>
      <c r="AB25" s="3">
        <f>'S28 Transportation Matrix'!X27</f>
        <v>0</v>
      </c>
      <c r="AC25" s="3">
        <f>'S28 Transportation Matrix'!Y27</f>
        <v>0</v>
      </c>
      <c r="AD25" s="3">
        <f>'S28 Transportation Matrix'!Z27</f>
        <v>0</v>
      </c>
      <c r="AE25" s="3">
        <f>'S28 Transportation Matrix'!AA27</f>
        <v>0</v>
      </c>
      <c r="AF25" s="3">
        <f>'S28 Transportation Matrix'!AB27</f>
        <v>0</v>
      </c>
      <c r="AG25" s="3">
        <f>'S28 Transportation Matrix'!AC27</f>
        <v>0</v>
      </c>
      <c r="AH25" s="3">
        <f>'S28 Transportation Matrix'!AD27</f>
        <v>151</v>
      </c>
      <c r="AI25" s="3">
        <f>'S28 Transportation Matrix'!AE27</f>
        <v>0</v>
      </c>
      <c r="AJ25" s="3">
        <f>'S28 Transportation Matrix'!AF27</f>
        <v>0</v>
      </c>
      <c r="AK25" s="3">
        <f>'S28 Transportation Matrix'!AG27</f>
        <v>0</v>
      </c>
      <c r="AL25" s="3">
        <f>'S28 Transportation Matrix'!AH27</f>
        <v>0</v>
      </c>
      <c r="AM25" s="3">
        <f>'S28 Transportation Matrix'!AI27</f>
        <v>0</v>
      </c>
      <c r="AN25" s="3">
        <f>'S28 Transportation Matrix'!AJ27</f>
        <v>0</v>
      </c>
      <c r="AO25" s="3">
        <f>'S28 Transportation Matrix'!AK27</f>
        <v>0</v>
      </c>
      <c r="AP25" s="3">
        <f>'S28 Transportation Matrix'!AL27</f>
        <v>0</v>
      </c>
      <c r="AQ25" s="3">
        <f>'S28 Transportation Matrix'!AM27</f>
        <v>0</v>
      </c>
      <c r="AR25" s="3">
        <f>'S28 Transportation Matrix'!AN27</f>
        <v>0</v>
      </c>
      <c r="AS25" s="3">
        <f>'S28 Transportation Matrix'!AO27</f>
        <v>0</v>
      </c>
      <c r="AT25" s="3">
        <f>'S28 Transportation Matrix'!AP27</f>
        <v>0</v>
      </c>
      <c r="AU25" s="3">
        <f>'S28 Transportation Matrix'!AQ27</f>
        <v>0</v>
      </c>
      <c r="AV25" s="3">
        <f>'S28 Transportation Matrix'!AR27</f>
        <v>0</v>
      </c>
      <c r="AW25" s="3">
        <f>'S28 Transportation Matrix'!AS27</f>
        <v>0</v>
      </c>
    </row>
    <row r="26" spans="1:86">
      <c r="A26" s="3">
        <f>IFERROR(ROUND(SQRT(VLOOKUP(E26, 'S26 Space Requirements'!$B$5:$P$30, 15, 0)), 0), "")</f>
        <v>28</v>
      </c>
      <c r="E26" s="399" t="s">
        <v>1080</v>
      </c>
      <c r="F26" s="3">
        <f>'S28 Transportation Matrix'!B28</f>
        <v>0</v>
      </c>
      <c r="G26" s="3">
        <f>'S28 Transportation Matrix'!C28</f>
        <v>0</v>
      </c>
      <c r="H26" s="3">
        <f>'S28 Transportation Matrix'!D28</f>
        <v>0</v>
      </c>
      <c r="I26" s="3">
        <f>'S28 Transportation Matrix'!E28</f>
        <v>0</v>
      </c>
      <c r="J26" s="3">
        <f>'S28 Transportation Matrix'!F28</f>
        <v>0</v>
      </c>
      <c r="K26" s="3">
        <f>'S28 Transportation Matrix'!G28</f>
        <v>0</v>
      </c>
      <c r="L26" s="3">
        <f>'S28 Transportation Matrix'!H28</f>
        <v>0</v>
      </c>
      <c r="M26" s="3">
        <f>'S28 Transportation Matrix'!I28</f>
        <v>0</v>
      </c>
      <c r="N26" s="3">
        <f>'S28 Transportation Matrix'!J28</f>
        <v>0</v>
      </c>
      <c r="O26" s="3">
        <f>'S28 Transportation Matrix'!K28</f>
        <v>0</v>
      </c>
      <c r="P26" s="3">
        <f>'S28 Transportation Matrix'!L28</f>
        <v>0</v>
      </c>
      <c r="Q26" s="3">
        <f>'S28 Transportation Matrix'!M28</f>
        <v>0</v>
      </c>
      <c r="R26" s="3">
        <f>'S28 Transportation Matrix'!N28</f>
        <v>0</v>
      </c>
      <c r="S26" s="3">
        <f>'S28 Transportation Matrix'!O28</f>
        <v>0</v>
      </c>
      <c r="T26" s="3">
        <f>'S28 Transportation Matrix'!P28</f>
        <v>0</v>
      </c>
      <c r="U26" s="3">
        <f>'S28 Transportation Matrix'!Q28</f>
        <v>0</v>
      </c>
      <c r="V26" s="3">
        <f>'S28 Transportation Matrix'!R28</f>
        <v>0</v>
      </c>
      <c r="W26" s="3">
        <f>'S28 Transportation Matrix'!S28</f>
        <v>0</v>
      </c>
      <c r="X26" s="3">
        <f>'S28 Transportation Matrix'!T28</f>
        <v>0</v>
      </c>
      <c r="Y26" s="3">
        <f>'S28 Transportation Matrix'!U28</f>
        <v>0</v>
      </c>
      <c r="Z26" s="3">
        <f>'S28 Transportation Matrix'!V28</f>
        <v>0</v>
      </c>
      <c r="AA26" s="3">
        <f>'S28 Transportation Matrix'!W28</f>
        <v>0</v>
      </c>
      <c r="AB26" s="3">
        <f>'S28 Transportation Matrix'!X28</f>
        <v>0</v>
      </c>
      <c r="AC26" s="3">
        <f>'S28 Transportation Matrix'!Y28</f>
        <v>0</v>
      </c>
      <c r="AD26" s="3">
        <f>'S28 Transportation Matrix'!Z28</f>
        <v>0</v>
      </c>
      <c r="AE26" s="3">
        <f>'S28 Transportation Matrix'!AA28</f>
        <v>0</v>
      </c>
      <c r="AF26" s="3">
        <f>'S28 Transportation Matrix'!AB28</f>
        <v>0</v>
      </c>
      <c r="AG26" s="3">
        <f>'S28 Transportation Matrix'!AC28</f>
        <v>0</v>
      </c>
      <c r="AH26" s="3">
        <f>'S28 Transportation Matrix'!AD28</f>
        <v>0</v>
      </c>
      <c r="AI26" s="3">
        <f>'S28 Transportation Matrix'!AE28</f>
        <v>0</v>
      </c>
      <c r="AJ26" s="3">
        <f>'S28 Transportation Matrix'!AF28</f>
        <v>0</v>
      </c>
      <c r="AK26" s="3">
        <f>'S28 Transportation Matrix'!AG28</f>
        <v>0</v>
      </c>
      <c r="AL26" s="3">
        <f>'S28 Transportation Matrix'!AH28</f>
        <v>0</v>
      </c>
      <c r="AM26" s="3">
        <f>'S28 Transportation Matrix'!AI28</f>
        <v>213</v>
      </c>
      <c r="AN26" s="3">
        <f>'S28 Transportation Matrix'!AJ28</f>
        <v>0</v>
      </c>
      <c r="AO26" s="3">
        <f>'S28 Transportation Matrix'!AK28</f>
        <v>0</v>
      </c>
      <c r="AP26" s="3">
        <f>'S28 Transportation Matrix'!AL28</f>
        <v>0</v>
      </c>
      <c r="AQ26" s="3">
        <f>'S28 Transportation Matrix'!AM28</f>
        <v>0</v>
      </c>
      <c r="AR26" s="3">
        <f>'S28 Transportation Matrix'!AN28</f>
        <v>0</v>
      </c>
      <c r="AS26" s="3">
        <f>'S28 Transportation Matrix'!AO28</f>
        <v>0</v>
      </c>
      <c r="AT26" s="3">
        <f>'S28 Transportation Matrix'!AP28</f>
        <v>0</v>
      </c>
      <c r="AU26" s="3">
        <f>'S28 Transportation Matrix'!AQ28</f>
        <v>0</v>
      </c>
      <c r="AV26" s="3">
        <f>'S28 Transportation Matrix'!AR28</f>
        <v>0</v>
      </c>
      <c r="AW26" s="3">
        <f>'S28 Transportation Matrix'!AS28</f>
        <v>0</v>
      </c>
    </row>
    <row r="27" spans="1:86">
      <c r="A27" s="3">
        <f>IFERROR(ROUND(SQRT(VLOOKUP(E27, 'S26 Space Requirements'!$B$5:$P$30, 15, 0)), 0), "")</f>
        <v>10</v>
      </c>
      <c r="E27" s="399" t="s">
        <v>1082</v>
      </c>
      <c r="F27" s="3">
        <f>'S28 Transportation Matrix'!B29</f>
        <v>0</v>
      </c>
      <c r="G27" s="3">
        <f>'S28 Transportation Matrix'!C29</f>
        <v>0</v>
      </c>
      <c r="H27" s="3">
        <f>'S28 Transportation Matrix'!D29</f>
        <v>0</v>
      </c>
      <c r="I27" s="3">
        <f>'S28 Transportation Matrix'!E29</f>
        <v>0</v>
      </c>
      <c r="J27" s="3">
        <f>'S28 Transportation Matrix'!F29</f>
        <v>0</v>
      </c>
      <c r="K27" s="3">
        <f>'S28 Transportation Matrix'!G29</f>
        <v>0</v>
      </c>
      <c r="L27" s="3">
        <f>'S28 Transportation Matrix'!H29</f>
        <v>0</v>
      </c>
      <c r="M27" s="3">
        <f>'S28 Transportation Matrix'!I29</f>
        <v>0</v>
      </c>
      <c r="N27" s="3">
        <f>'S28 Transportation Matrix'!J29</f>
        <v>0</v>
      </c>
      <c r="O27" s="3">
        <f>'S28 Transportation Matrix'!K29</f>
        <v>0</v>
      </c>
      <c r="P27" s="3">
        <f>'S28 Transportation Matrix'!L29</f>
        <v>0</v>
      </c>
      <c r="Q27" s="3">
        <f>'S28 Transportation Matrix'!M29</f>
        <v>0</v>
      </c>
      <c r="R27" s="3">
        <f>'S28 Transportation Matrix'!N29</f>
        <v>0</v>
      </c>
      <c r="S27" s="3">
        <f>'S28 Transportation Matrix'!O29</f>
        <v>0</v>
      </c>
      <c r="T27" s="3">
        <f>'S28 Transportation Matrix'!P29</f>
        <v>0</v>
      </c>
      <c r="U27" s="3">
        <f>'S28 Transportation Matrix'!Q29</f>
        <v>0</v>
      </c>
      <c r="V27" s="3">
        <f>'S28 Transportation Matrix'!R29</f>
        <v>0</v>
      </c>
      <c r="W27" s="3">
        <f>'S28 Transportation Matrix'!S29</f>
        <v>0</v>
      </c>
      <c r="X27" s="3">
        <f>'S28 Transportation Matrix'!T29</f>
        <v>0</v>
      </c>
      <c r="Y27" s="3">
        <f>'S28 Transportation Matrix'!U29</f>
        <v>0</v>
      </c>
      <c r="Z27" s="3">
        <f>'S28 Transportation Matrix'!V29</f>
        <v>0</v>
      </c>
      <c r="AA27" s="3">
        <f>'S28 Transportation Matrix'!W29</f>
        <v>0</v>
      </c>
      <c r="AB27" s="3">
        <f>'S28 Transportation Matrix'!X29</f>
        <v>0</v>
      </c>
      <c r="AC27" s="3">
        <f>'S28 Transportation Matrix'!Y29</f>
        <v>0</v>
      </c>
      <c r="AD27" s="3">
        <f>'S28 Transportation Matrix'!Z29</f>
        <v>0</v>
      </c>
      <c r="AE27" s="3">
        <f>'S28 Transportation Matrix'!AA29</f>
        <v>0</v>
      </c>
      <c r="AF27" s="3">
        <f>'S28 Transportation Matrix'!AB29</f>
        <v>0</v>
      </c>
      <c r="AG27" s="3">
        <f>'S28 Transportation Matrix'!AC29</f>
        <v>0</v>
      </c>
      <c r="AH27" s="3">
        <f>'S28 Transportation Matrix'!AD29</f>
        <v>0</v>
      </c>
      <c r="AI27" s="3">
        <f>'S28 Transportation Matrix'!AE29</f>
        <v>0</v>
      </c>
      <c r="AJ27" s="3">
        <f>'S28 Transportation Matrix'!AF29</f>
        <v>0</v>
      </c>
      <c r="AK27" s="3">
        <f>'S28 Transportation Matrix'!AG29</f>
        <v>69</v>
      </c>
      <c r="AL27" s="3">
        <f>'S28 Transportation Matrix'!AH29</f>
        <v>0</v>
      </c>
      <c r="AM27" s="3">
        <f>'S28 Transportation Matrix'!AI29</f>
        <v>0</v>
      </c>
      <c r="AN27" s="3">
        <f>'S28 Transportation Matrix'!AJ29</f>
        <v>0</v>
      </c>
      <c r="AO27" s="3">
        <f>'S28 Transportation Matrix'!AK29</f>
        <v>0</v>
      </c>
      <c r="AP27" s="3">
        <f>'S28 Transportation Matrix'!AL29</f>
        <v>0</v>
      </c>
      <c r="AQ27" s="3">
        <f>'S28 Transportation Matrix'!AM29</f>
        <v>0</v>
      </c>
      <c r="AR27" s="3">
        <f>'S28 Transportation Matrix'!AN29</f>
        <v>0</v>
      </c>
      <c r="AS27" s="3">
        <f>'S28 Transportation Matrix'!AO29</f>
        <v>0</v>
      </c>
      <c r="AT27" s="3">
        <f>'S28 Transportation Matrix'!AP29</f>
        <v>0</v>
      </c>
      <c r="AU27" s="3">
        <f>'S28 Transportation Matrix'!AQ29</f>
        <v>0</v>
      </c>
      <c r="AV27" s="3">
        <f>'S28 Transportation Matrix'!AR29</f>
        <v>0</v>
      </c>
      <c r="AW27" s="3">
        <f>'S28 Transportation Matrix'!AS29</f>
        <v>0</v>
      </c>
    </row>
    <row r="28" spans="1:86">
      <c r="A28" s="3">
        <f>IFERROR(ROUND(SQRT(VLOOKUP(E28, 'S26 Space Requirements'!$B$5:$P$30, 15, 0)), 0), "")</f>
        <v>19</v>
      </c>
      <c r="E28" s="399" t="s">
        <v>1083</v>
      </c>
      <c r="F28" s="3">
        <f>'S28 Transportation Matrix'!B30</f>
        <v>0</v>
      </c>
      <c r="G28" s="3">
        <f>'S28 Transportation Matrix'!C30</f>
        <v>0</v>
      </c>
      <c r="H28" s="3">
        <f>'S28 Transportation Matrix'!D30</f>
        <v>0</v>
      </c>
      <c r="I28" s="3">
        <f>'S28 Transportation Matrix'!E30</f>
        <v>0</v>
      </c>
      <c r="J28" s="3">
        <f>'S28 Transportation Matrix'!F30</f>
        <v>0</v>
      </c>
      <c r="K28" s="3">
        <f>'S28 Transportation Matrix'!G30</f>
        <v>0</v>
      </c>
      <c r="L28" s="3">
        <f>'S28 Transportation Matrix'!H30</f>
        <v>0</v>
      </c>
      <c r="M28" s="3">
        <f>'S28 Transportation Matrix'!I30</f>
        <v>0</v>
      </c>
      <c r="N28" s="3">
        <f>'S28 Transportation Matrix'!J30</f>
        <v>0</v>
      </c>
      <c r="O28" s="3">
        <f>'S28 Transportation Matrix'!K30</f>
        <v>0</v>
      </c>
      <c r="P28" s="3">
        <f>'S28 Transportation Matrix'!L30</f>
        <v>0</v>
      </c>
      <c r="Q28" s="3">
        <f>'S28 Transportation Matrix'!M30</f>
        <v>0</v>
      </c>
      <c r="R28" s="3">
        <f>'S28 Transportation Matrix'!N30</f>
        <v>0</v>
      </c>
      <c r="S28" s="3">
        <f>'S28 Transportation Matrix'!O30</f>
        <v>0</v>
      </c>
      <c r="T28" s="3">
        <f>'S28 Transportation Matrix'!P30</f>
        <v>0</v>
      </c>
      <c r="U28" s="3">
        <f>'S28 Transportation Matrix'!Q30</f>
        <v>0</v>
      </c>
      <c r="V28" s="3">
        <f>'S28 Transportation Matrix'!R30</f>
        <v>0</v>
      </c>
      <c r="W28" s="3">
        <f>'S28 Transportation Matrix'!S30</f>
        <v>0</v>
      </c>
      <c r="X28" s="3">
        <f>'S28 Transportation Matrix'!T30</f>
        <v>0</v>
      </c>
      <c r="Y28" s="3">
        <f>'S28 Transportation Matrix'!U30</f>
        <v>0</v>
      </c>
      <c r="Z28" s="3">
        <f>'S28 Transportation Matrix'!V30</f>
        <v>0</v>
      </c>
      <c r="AA28" s="3">
        <f>'S28 Transportation Matrix'!W30</f>
        <v>0</v>
      </c>
      <c r="AB28" s="3">
        <f>'S28 Transportation Matrix'!X30</f>
        <v>0</v>
      </c>
      <c r="AC28" s="3">
        <f>'S28 Transportation Matrix'!Y30</f>
        <v>0</v>
      </c>
      <c r="AD28" s="3">
        <f>'S28 Transportation Matrix'!Z30</f>
        <v>0</v>
      </c>
      <c r="AE28" s="3">
        <f>'S28 Transportation Matrix'!AA30</f>
        <v>0</v>
      </c>
      <c r="AF28" s="3">
        <f>'S28 Transportation Matrix'!AB30</f>
        <v>0</v>
      </c>
      <c r="AG28" s="3">
        <f>'S28 Transportation Matrix'!AC30</f>
        <v>0</v>
      </c>
      <c r="AH28" s="3">
        <f>'S28 Transportation Matrix'!AD30</f>
        <v>0</v>
      </c>
      <c r="AI28" s="3">
        <f>'S28 Transportation Matrix'!AE30</f>
        <v>0</v>
      </c>
      <c r="AJ28" s="3">
        <f>'S28 Transportation Matrix'!AF30</f>
        <v>0</v>
      </c>
      <c r="AK28" s="3">
        <f>'S28 Transportation Matrix'!AG30</f>
        <v>89</v>
      </c>
      <c r="AL28" s="3">
        <f>'S28 Transportation Matrix'!AH30</f>
        <v>0</v>
      </c>
      <c r="AM28" s="3">
        <f>'S28 Transportation Matrix'!AI30</f>
        <v>0</v>
      </c>
      <c r="AN28" s="3">
        <f>'S28 Transportation Matrix'!AJ30</f>
        <v>0</v>
      </c>
      <c r="AO28" s="3">
        <f>'S28 Transportation Matrix'!AK30</f>
        <v>0</v>
      </c>
      <c r="AP28" s="3">
        <f>'S28 Transportation Matrix'!AL30</f>
        <v>0</v>
      </c>
      <c r="AQ28" s="3">
        <f>'S28 Transportation Matrix'!AM30</f>
        <v>0</v>
      </c>
      <c r="AR28" s="3">
        <f>'S28 Transportation Matrix'!AN30</f>
        <v>0</v>
      </c>
      <c r="AS28" s="3">
        <f>'S28 Transportation Matrix'!AO30</f>
        <v>0</v>
      </c>
      <c r="AT28" s="3">
        <f>'S28 Transportation Matrix'!AP30</f>
        <v>0</v>
      </c>
      <c r="AU28" s="3">
        <f>'S28 Transportation Matrix'!AQ30</f>
        <v>0</v>
      </c>
      <c r="AV28" s="3">
        <f>'S28 Transportation Matrix'!AR30</f>
        <v>0</v>
      </c>
      <c r="AW28" s="3">
        <f>'S28 Transportation Matrix'!AS30</f>
        <v>0</v>
      </c>
    </row>
    <row r="29" spans="1:86">
      <c r="A29" s="3">
        <f>IFERROR(ROUND(SQRT(VLOOKUP(E29, 'S26 Space Requirements'!$B$5:$P$30, 15, 0)), 0), "")</f>
        <v>22</v>
      </c>
      <c r="E29" s="399" t="s">
        <v>1085</v>
      </c>
      <c r="F29" s="3">
        <f>'S28 Transportation Matrix'!B31</f>
        <v>0</v>
      </c>
      <c r="G29" s="3">
        <f>'S28 Transportation Matrix'!C31</f>
        <v>0</v>
      </c>
      <c r="H29" s="3">
        <f>'S28 Transportation Matrix'!D31</f>
        <v>0</v>
      </c>
      <c r="I29" s="3">
        <f>'S28 Transportation Matrix'!E31</f>
        <v>0</v>
      </c>
      <c r="J29" s="3">
        <f>'S28 Transportation Matrix'!F31</f>
        <v>0</v>
      </c>
      <c r="K29" s="3">
        <f>'S28 Transportation Matrix'!G31</f>
        <v>0</v>
      </c>
      <c r="L29" s="3">
        <f>'S28 Transportation Matrix'!H31</f>
        <v>0</v>
      </c>
      <c r="M29" s="3">
        <f>'S28 Transportation Matrix'!I31</f>
        <v>0</v>
      </c>
      <c r="N29" s="3">
        <f>'S28 Transportation Matrix'!J31</f>
        <v>0</v>
      </c>
      <c r="O29" s="3">
        <f>'S28 Transportation Matrix'!K31</f>
        <v>0</v>
      </c>
      <c r="P29" s="3">
        <f>'S28 Transportation Matrix'!L31</f>
        <v>0</v>
      </c>
      <c r="Q29" s="3">
        <f>'S28 Transportation Matrix'!M31</f>
        <v>0</v>
      </c>
      <c r="R29" s="3">
        <f>'S28 Transportation Matrix'!N31</f>
        <v>0</v>
      </c>
      <c r="S29" s="3">
        <f>'S28 Transportation Matrix'!O31</f>
        <v>0</v>
      </c>
      <c r="T29" s="3">
        <f>'S28 Transportation Matrix'!P31</f>
        <v>0</v>
      </c>
      <c r="U29" s="3">
        <f>'S28 Transportation Matrix'!Q31</f>
        <v>0</v>
      </c>
      <c r="V29" s="3">
        <f>'S28 Transportation Matrix'!R31</f>
        <v>0</v>
      </c>
      <c r="W29" s="3">
        <f>'S28 Transportation Matrix'!S31</f>
        <v>0</v>
      </c>
      <c r="X29" s="3">
        <f>'S28 Transportation Matrix'!T31</f>
        <v>0</v>
      </c>
      <c r="Y29" s="3">
        <f>'S28 Transportation Matrix'!U31</f>
        <v>0</v>
      </c>
      <c r="Z29" s="3">
        <f>'S28 Transportation Matrix'!V31</f>
        <v>0</v>
      </c>
      <c r="AA29" s="3">
        <f>'S28 Transportation Matrix'!W31</f>
        <v>0</v>
      </c>
      <c r="AB29" s="3">
        <f>'S28 Transportation Matrix'!X31</f>
        <v>0</v>
      </c>
      <c r="AC29" s="3">
        <f>'S28 Transportation Matrix'!Y31</f>
        <v>0</v>
      </c>
      <c r="AD29" s="3">
        <f>'S28 Transportation Matrix'!Z31</f>
        <v>0</v>
      </c>
      <c r="AE29" s="3">
        <f>'S28 Transportation Matrix'!AA31</f>
        <v>0</v>
      </c>
      <c r="AF29" s="3">
        <f>'S28 Transportation Matrix'!AB31</f>
        <v>89</v>
      </c>
      <c r="AG29" s="3">
        <f>'S28 Transportation Matrix'!AC31</f>
        <v>0</v>
      </c>
      <c r="AH29" s="3">
        <f>'S28 Transportation Matrix'!AD31</f>
        <v>0</v>
      </c>
      <c r="AI29" s="3">
        <f>'S28 Transportation Matrix'!AE31</f>
        <v>0</v>
      </c>
      <c r="AJ29" s="3">
        <f>'S28 Transportation Matrix'!AF31</f>
        <v>0</v>
      </c>
      <c r="AK29" s="3">
        <f>'S28 Transportation Matrix'!AG31</f>
        <v>0</v>
      </c>
      <c r="AL29" s="3">
        <f>'S28 Transportation Matrix'!AH31</f>
        <v>0</v>
      </c>
      <c r="AM29" s="3">
        <f>'S28 Transportation Matrix'!AI31</f>
        <v>0</v>
      </c>
      <c r="AN29" s="3">
        <f>'S28 Transportation Matrix'!AJ31</f>
        <v>0</v>
      </c>
      <c r="AO29" s="3">
        <f>'S28 Transportation Matrix'!AK31</f>
        <v>0</v>
      </c>
      <c r="AP29" s="3">
        <f>'S28 Transportation Matrix'!AL31</f>
        <v>0</v>
      </c>
      <c r="AQ29" s="3">
        <f>'S28 Transportation Matrix'!AM31</f>
        <v>0</v>
      </c>
      <c r="AR29" s="3">
        <f>'S28 Transportation Matrix'!AN31</f>
        <v>0</v>
      </c>
      <c r="AS29" s="3">
        <f>'S28 Transportation Matrix'!AO31</f>
        <v>0</v>
      </c>
      <c r="AT29" s="3">
        <f>'S28 Transportation Matrix'!AP31</f>
        <v>0</v>
      </c>
      <c r="AU29" s="3">
        <f>'S28 Transportation Matrix'!AQ31</f>
        <v>0</v>
      </c>
      <c r="AV29" s="3">
        <f>'S28 Transportation Matrix'!AR31</f>
        <v>0</v>
      </c>
      <c r="AW29" s="3">
        <f>'S28 Transportation Matrix'!AS31</f>
        <v>0</v>
      </c>
    </row>
    <row r="30" spans="1:86">
      <c r="A30" s="3">
        <f>IFERROR(ROUND(SQRT(VLOOKUP(E30, 'S26 Space Requirements'!$B$5:$P$30, 15, 0)), 0), "")</f>
        <v>26</v>
      </c>
      <c r="E30" s="399" t="s">
        <v>1087</v>
      </c>
      <c r="F30" s="3">
        <f>'S28 Transportation Matrix'!B32</f>
        <v>0</v>
      </c>
      <c r="G30" s="3">
        <f>'S28 Transportation Matrix'!C32</f>
        <v>0</v>
      </c>
      <c r="H30" s="3">
        <f>'S28 Transportation Matrix'!D32</f>
        <v>0</v>
      </c>
      <c r="I30" s="3">
        <f>'S28 Transportation Matrix'!E32</f>
        <v>0</v>
      </c>
      <c r="J30" s="3">
        <f>'S28 Transportation Matrix'!F32</f>
        <v>0</v>
      </c>
      <c r="K30" s="3">
        <f>'S28 Transportation Matrix'!G32</f>
        <v>0</v>
      </c>
      <c r="L30" s="3">
        <f>'S28 Transportation Matrix'!H32</f>
        <v>0</v>
      </c>
      <c r="M30" s="3">
        <f>'S28 Transportation Matrix'!I32</f>
        <v>0</v>
      </c>
      <c r="N30" s="3">
        <f>'S28 Transportation Matrix'!J32</f>
        <v>0</v>
      </c>
      <c r="O30" s="3">
        <f>'S28 Transportation Matrix'!K32</f>
        <v>0</v>
      </c>
      <c r="P30" s="3">
        <f>'S28 Transportation Matrix'!L32</f>
        <v>0</v>
      </c>
      <c r="Q30" s="3">
        <f>'S28 Transportation Matrix'!M32</f>
        <v>0</v>
      </c>
      <c r="R30" s="3">
        <f>'S28 Transportation Matrix'!N32</f>
        <v>0</v>
      </c>
      <c r="S30" s="3">
        <f>'S28 Transportation Matrix'!O32</f>
        <v>0</v>
      </c>
      <c r="T30" s="3">
        <f>'S28 Transportation Matrix'!P32</f>
        <v>0</v>
      </c>
      <c r="U30" s="3">
        <f>'S28 Transportation Matrix'!Q32</f>
        <v>0</v>
      </c>
      <c r="V30" s="3">
        <f>'S28 Transportation Matrix'!R32</f>
        <v>0</v>
      </c>
      <c r="W30" s="3">
        <f>'S28 Transportation Matrix'!S32</f>
        <v>0</v>
      </c>
      <c r="X30" s="3">
        <f>'S28 Transportation Matrix'!T32</f>
        <v>0</v>
      </c>
      <c r="Y30" s="3">
        <f>'S28 Transportation Matrix'!U32</f>
        <v>0</v>
      </c>
      <c r="Z30" s="3">
        <f>'S28 Transportation Matrix'!V32</f>
        <v>0</v>
      </c>
      <c r="AA30" s="3">
        <f>'S28 Transportation Matrix'!W32</f>
        <v>0</v>
      </c>
      <c r="AB30" s="3">
        <f>'S28 Transportation Matrix'!X32</f>
        <v>0</v>
      </c>
      <c r="AC30" s="3">
        <f>'S28 Transportation Matrix'!Y32</f>
        <v>0</v>
      </c>
      <c r="AD30" s="3">
        <f>'S28 Transportation Matrix'!Z32</f>
        <v>0</v>
      </c>
      <c r="AE30" s="3">
        <f>'S28 Transportation Matrix'!AA32</f>
        <v>0</v>
      </c>
      <c r="AF30" s="3">
        <f>'S28 Transportation Matrix'!AB32</f>
        <v>0</v>
      </c>
      <c r="AG30" s="3">
        <f>'S28 Transportation Matrix'!AC32</f>
        <v>0</v>
      </c>
      <c r="AH30" s="3">
        <f>'S28 Transportation Matrix'!AD32</f>
        <v>0</v>
      </c>
      <c r="AI30" s="3">
        <f>'S28 Transportation Matrix'!AE32</f>
        <v>0</v>
      </c>
      <c r="AJ30" s="3">
        <f>'S28 Transportation Matrix'!AF32</f>
        <v>0</v>
      </c>
      <c r="AK30" s="3">
        <f>'S28 Transportation Matrix'!AG32</f>
        <v>0</v>
      </c>
      <c r="AL30" s="3">
        <f>'S28 Transportation Matrix'!AH32</f>
        <v>151</v>
      </c>
      <c r="AM30" s="3">
        <f>'S28 Transportation Matrix'!AI32</f>
        <v>0</v>
      </c>
      <c r="AN30" s="3">
        <f>'S28 Transportation Matrix'!AJ32</f>
        <v>0</v>
      </c>
      <c r="AO30" s="3">
        <f>'S28 Transportation Matrix'!AK32</f>
        <v>0</v>
      </c>
      <c r="AP30" s="3">
        <f>'S28 Transportation Matrix'!AL32</f>
        <v>0</v>
      </c>
      <c r="AQ30" s="3">
        <f>'S28 Transportation Matrix'!AM32</f>
        <v>0</v>
      </c>
      <c r="AR30" s="3">
        <f>'S28 Transportation Matrix'!AN32</f>
        <v>0</v>
      </c>
      <c r="AS30" s="3">
        <f>'S28 Transportation Matrix'!AO32</f>
        <v>0</v>
      </c>
      <c r="AT30" s="3">
        <f>'S28 Transportation Matrix'!AP32</f>
        <v>0</v>
      </c>
      <c r="AU30" s="3">
        <f>'S28 Transportation Matrix'!AQ32</f>
        <v>0</v>
      </c>
      <c r="AV30" s="3">
        <f>'S28 Transportation Matrix'!AR32</f>
        <v>0</v>
      </c>
      <c r="AW30" s="3">
        <f>'S28 Transportation Matrix'!AS32</f>
        <v>0</v>
      </c>
    </row>
    <row r="31" spans="1:86">
      <c r="A31" s="3" t="str">
        <f>IFERROR(ROUND(SQRT(VLOOKUP(E31, 'S26 Space Requirements'!$B$5:$P$30, 15, 0)), 0), "")</f>
        <v/>
      </c>
      <c r="E31" s="399" t="s">
        <v>1089</v>
      </c>
      <c r="F31" s="3">
        <f>'S28 Transportation Matrix'!B33</f>
        <v>0</v>
      </c>
      <c r="G31" s="3">
        <f>'S28 Transportation Matrix'!C33</f>
        <v>0</v>
      </c>
      <c r="H31" s="3">
        <f>'S28 Transportation Matrix'!D33</f>
        <v>0</v>
      </c>
      <c r="I31" s="3">
        <f>'S28 Transportation Matrix'!E33</f>
        <v>0</v>
      </c>
      <c r="J31" s="3">
        <f>'S28 Transportation Matrix'!F33</f>
        <v>0</v>
      </c>
      <c r="K31" s="3">
        <f>'S28 Transportation Matrix'!G33</f>
        <v>0</v>
      </c>
      <c r="L31" s="3">
        <f>'S28 Transportation Matrix'!H33</f>
        <v>0</v>
      </c>
      <c r="M31" s="3">
        <f>'S28 Transportation Matrix'!I33</f>
        <v>0</v>
      </c>
      <c r="N31" s="3">
        <f>'S28 Transportation Matrix'!J33</f>
        <v>0</v>
      </c>
      <c r="O31" s="3">
        <f>'S28 Transportation Matrix'!K33</f>
        <v>0</v>
      </c>
      <c r="P31" s="3">
        <f>'S28 Transportation Matrix'!L33</f>
        <v>0</v>
      </c>
      <c r="Q31" s="3">
        <f>'S28 Transportation Matrix'!M33</f>
        <v>0</v>
      </c>
      <c r="R31" s="3">
        <f>'S28 Transportation Matrix'!N33</f>
        <v>0</v>
      </c>
      <c r="S31" s="3">
        <f>'S28 Transportation Matrix'!O33</f>
        <v>0</v>
      </c>
      <c r="T31" s="3">
        <f>'S28 Transportation Matrix'!P33</f>
        <v>0</v>
      </c>
      <c r="U31" s="3">
        <f>'S28 Transportation Matrix'!Q33</f>
        <v>0</v>
      </c>
      <c r="V31" s="3">
        <f>'S28 Transportation Matrix'!R33</f>
        <v>0</v>
      </c>
      <c r="W31" s="3">
        <f>'S28 Transportation Matrix'!S33</f>
        <v>0</v>
      </c>
      <c r="X31" s="3">
        <f>'S28 Transportation Matrix'!T33</f>
        <v>0</v>
      </c>
      <c r="Y31" s="3">
        <f>'S28 Transportation Matrix'!U33</f>
        <v>0</v>
      </c>
      <c r="Z31" s="3">
        <f>'S28 Transportation Matrix'!V33</f>
        <v>0</v>
      </c>
      <c r="AA31" s="3">
        <f>'S28 Transportation Matrix'!W33</f>
        <v>0</v>
      </c>
      <c r="AB31" s="3">
        <f>'S28 Transportation Matrix'!X33</f>
        <v>0</v>
      </c>
      <c r="AC31" s="3">
        <f>'S28 Transportation Matrix'!Y33</f>
        <v>0</v>
      </c>
      <c r="AD31" s="3">
        <f>'S28 Transportation Matrix'!Z33</f>
        <v>0</v>
      </c>
      <c r="AE31" s="3">
        <f>'S28 Transportation Matrix'!AA33</f>
        <v>0</v>
      </c>
      <c r="AF31" s="3">
        <f>'S28 Transportation Matrix'!AB33</f>
        <v>0</v>
      </c>
      <c r="AG31" s="3">
        <f>'S28 Transportation Matrix'!AC33</f>
        <v>0</v>
      </c>
      <c r="AH31" s="3">
        <f>'S28 Transportation Matrix'!AD33</f>
        <v>0</v>
      </c>
      <c r="AI31" s="3">
        <f>'S28 Transportation Matrix'!AE33</f>
        <v>0</v>
      </c>
      <c r="AJ31" s="3">
        <f>'S28 Transportation Matrix'!AF33</f>
        <v>0</v>
      </c>
      <c r="AK31" s="3">
        <f>'S28 Transportation Matrix'!AG33</f>
        <v>0</v>
      </c>
      <c r="AL31" s="3">
        <f>'S28 Transportation Matrix'!AH33</f>
        <v>0</v>
      </c>
      <c r="AM31" s="3">
        <f>'S28 Transportation Matrix'!AI33</f>
        <v>0</v>
      </c>
      <c r="AN31" s="3">
        <f>'S28 Transportation Matrix'!AJ33</f>
        <v>0</v>
      </c>
      <c r="AO31" s="3">
        <f>'S28 Transportation Matrix'!AK33</f>
        <v>0</v>
      </c>
      <c r="AP31" s="3">
        <f>'S28 Transportation Matrix'!AL33</f>
        <v>0</v>
      </c>
      <c r="AQ31" s="3">
        <f>'S28 Transportation Matrix'!AM33</f>
        <v>0</v>
      </c>
      <c r="AR31" s="3">
        <f>'S28 Transportation Matrix'!AN33</f>
        <v>0</v>
      </c>
      <c r="AS31" s="3">
        <f>'S28 Transportation Matrix'!AO33</f>
        <v>0</v>
      </c>
      <c r="AT31" s="3">
        <f>'S28 Transportation Matrix'!AP33</f>
        <v>0</v>
      </c>
      <c r="AU31" s="3">
        <f>'S28 Transportation Matrix'!AQ33</f>
        <v>0</v>
      </c>
      <c r="AV31" s="3">
        <f>'S28 Transportation Matrix'!AR33</f>
        <v>0</v>
      </c>
      <c r="AW31" s="3">
        <f>'S28 Transportation Matrix'!AS33</f>
        <v>0</v>
      </c>
    </row>
    <row r="32" spans="1:86">
      <c r="A32" s="3">
        <f>IFERROR(ROUND(SQRT(VLOOKUP(E32, 'S26 Space Requirements'!$B$5:$P$30, 15, 0)), 0), "")</f>
        <v>12</v>
      </c>
      <c r="E32" s="399" t="s">
        <v>1091</v>
      </c>
      <c r="F32" s="3">
        <f>'S28 Transportation Matrix'!B34</f>
        <v>0</v>
      </c>
      <c r="G32" s="3">
        <f>'S28 Transportation Matrix'!C34</f>
        <v>0</v>
      </c>
      <c r="H32" s="3">
        <f>'S28 Transportation Matrix'!D34</f>
        <v>0</v>
      </c>
      <c r="I32" s="3">
        <f>'S28 Transportation Matrix'!E34</f>
        <v>0</v>
      </c>
      <c r="J32" s="3">
        <f>'S28 Transportation Matrix'!F34</f>
        <v>0</v>
      </c>
      <c r="K32" s="3">
        <f>'S28 Transportation Matrix'!G34</f>
        <v>0</v>
      </c>
      <c r="L32" s="3">
        <f>'S28 Transportation Matrix'!H34</f>
        <v>0</v>
      </c>
      <c r="M32" s="3">
        <f>'S28 Transportation Matrix'!I34</f>
        <v>0</v>
      </c>
      <c r="N32" s="3">
        <f>'S28 Transportation Matrix'!J34</f>
        <v>0</v>
      </c>
      <c r="O32" s="3">
        <f>'S28 Transportation Matrix'!K34</f>
        <v>0</v>
      </c>
      <c r="P32" s="3">
        <f>'S28 Transportation Matrix'!L34</f>
        <v>0</v>
      </c>
      <c r="Q32" s="3">
        <f>'S28 Transportation Matrix'!M34</f>
        <v>0</v>
      </c>
      <c r="R32" s="3">
        <f>'S28 Transportation Matrix'!N34</f>
        <v>0</v>
      </c>
      <c r="S32" s="3">
        <f>'S28 Transportation Matrix'!O34</f>
        <v>0</v>
      </c>
      <c r="T32" s="3">
        <f>'S28 Transportation Matrix'!P34</f>
        <v>0</v>
      </c>
      <c r="U32" s="3">
        <f>'S28 Transportation Matrix'!Q34</f>
        <v>0</v>
      </c>
      <c r="V32" s="3">
        <f>'S28 Transportation Matrix'!R34</f>
        <v>0</v>
      </c>
      <c r="W32" s="3">
        <f>'S28 Transportation Matrix'!S34</f>
        <v>0</v>
      </c>
      <c r="X32" s="3">
        <f>'S28 Transportation Matrix'!T34</f>
        <v>0</v>
      </c>
      <c r="Y32" s="3">
        <f>'S28 Transportation Matrix'!U34</f>
        <v>0</v>
      </c>
      <c r="Z32" s="3">
        <f>'S28 Transportation Matrix'!V34</f>
        <v>0</v>
      </c>
      <c r="AA32" s="3">
        <f>'S28 Transportation Matrix'!W34</f>
        <v>0</v>
      </c>
      <c r="AB32" s="3">
        <f>'S28 Transportation Matrix'!X34</f>
        <v>0</v>
      </c>
      <c r="AC32" s="3">
        <f>'S28 Transportation Matrix'!Y34</f>
        <v>0</v>
      </c>
      <c r="AD32" s="3">
        <f>'S28 Transportation Matrix'!Z34</f>
        <v>0</v>
      </c>
      <c r="AE32" s="3">
        <f>'S28 Transportation Matrix'!AA34</f>
        <v>0</v>
      </c>
      <c r="AF32" s="3">
        <f>'S28 Transportation Matrix'!AB34</f>
        <v>0</v>
      </c>
      <c r="AG32" s="3">
        <f>'S28 Transportation Matrix'!AC34</f>
        <v>0</v>
      </c>
      <c r="AH32" s="3">
        <f>'S28 Transportation Matrix'!AD34</f>
        <v>0</v>
      </c>
      <c r="AI32" s="3">
        <f>'S28 Transportation Matrix'!AE34</f>
        <v>0</v>
      </c>
      <c r="AJ32" s="3">
        <f>'S28 Transportation Matrix'!AF34</f>
        <v>0</v>
      </c>
      <c r="AK32" s="3">
        <f>'S28 Transportation Matrix'!AG34</f>
        <v>71</v>
      </c>
      <c r="AL32" s="3">
        <f>'S28 Transportation Matrix'!AH34</f>
        <v>0</v>
      </c>
      <c r="AM32" s="3">
        <f>'S28 Transportation Matrix'!AI34</f>
        <v>0</v>
      </c>
      <c r="AN32" s="3">
        <f>'S28 Transportation Matrix'!AJ34</f>
        <v>0</v>
      </c>
      <c r="AO32" s="3">
        <f>'S28 Transportation Matrix'!AK34</f>
        <v>0</v>
      </c>
      <c r="AP32" s="3">
        <f>'S28 Transportation Matrix'!AL34</f>
        <v>0</v>
      </c>
      <c r="AQ32" s="3">
        <f>'S28 Transportation Matrix'!AM34</f>
        <v>0</v>
      </c>
      <c r="AR32" s="3">
        <f>'S28 Transportation Matrix'!AN34</f>
        <v>0</v>
      </c>
      <c r="AS32" s="3">
        <f>'S28 Transportation Matrix'!AO34</f>
        <v>0</v>
      </c>
      <c r="AT32" s="3">
        <f>'S28 Transportation Matrix'!AP34</f>
        <v>0</v>
      </c>
      <c r="AU32" s="3">
        <f>'S28 Transportation Matrix'!AQ34</f>
        <v>0</v>
      </c>
      <c r="AV32" s="3">
        <f>'S28 Transportation Matrix'!AR34</f>
        <v>0</v>
      </c>
      <c r="AW32" s="3">
        <f>'S28 Transportation Matrix'!AS34</f>
        <v>0</v>
      </c>
    </row>
    <row r="33" spans="1:49">
      <c r="A33" s="3">
        <f>IFERROR(ROUND(SQRT(VLOOKUP(E33, 'S26 Space Requirements'!$B$5:$P$30, 15, 0)), 0), "")</f>
        <v>36</v>
      </c>
      <c r="E33" s="399" t="s">
        <v>1093</v>
      </c>
      <c r="F33" s="3">
        <f>'S28 Transportation Matrix'!B35</f>
        <v>0</v>
      </c>
      <c r="G33" s="3">
        <f>'S28 Transportation Matrix'!C35</f>
        <v>0</v>
      </c>
      <c r="H33" s="3">
        <f>'S28 Transportation Matrix'!D35</f>
        <v>0</v>
      </c>
      <c r="I33" s="3">
        <f>'S28 Transportation Matrix'!E35</f>
        <v>0</v>
      </c>
      <c r="J33" s="3">
        <f>'S28 Transportation Matrix'!F35</f>
        <v>0</v>
      </c>
      <c r="K33" s="3">
        <f>'S28 Transportation Matrix'!G35</f>
        <v>0</v>
      </c>
      <c r="L33" s="3">
        <f>'S28 Transportation Matrix'!H35</f>
        <v>0</v>
      </c>
      <c r="M33" s="3">
        <f>'S28 Transportation Matrix'!I35</f>
        <v>0</v>
      </c>
      <c r="N33" s="3">
        <f>'S28 Transportation Matrix'!J35</f>
        <v>0</v>
      </c>
      <c r="O33" s="3">
        <f>'S28 Transportation Matrix'!K35</f>
        <v>0</v>
      </c>
      <c r="P33" s="3">
        <f>'S28 Transportation Matrix'!L35</f>
        <v>0</v>
      </c>
      <c r="Q33" s="3">
        <f>'S28 Transportation Matrix'!M35</f>
        <v>0</v>
      </c>
      <c r="R33" s="3">
        <f>'S28 Transportation Matrix'!N35</f>
        <v>0</v>
      </c>
      <c r="S33" s="3">
        <f>'S28 Transportation Matrix'!O35</f>
        <v>0</v>
      </c>
      <c r="T33" s="3">
        <f>'S28 Transportation Matrix'!P35</f>
        <v>0</v>
      </c>
      <c r="U33" s="3">
        <f>'S28 Transportation Matrix'!Q35</f>
        <v>0</v>
      </c>
      <c r="V33" s="3">
        <f>'S28 Transportation Matrix'!R35</f>
        <v>0</v>
      </c>
      <c r="W33" s="3">
        <f>'S28 Transportation Matrix'!S35</f>
        <v>0</v>
      </c>
      <c r="X33" s="3">
        <f>'S28 Transportation Matrix'!T35</f>
        <v>0</v>
      </c>
      <c r="Y33" s="3">
        <f>'S28 Transportation Matrix'!U35</f>
        <v>0</v>
      </c>
      <c r="Z33" s="3">
        <f>'S28 Transportation Matrix'!V35</f>
        <v>0</v>
      </c>
      <c r="AA33" s="3">
        <f>'S28 Transportation Matrix'!W35</f>
        <v>0</v>
      </c>
      <c r="AB33" s="3">
        <f>'S28 Transportation Matrix'!X35</f>
        <v>0</v>
      </c>
      <c r="AC33" s="3">
        <f>'S28 Transportation Matrix'!Y35</f>
        <v>0</v>
      </c>
      <c r="AD33" s="3">
        <f>'S28 Transportation Matrix'!Z35</f>
        <v>0</v>
      </c>
      <c r="AE33" s="3">
        <f>'S28 Transportation Matrix'!AA35</f>
        <v>0</v>
      </c>
      <c r="AF33" s="3">
        <f>'S28 Transportation Matrix'!AB35</f>
        <v>0</v>
      </c>
      <c r="AG33" s="3">
        <f>'S28 Transportation Matrix'!AC35</f>
        <v>0</v>
      </c>
      <c r="AH33" s="3">
        <f>'S28 Transportation Matrix'!AD35</f>
        <v>0</v>
      </c>
      <c r="AI33" s="3">
        <f>'S28 Transportation Matrix'!AE35</f>
        <v>0</v>
      </c>
      <c r="AJ33" s="3">
        <f>'S28 Transportation Matrix'!AF35</f>
        <v>0</v>
      </c>
      <c r="AK33" s="3">
        <f>'S28 Transportation Matrix'!AG35</f>
        <v>0</v>
      </c>
      <c r="AL33" s="3">
        <f>'S28 Transportation Matrix'!AH35</f>
        <v>0</v>
      </c>
      <c r="AM33" s="3">
        <f>'S28 Transportation Matrix'!AI35</f>
        <v>0</v>
      </c>
      <c r="AN33" s="3">
        <f>'S28 Transportation Matrix'!AJ35</f>
        <v>0</v>
      </c>
      <c r="AO33" s="3">
        <f>'S28 Transportation Matrix'!AK35</f>
        <v>0</v>
      </c>
      <c r="AP33" s="3">
        <f>'S28 Transportation Matrix'!AL35</f>
        <v>0</v>
      </c>
      <c r="AQ33" s="3">
        <f>'S28 Transportation Matrix'!AM35</f>
        <v>0</v>
      </c>
      <c r="AR33" s="3">
        <f>'S28 Transportation Matrix'!AN35</f>
        <v>0</v>
      </c>
      <c r="AS33" s="3">
        <f>'S28 Transportation Matrix'!AO35</f>
        <v>0</v>
      </c>
      <c r="AT33" s="3">
        <f>'S28 Transportation Matrix'!AP35</f>
        <v>0</v>
      </c>
      <c r="AU33" s="3">
        <f>'S28 Transportation Matrix'!AQ35</f>
        <v>44</v>
      </c>
      <c r="AV33" s="3">
        <f>'S28 Transportation Matrix'!AR35</f>
        <v>0</v>
      </c>
      <c r="AW33" s="3">
        <f>'S28 Transportation Matrix'!AS35</f>
        <v>184</v>
      </c>
    </row>
    <row r="34" spans="1:49">
      <c r="A34" s="3">
        <f>IFERROR(ROUND(SQRT(VLOOKUP(E34, 'S26 Space Requirements'!$B$5:$P$30, 15, 0)), 0), "")</f>
        <v>22</v>
      </c>
      <c r="E34" s="399" t="s">
        <v>1094</v>
      </c>
      <c r="F34" s="3">
        <f>'S28 Transportation Matrix'!B36</f>
        <v>0</v>
      </c>
      <c r="G34" s="3">
        <f>'S28 Transportation Matrix'!C36</f>
        <v>0</v>
      </c>
      <c r="H34" s="3">
        <f>'S28 Transportation Matrix'!D36</f>
        <v>0</v>
      </c>
      <c r="I34" s="3">
        <f>'S28 Transportation Matrix'!E36</f>
        <v>0</v>
      </c>
      <c r="J34" s="3">
        <f>'S28 Transportation Matrix'!F36</f>
        <v>0</v>
      </c>
      <c r="K34" s="3">
        <f>'S28 Transportation Matrix'!G36</f>
        <v>0</v>
      </c>
      <c r="L34" s="3">
        <f>'S28 Transportation Matrix'!H36</f>
        <v>0</v>
      </c>
      <c r="M34" s="3">
        <f>'S28 Transportation Matrix'!I36</f>
        <v>0</v>
      </c>
      <c r="N34" s="3">
        <f>'S28 Transportation Matrix'!J36</f>
        <v>0</v>
      </c>
      <c r="O34" s="3">
        <f>'S28 Transportation Matrix'!K36</f>
        <v>0</v>
      </c>
      <c r="P34" s="3">
        <f>'S28 Transportation Matrix'!L36</f>
        <v>0</v>
      </c>
      <c r="Q34" s="3">
        <f>'S28 Transportation Matrix'!M36</f>
        <v>0</v>
      </c>
      <c r="R34" s="3">
        <f>'S28 Transportation Matrix'!N36</f>
        <v>0</v>
      </c>
      <c r="S34" s="3">
        <f>'S28 Transportation Matrix'!O36</f>
        <v>0</v>
      </c>
      <c r="T34" s="3">
        <f>'S28 Transportation Matrix'!P36</f>
        <v>0</v>
      </c>
      <c r="U34" s="3">
        <f>'S28 Transportation Matrix'!Q36</f>
        <v>0</v>
      </c>
      <c r="V34" s="3">
        <f>'S28 Transportation Matrix'!R36</f>
        <v>0</v>
      </c>
      <c r="W34" s="3">
        <f>'S28 Transportation Matrix'!S36</f>
        <v>0</v>
      </c>
      <c r="X34" s="3">
        <f>'S28 Transportation Matrix'!T36</f>
        <v>0</v>
      </c>
      <c r="Y34" s="3">
        <f>'S28 Transportation Matrix'!U36</f>
        <v>0</v>
      </c>
      <c r="Z34" s="3">
        <f>'S28 Transportation Matrix'!V36</f>
        <v>0</v>
      </c>
      <c r="AA34" s="3">
        <f>'S28 Transportation Matrix'!W36</f>
        <v>0</v>
      </c>
      <c r="AB34" s="3">
        <f>'S28 Transportation Matrix'!X36</f>
        <v>0</v>
      </c>
      <c r="AC34" s="3">
        <f>'S28 Transportation Matrix'!Y36</f>
        <v>0</v>
      </c>
      <c r="AD34" s="3">
        <f>'S28 Transportation Matrix'!Z36</f>
        <v>0</v>
      </c>
      <c r="AE34" s="3">
        <f>'S28 Transportation Matrix'!AA36</f>
        <v>0</v>
      </c>
      <c r="AF34" s="3">
        <f>'S28 Transportation Matrix'!AB36</f>
        <v>0</v>
      </c>
      <c r="AG34" s="3">
        <f>'S28 Transportation Matrix'!AC36</f>
        <v>0</v>
      </c>
      <c r="AH34" s="3">
        <f>'S28 Transportation Matrix'!AD36</f>
        <v>0</v>
      </c>
      <c r="AI34" s="3">
        <f>'S28 Transportation Matrix'!AE36</f>
        <v>0</v>
      </c>
      <c r="AJ34" s="3">
        <f>'S28 Transportation Matrix'!AF36</f>
        <v>0</v>
      </c>
      <c r="AK34" s="3">
        <f>'S28 Transportation Matrix'!AG36</f>
        <v>0</v>
      </c>
      <c r="AL34" s="3">
        <f>'S28 Transportation Matrix'!AH36</f>
        <v>0</v>
      </c>
      <c r="AM34" s="3">
        <f>'S28 Transportation Matrix'!AI36</f>
        <v>0</v>
      </c>
      <c r="AN34" s="3">
        <f>'S28 Transportation Matrix'!AJ36</f>
        <v>0</v>
      </c>
      <c r="AO34" s="3">
        <f>'S28 Transportation Matrix'!AK36</f>
        <v>0</v>
      </c>
      <c r="AP34" s="3">
        <f>'S28 Transportation Matrix'!AL36</f>
        <v>0</v>
      </c>
      <c r="AQ34" s="3">
        <f>'S28 Transportation Matrix'!AM36</f>
        <v>0</v>
      </c>
      <c r="AR34" s="3">
        <f>'S28 Transportation Matrix'!AN36</f>
        <v>0</v>
      </c>
      <c r="AS34" s="3">
        <f>'S28 Transportation Matrix'!AO36</f>
        <v>0</v>
      </c>
      <c r="AT34" s="3">
        <f>'S28 Transportation Matrix'!AP36</f>
        <v>0</v>
      </c>
      <c r="AU34" s="3">
        <f>'S28 Transportation Matrix'!AQ36</f>
        <v>0</v>
      </c>
      <c r="AV34" s="3">
        <f>'S28 Transportation Matrix'!AR36</f>
        <v>0</v>
      </c>
      <c r="AW34" s="3">
        <f>'S28 Transportation Matrix'!AS36</f>
        <v>151</v>
      </c>
    </row>
    <row r="35" spans="1:49">
      <c r="A35" s="3">
        <f>IFERROR(ROUND(SQRT(VLOOKUP(E35, 'S26 Space Requirements'!$B$5:$P$30, 15, 0)), 0), "")</f>
        <v>48</v>
      </c>
      <c r="E35" s="399" t="s">
        <v>1096</v>
      </c>
      <c r="F35" s="3">
        <f>'S28 Transportation Matrix'!B37</f>
        <v>0</v>
      </c>
      <c r="G35" s="3">
        <f>'S28 Transportation Matrix'!C37</f>
        <v>0</v>
      </c>
      <c r="H35" s="3">
        <f>'S28 Transportation Matrix'!D37</f>
        <v>0</v>
      </c>
      <c r="I35" s="3">
        <f>'S28 Transportation Matrix'!E37</f>
        <v>0</v>
      </c>
      <c r="J35" s="3">
        <f>'S28 Transportation Matrix'!F37</f>
        <v>0</v>
      </c>
      <c r="K35" s="3">
        <f>'S28 Transportation Matrix'!G37</f>
        <v>0</v>
      </c>
      <c r="L35" s="3">
        <f>'S28 Transportation Matrix'!H37</f>
        <v>0</v>
      </c>
      <c r="M35" s="3">
        <f>'S28 Transportation Matrix'!I37</f>
        <v>0</v>
      </c>
      <c r="N35" s="3">
        <f>'S28 Transportation Matrix'!J37</f>
        <v>0</v>
      </c>
      <c r="O35" s="3">
        <f>'S28 Transportation Matrix'!K37</f>
        <v>0</v>
      </c>
      <c r="P35" s="3">
        <f>'S28 Transportation Matrix'!L37</f>
        <v>0</v>
      </c>
      <c r="Q35" s="3">
        <f>'S28 Transportation Matrix'!M37</f>
        <v>0</v>
      </c>
      <c r="R35" s="3">
        <f>'S28 Transportation Matrix'!N37</f>
        <v>0</v>
      </c>
      <c r="S35" s="3">
        <f>'S28 Transportation Matrix'!O37</f>
        <v>0</v>
      </c>
      <c r="T35" s="3">
        <f>'S28 Transportation Matrix'!P37</f>
        <v>0</v>
      </c>
      <c r="U35" s="3">
        <f>'S28 Transportation Matrix'!Q37</f>
        <v>0</v>
      </c>
      <c r="V35" s="3">
        <f>'S28 Transportation Matrix'!R37</f>
        <v>0</v>
      </c>
      <c r="W35" s="3">
        <f>'S28 Transportation Matrix'!S37</f>
        <v>0</v>
      </c>
      <c r="X35" s="3">
        <f>'S28 Transportation Matrix'!T37</f>
        <v>0</v>
      </c>
      <c r="Y35" s="3">
        <f>'S28 Transportation Matrix'!U37</f>
        <v>0</v>
      </c>
      <c r="Z35" s="3">
        <f>'S28 Transportation Matrix'!V37</f>
        <v>0</v>
      </c>
      <c r="AA35" s="3">
        <f>'S28 Transportation Matrix'!W37</f>
        <v>0</v>
      </c>
      <c r="AB35" s="3">
        <f>'S28 Transportation Matrix'!X37</f>
        <v>0</v>
      </c>
      <c r="AC35" s="3">
        <f>'S28 Transportation Matrix'!Y37</f>
        <v>0</v>
      </c>
      <c r="AD35" s="3">
        <f>'S28 Transportation Matrix'!Z37</f>
        <v>0</v>
      </c>
      <c r="AE35" s="3">
        <f>'S28 Transportation Matrix'!AA37</f>
        <v>0</v>
      </c>
      <c r="AF35" s="3">
        <f>'S28 Transportation Matrix'!AB37</f>
        <v>0</v>
      </c>
      <c r="AG35" s="3">
        <f>'S28 Transportation Matrix'!AC37</f>
        <v>0</v>
      </c>
      <c r="AH35" s="3">
        <f>'S28 Transportation Matrix'!AD37</f>
        <v>0</v>
      </c>
      <c r="AI35" s="3">
        <f>'S28 Transportation Matrix'!AE37</f>
        <v>0</v>
      </c>
      <c r="AJ35" s="3">
        <f>'S28 Transportation Matrix'!AF37</f>
        <v>0</v>
      </c>
      <c r="AK35" s="3">
        <f>'S28 Transportation Matrix'!AG37</f>
        <v>0</v>
      </c>
      <c r="AL35" s="3">
        <f>'S28 Transportation Matrix'!AH37</f>
        <v>0</v>
      </c>
      <c r="AM35" s="3">
        <f>'S28 Transportation Matrix'!AI37</f>
        <v>0</v>
      </c>
      <c r="AN35" s="3">
        <f>'S28 Transportation Matrix'!AJ37</f>
        <v>0</v>
      </c>
      <c r="AO35" s="3">
        <f>'S28 Transportation Matrix'!AK37</f>
        <v>0</v>
      </c>
      <c r="AP35" s="3">
        <f>'S28 Transportation Matrix'!AL37</f>
        <v>0</v>
      </c>
      <c r="AQ35" s="3">
        <f>'S28 Transportation Matrix'!AM37</f>
        <v>0</v>
      </c>
      <c r="AR35" s="3">
        <f>'S28 Transportation Matrix'!AN37</f>
        <v>0</v>
      </c>
      <c r="AS35" s="3">
        <f>'S28 Transportation Matrix'!AO37</f>
        <v>0</v>
      </c>
      <c r="AT35" s="3">
        <f>'S28 Transportation Matrix'!AP37</f>
        <v>0</v>
      </c>
      <c r="AU35" s="3">
        <f>'S28 Transportation Matrix'!AQ37</f>
        <v>0</v>
      </c>
      <c r="AV35" s="3">
        <f>'S28 Transportation Matrix'!AR37</f>
        <v>0</v>
      </c>
      <c r="AW35" s="3">
        <f>'S28 Transportation Matrix'!AS37</f>
        <v>213</v>
      </c>
    </row>
    <row r="36" spans="1:49">
      <c r="A36" s="3" t="str">
        <f>IFERROR(ROUND(SQRT(VLOOKUP(E36, 'S26 Space Requirements'!$B$5:$P$30, 15, 0)), 0), "")</f>
        <v/>
      </c>
      <c r="E36" s="399" t="s">
        <v>1098</v>
      </c>
      <c r="F36" s="3">
        <f>'S28 Transportation Matrix'!B38</f>
        <v>0</v>
      </c>
      <c r="G36" s="3">
        <f>'S28 Transportation Matrix'!C38</f>
        <v>0</v>
      </c>
      <c r="H36" s="3">
        <f>'S28 Transportation Matrix'!D38</f>
        <v>0</v>
      </c>
      <c r="I36" s="3">
        <f>'S28 Transportation Matrix'!E38</f>
        <v>0</v>
      </c>
      <c r="J36" s="3">
        <f>'S28 Transportation Matrix'!F38</f>
        <v>0</v>
      </c>
      <c r="K36" s="3">
        <f>'S28 Transportation Matrix'!G38</f>
        <v>0</v>
      </c>
      <c r="L36" s="3">
        <f>'S28 Transportation Matrix'!H38</f>
        <v>0</v>
      </c>
      <c r="M36" s="3">
        <f>'S28 Transportation Matrix'!I38</f>
        <v>0</v>
      </c>
      <c r="N36" s="3">
        <f>'S28 Transportation Matrix'!J38</f>
        <v>0</v>
      </c>
      <c r="O36" s="3">
        <f>'S28 Transportation Matrix'!K38</f>
        <v>0</v>
      </c>
      <c r="P36" s="3">
        <f>'S28 Transportation Matrix'!L38</f>
        <v>0</v>
      </c>
      <c r="Q36" s="3">
        <f>'S28 Transportation Matrix'!M38</f>
        <v>0</v>
      </c>
      <c r="R36" s="3">
        <f>'S28 Transportation Matrix'!N38</f>
        <v>0</v>
      </c>
      <c r="S36" s="3">
        <f>'S28 Transportation Matrix'!O38</f>
        <v>0</v>
      </c>
      <c r="T36" s="3">
        <f>'S28 Transportation Matrix'!P38</f>
        <v>0</v>
      </c>
      <c r="U36" s="3">
        <f>'S28 Transportation Matrix'!Q38</f>
        <v>0</v>
      </c>
      <c r="V36" s="3">
        <f>'S28 Transportation Matrix'!R38</f>
        <v>0</v>
      </c>
      <c r="W36" s="3">
        <f>'S28 Transportation Matrix'!S38</f>
        <v>0</v>
      </c>
      <c r="X36" s="3">
        <f>'S28 Transportation Matrix'!T38</f>
        <v>0</v>
      </c>
      <c r="Y36" s="3">
        <f>'S28 Transportation Matrix'!U38</f>
        <v>0</v>
      </c>
      <c r="Z36" s="3">
        <f>'S28 Transportation Matrix'!V38</f>
        <v>0</v>
      </c>
      <c r="AA36" s="3">
        <f>'S28 Transportation Matrix'!W38</f>
        <v>0</v>
      </c>
      <c r="AB36" s="3">
        <f>'S28 Transportation Matrix'!X38</f>
        <v>0</v>
      </c>
      <c r="AC36" s="3">
        <f>'S28 Transportation Matrix'!Y38</f>
        <v>0</v>
      </c>
      <c r="AD36" s="3">
        <f>'S28 Transportation Matrix'!Z38</f>
        <v>0</v>
      </c>
      <c r="AE36" s="3">
        <f>'S28 Transportation Matrix'!AA38</f>
        <v>0</v>
      </c>
      <c r="AF36" s="3">
        <f>'S28 Transportation Matrix'!AB38</f>
        <v>0</v>
      </c>
      <c r="AG36" s="3">
        <f>'S28 Transportation Matrix'!AC38</f>
        <v>0</v>
      </c>
      <c r="AH36" s="3">
        <f>'S28 Transportation Matrix'!AD38</f>
        <v>0</v>
      </c>
      <c r="AI36" s="3">
        <f>'S28 Transportation Matrix'!AE38</f>
        <v>0</v>
      </c>
      <c r="AJ36" s="3">
        <f>'S28 Transportation Matrix'!AF38</f>
        <v>0</v>
      </c>
      <c r="AK36" s="3">
        <f>'S28 Transportation Matrix'!AG38</f>
        <v>0</v>
      </c>
      <c r="AL36" s="3">
        <f>'S28 Transportation Matrix'!AH38</f>
        <v>0</v>
      </c>
      <c r="AM36" s="3">
        <f>'S28 Transportation Matrix'!AI38</f>
        <v>0</v>
      </c>
      <c r="AN36" s="3">
        <f>'S28 Transportation Matrix'!AJ38</f>
        <v>0</v>
      </c>
      <c r="AO36" s="3">
        <f>'S28 Transportation Matrix'!AK38</f>
        <v>0</v>
      </c>
      <c r="AP36" s="3">
        <f>'S28 Transportation Matrix'!AL38</f>
        <v>0</v>
      </c>
      <c r="AQ36" s="3">
        <f>'S28 Transportation Matrix'!AM38</f>
        <v>0</v>
      </c>
      <c r="AR36" s="3">
        <f>'S28 Transportation Matrix'!AN38</f>
        <v>0</v>
      </c>
      <c r="AS36" s="3">
        <f>'S28 Transportation Matrix'!AO38</f>
        <v>0</v>
      </c>
      <c r="AT36" s="3">
        <f>'S28 Transportation Matrix'!AP38</f>
        <v>0</v>
      </c>
      <c r="AU36" s="3">
        <f>'S28 Transportation Matrix'!AQ38</f>
        <v>0</v>
      </c>
      <c r="AV36" s="3">
        <f>'S28 Transportation Matrix'!AR38</f>
        <v>0</v>
      </c>
      <c r="AW36" s="3">
        <f>'S28 Transportation Matrix'!AS38</f>
        <v>0</v>
      </c>
    </row>
    <row r="37" spans="1:49">
      <c r="A37" s="3">
        <f>IFERROR(ROUND(SQRT(VLOOKUP(E37, 'S26 Space Requirements'!$B$5:$P$30, 15, 0)), 0), "")</f>
        <v>15</v>
      </c>
      <c r="E37" s="399" t="s">
        <v>1100</v>
      </c>
      <c r="F37" s="3">
        <f>'S28 Transportation Matrix'!B39</f>
        <v>0</v>
      </c>
      <c r="G37" s="3">
        <f>'S28 Transportation Matrix'!C39</f>
        <v>0</v>
      </c>
      <c r="H37" s="3">
        <f>'S28 Transportation Matrix'!D39</f>
        <v>0</v>
      </c>
      <c r="I37" s="3">
        <f>'S28 Transportation Matrix'!E39</f>
        <v>0</v>
      </c>
      <c r="J37" s="3">
        <f>'S28 Transportation Matrix'!F39</f>
        <v>213</v>
      </c>
      <c r="K37" s="3">
        <f>'S28 Transportation Matrix'!G39</f>
        <v>0</v>
      </c>
      <c r="L37" s="3">
        <f>'S28 Transportation Matrix'!H39</f>
        <v>0</v>
      </c>
      <c r="M37" s="3">
        <f>'S28 Transportation Matrix'!I39</f>
        <v>0</v>
      </c>
      <c r="N37" s="3">
        <f>'S28 Transportation Matrix'!J39</f>
        <v>0</v>
      </c>
      <c r="O37" s="3">
        <f>'S28 Transportation Matrix'!K39</f>
        <v>0</v>
      </c>
      <c r="P37" s="3">
        <f>'S28 Transportation Matrix'!L39</f>
        <v>0</v>
      </c>
      <c r="Q37" s="3">
        <f>'S28 Transportation Matrix'!M39</f>
        <v>0</v>
      </c>
      <c r="R37" s="3">
        <f>'S28 Transportation Matrix'!N39</f>
        <v>0</v>
      </c>
      <c r="S37" s="3">
        <f>'S28 Transportation Matrix'!O39</f>
        <v>0</v>
      </c>
      <c r="T37" s="3">
        <f>'S28 Transportation Matrix'!P39</f>
        <v>0</v>
      </c>
      <c r="U37" s="3">
        <f>'S28 Transportation Matrix'!Q39</f>
        <v>0</v>
      </c>
      <c r="V37" s="3">
        <f>'S28 Transportation Matrix'!R39</f>
        <v>0</v>
      </c>
      <c r="W37" s="3">
        <f>'S28 Transportation Matrix'!S39</f>
        <v>0</v>
      </c>
      <c r="X37" s="3">
        <f>'S28 Transportation Matrix'!T39</f>
        <v>0</v>
      </c>
      <c r="Y37" s="3">
        <f>'S28 Transportation Matrix'!U39</f>
        <v>0</v>
      </c>
      <c r="Z37" s="3">
        <f>'S28 Transportation Matrix'!V39</f>
        <v>0</v>
      </c>
      <c r="AA37" s="3">
        <f>'S28 Transportation Matrix'!W39</f>
        <v>0</v>
      </c>
      <c r="AB37" s="3">
        <f>'S28 Transportation Matrix'!X39</f>
        <v>0</v>
      </c>
      <c r="AC37" s="3">
        <f>'S28 Transportation Matrix'!Y39</f>
        <v>0</v>
      </c>
      <c r="AD37" s="3">
        <f>'S28 Transportation Matrix'!Z39</f>
        <v>0</v>
      </c>
      <c r="AE37" s="3">
        <f>'S28 Transportation Matrix'!AA39</f>
        <v>0</v>
      </c>
      <c r="AF37" s="3">
        <f>'S28 Transportation Matrix'!AB39</f>
        <v>0</v>
      </c>
      <c r="AG37" s="3">
        <f>'S28 Transportation Matrix'!AC39</f>
        <v>0</v>
      </c>
      <c r="AH37" s="3">
        <f>'S28 Transportation Matrix'!AD39</f>
        <v>0</v>
      </c>
      <c r="AI37" s="3">
        <f>'S28 Transportation Matrix'!AE39</f>
        <v>0</v>
      </c>
      <c r="AJ37" s="3">
        <f>'S28 Transportation Matrix'!AF39</f>
        <v>0</v>
      </c>
      <c r="AK37" s="3">
        <f>'S28 Transportation Matrix'!AG39</f>
        <v>0</v>
      </c>
      <c r="AL37" s="3">
        <f>'S28 Transportation Matrix'!AH39</f>
        <v>0</v>
      </c>
      <c r="AM37" s="3">
        <f>'S28 Transportation Matrix'!AI39</f>
        <v>0</v>
      </c>
      <c r="AN37" s="3">
        <f>'S28 Transportation Matrix'!AJ39</f>
        <v>0</v>
      </c>
      <c r="AO37" s="3">
        <f>'S28 Transportation Matrix'!AK39</f>
        <v>0</v>
      </c>
      <c r="AP37" s="3">
        <f>'S28 Transportation Matrix'!AL39</f>
        <v>0</v>
      </c>
      <c r="AQ37" s="3">
        <f>'S28 Transportation Matrix'!AM39</f>
        <v>0</v>
      </c>
      <c r="AR37" s="3">
        <f>'S28 Transportation Matrix'!AN39</f>
        <v>0</v>
      </c>
      <c r="AS37" s="3">
        <f>'S28 Transportation Matrix'!AO39</f>
        <v>0</v>
      </c>
      <c r="AT37" s="3">
        <f>'S28 Transportation Matrix'!AP39</f>
        <v>0</v>
      </c>
      <c r="AU37" s="3">
        <f>'S28 Transportation Matrix'!AQ39</f>
        <v>0</v>
      </c>
      <c r="AV37" s="3">
        <f>'S28 Transportation Matrix'!AR39</f>
        <v>0</v>
      </c>
      <c r="AW37" s="3">
        <f>'S28 Transportation Matrix'!AS39</f>
        <v>0</v>
      </c>
    </row>
    <row r="38" spans="1:49">
      <c r="A38" s="3" t="str">
        <f>IFERROR(ROUND(SQRT(VLOOKUP(E38, 'S26 Space Requirements'!$B$5:$P$30, 15, 0)), 0), "")</f>
        <v/>
      </c>
      <c r="E38" s="399" t="s">
        <v>1101</v>
      </c>
      <c r="F38" s="3">
        <f>'S28 Transportation Matrix'!B40</f>
        <v>0</v>
      </c>
      <c r="G38" s="3">
        <f>'S28 Transportation Matrix'!C40</f>
        <v>0</v>
      </c>
      <c r="H38" s="3">
        <f>'S28 Transportation Matrix'!D40</f>
        <v>0</v>
      </c>
      <c r="I38" s="3">
        <f>'S28 Transportation Matrix'!E40</f>
        <v>0</v>
      </c>
      <c r="J38" s="3">
        <f>'S28 Transportation Matrix'!F40</f>
        <v>0</v>
      </c>
      <c r="K38" s="3">
        <f>'S28 Transportation Matrix'!G40</f>
        <v>0</v>
      </c>
      <c r="L38" s="3">
        <f>'S28 Transportation Matrix'!H40</f>
        <v>0</v>
      </c>
      <c r="M38" s="3">
        <f>'S28 Transportation Matrix'!I40</f>
        <v>0</v>
      </c>
      <c r="N38" s="3">
        <f>'S28 Transportation Matrix'!J40</f>
        <v>0</v>
      </c>
      <c r="O38" s="3">
        <f>'S28 Transportation Matrix'!K40</f>
        <v>0</v>
      </c>
      <c r="P38" s="3">
        <f>'S28 Transportation Matrix'!L40</f>
        <v>0</v>
      </c>
      <c r="Q38" s="3">
        <f>'S28 Transportation Matrix'!M40</f>
        <v>0</v>
      </c>
      <c r="R38" s="3">
        <f>'S28 Transportation Matrix'!N40</f>
        <v>0</v>
      </c>
      <c r="S38" s="3">
        <f>'S28 Transportation Matrix'!O40</f>
        <v>0</v>
      </c>
      <c r="T38" s="3">
        <f>'S28 Transportation Matrix'!P40</f>
        <v>0</v>
      </c>
      <c r="U38" s="3">
        <f>'S28 Transportation Matrix'!Q40</f>
        <v>0</v>
      </c>
      <c r="V38" s="3">
        <f>'S28 Transportation Matrix'!R40</f>
        <v>0</v>
      </c>
      <c r="W38" s="3">
        <f>'S28 Transportation Matrix'!S40</f>
        <v>0</v>
      </c>
      <c r="X38" s="3">
        <f>'S28 Transportation Matrix'!T40</f>
        <v>0</v>
      </c>
      <c r="Y38" s="3">
        <f>'S28 Transportation Matrix'!U40</f>
        <v>0</v>
      </c>
      <c r="Z38" s="3">
        <f>'S28 Transportation Matrix'!V40</f>
        <v>0</v>
      </c>
      <c r="AA38" s="3">
        <f>'S28 Transportation Matrix'!W40</f>
        <v>0</v>
      </c>
      <c r="AB38" s="3">
        <f>'S28 Transportation Matrix'!X40</f>
        <v>0</v>
      </c>
      <c r="AC38" s="3">
        <f>'S28 Transportation Matrix'!Y40</f>
        <v>0</v>
      </c>
      <c r="AD38" s="3">
        <f>'S28 Transportation Matrix'!Z40</f>
        <v>0</v>
      </c>
      <c r="AE38" s="3">
        <f>'S28 Transportation Matrix'!AA40</f>
        <v>0</v>
      </c>
      <c r="AF38" s="3">
        <f>'S28 Transportation Matrix'!AB40</f>
        <v>0</v>
      </c>
      <c r="AG38" s="3">
        <f>'S28 Transportation Matrix'!AC40</f>
        <v>0</v>
      </c>
      <c r="AH38" s="3">
        <f>'S28 Transportation Matrix'!AD40</f>
        <v>0</v>
      </c>
      <c r="AI38" s="3">
        <f>'S28 Transportation Matrix'!AE40</f>
        <v>0</v>
      </c>
      <c r="AJ38" s="3">
        <f>'S28 Transportation Matrix'!AF40</f>
        <v>0</v>
      </c>
      <c r="AK38" s="3">
        <f>'S28 Transportation Matrix'!AG40</f>
        <v>0</v>
      </c>
      <c r="AL38" s="3">
        <f>'S28 Transportation Matrix'!AH40</f>
        <v>0</v>
      </c>
      <c r="AM38" s="3">
        <f>'S28 Transportation Matrix'!AI40</f>
        <v>0</v>
      </c>
      <c r="AN38" s="3">
        <f>'S28 Transportation Matrix'!AJ40</f>
        <v>0</v>
      </c>
      <c r="AO38" s="3">
        <f>'S28 Transportation Matrix'!AK40</f>
        <v>0</v>
      </c>
      <c r="AP38" s="3">
        <f>'S28 Transportation Matrix'!AL40</f>
        <v>0</v>
      </c>
      <c r="AQ38" s="3">
        <f>'S28 Transportation Matrix'!AM40</f>
        <v>0</v>
      </c>
      <c r="AR38" s="3">
        <f>'S28 Transportation Matrix'!AN40</f>
        <v>0</v>
      </c>
      <c r="AS38" s="3">
        <f>'S28 Transportation Matrix'!AO40</f>
        <v>0</v>
      </c>
      <c r="AT38" s="3">
        <f>'S28 Transportation Matrix'!AP40</f>
        <v>0</v>
      </c>
      <c r="AU38" s="3">
        <f>'S28 Transportation Matrix'!AQ40</f>
        <v>0</v>
      </c>
      <c r="AV38" s="3">
        <f>'S28 Transportation Matrix'!AR40</f>
        <v>0</v>
      </c>
      <c r="AW38" s="3">
        <f>'S28 Transportation Matrix'!AS40</f>
        <v>0</v>
      </c>
    </row>
    <row r="39" spans="1:49">
      <c r="A39" s="3">
        <f>IFERROR(ROUND(SQRT(VLOOKUP(E39, 'S26 Space Requirements'!$B$5:$P$30, 15, 0)), 0), "")</f>
        <v>11</v>
      </c>
      <c r="E39" s="399" t="s">
        <v>1103</v>
      </c>
      <c r="F39" s="3">
        <f>'S28 Transportation Matrix'!B41</f>
        <v>0</v>
      </c>
      <c r="G39" s="3">
        <f>'S28 Transportation Matrix'!C41</f>
        <v>0</v>
      </c>
      <c r="H39" s="3">
        <f>'S28 Transportation Matrix'!D41</f>
        <v>0</v>
      </c>
      <c r="I39" s="3">
        <f>'S28 Transportation Matrix'!E41</f>
        <v>0</v>
      </c>
      <c r="J39" s="3">
        <f>'S28 Transportation Matrix'!F41</f>
        <v>0</v>
      </c>
      <c r="K39" s="3">
        <f>'S28 Transportation Matrix'!G41</f>
        <v>0</v>
      </c>
      <c r="L39" s="3">
        <f>'S28 Transportation Matrix'!H41</f>
        <v>89</v>
      </c>
      <c r="M39" s="3">
        <f>'S28 Transportation Matrix'!I41</f>
        <v>0</v>
      </c>
      <c r="N39" s="3">
        <f>'S28 Transportation Matrix'!J41</f>
        <v>0</v>
      </c>
      <c r="O39" s="3">
        <f>'S28 Transportation Matrix'!K41</f>
        <v>0</v>
      </c>
      <c r="P39" s="3">
        <f>'S28 Transportation Matrix'!L41</f>
        <v>0</v>
      </c>
      <c r="Q39" s="3">
        <f>'S28 Transportation Matrix'!M41</f>
        <v>0</v>
      </c>
      <c r="R39" s="3">
        <f>'S28 Transportation Matrix'!N41</f>
        <v>0</v>
      </c>
      <c r="S39" s="3">
        <f>'S28 Transportation Matrix'!O41</f>
        <v>0</v>
      </c>
      <c r="T39" s="3">
        <f>'S28 Transportation Matrix'!P41</f>
        <v>0</v>
      </c>
      <c r="U39" s="3">
        <f>'S28 Transportation Matrix'!Q41</f>
        <v>0</v>
      </c>
      <c r="V39" s="3">
        <f>'S28 Transportation Matrix'!R41</f>
        <v>0</v>
      </c>
      <c r="W39" s="3">
        <f>'S28 Transportation Matrix'!S41</f>
        <v>0</v>
      </c>
      <c r="X39" s="3">
        <f>'S28 Transportation Matrix'!T41</f>
        <v>0</v>
      </c>
      <c r="Y39" s="3">
        <f>'S28 Transportation Matrix'!U41</f>
        <v>0</v>
      </c>
      <c r="Z39" s="3">
        <f>'S28 Transportation Matrix'!V41</f>
        <v>0</v>
      </c>
      <c r="AA39" s="3">
        <f>'S28 Transportation Matrix'!W41</f>
        <v>0</v>
      </c>
      <c r="AB39" s="3">
        <f>'S28 Transportation Matrix'!X41</f>
        <v>0</v>
      </c>
      <c r="AC39" s="3">
        <f>'S28 Transportation Matrix'!Y41</f>
        <v>0</v>
      </c>
      <c r="AD39" s="3">
        <f>'S28 Transportation Matrix'!Z41</f>
        <v>0</v>
      </c>
      <c r="AE39" s="3">
        <f>'S28 Transportation Matrix'!AA41</f>
        <v>0</v>
      </c>
      <c r="AF39" s="3">
        <f>'S28 Transportation Matrix'!AB41</f>
        <v>0</v>
      </c>
      <c r="AG39" s="3">
        <f>'S28 Transportation Matrix'!AC41</f>
        <v>0</v>
      </c>
      <c r="AH39" s="3">
        <f>'S28 Transportation Matrix'!AD41</f>
        <v>0</v>
      </c>
      <c r="AI39" s="3">
        <f>'S28 Transportation Matrix'!AE41</f>
        <v>0</v>
      </c>
      <c r="AJ39" s="3">
        <f>'S28 Transportation Matrix'!AF41</f>
        <v>0</v>
      </c>
      <c r="AK39" s="3">
        <f>'S28 Transportation Matrix'!AG41</f>
        <v>0</v>
      </c>
      <c r="AL39" s="3">
        <f>'S28 Transportation Matrix'!AH41</f>
        <v>0</v>
      </c>
      <c r="AM39" s="3">
        <f>'S28 Transportation Matrix'!AI41</f>
        <v>0</v>
      </c>
      <c r="AN39" s="3">
        <f>'S28 Transportation Matrix'!AJ41</f>
        <v>0</v>
      </c>
      <c r="AO39" s="3">
        <f>'S28 Transportation Matrix'!AK41</f>
        <v>0</v>
      </c>
      <c r="AP39" s="3">
        <f>'S28 Transportation Matrix'!AL41</f>
        <v>0</v>
      </c>
      <c r="AQ39" s="3">
        <f>'S28 Transportation Matrix'!AM41</f>
        <v>0</v>
      </c>
      <c r="AR39" s="3">
        <f>'S28 Transportation Matrix'!AN41</f>
        <v>0</v>
      </c>
      <c r="AS39" s="3">
        <f>'S28 Transportation Matrix'!AO41</f>
        <v>0</v>
      </c>
      <c r="AT39" s="3">
        <f>'S28 Transportation Matrix'!AP41</f>
        <v>0</v>
      </c>
      <c r="AU39" s="3">
        <f>'S28 Transportation Matrix'!AQ41</f>
        <v>0</v>
      </c>
      <c r="AV39" s="3">
        <f>'S28 Transportation Matrix'!AR41</f>
        <v>0</v>
      </c>
      <c r="AW39" s="3">
        <f>'S28 Transportation Matrix'!AS41</f>
        <v>0</v>
      </c>
    </row>
    <row r="40" spans="1:49">
      <c r="A40" s="3" t="str">
        <f>IFERROR(ROUND(SQRT(VLOOKUP(E40, 'S26 Space Requirements'!$B$5:$P$30, 15, 0)), 0), "")</f>
        <v/>
      </c>
      <c r="E40" s="399" t="s">
        <v>1105</v>
      </c>
      <c r="F40" s="3">
        <f>'S28 Transportation Matrix'!B42</f>
        <v>0</v>
      </c>
      <c r="G40" s="3">
        <f>'S28 Transportation Matrix'!C42</f>
        <v>0</v>
      </c>
      <c r="H40" s="3">
        <f>'S28 Transportation Matrix'!D42</f>
        <v>0</v>
      </c>
      <c r="I40" s="3">
        <f>'S28 Transportation Matrix'!E42</f>
        <v>0</v>
      </c>
      <c r="J40" s="3">
        <f>'S28 Transportation Matrix'!F42</f>
        <v>0</v>
      </c>
      <c r="K40" s="3">
        <f>'S28 Transportation Matrix'!G42</f>
        <v>0</v>
      </c>
      <c r="L40" s="3">
        <f>'S28 Transportation Matrix'!H42</f>
        <v>0</v>
      </c>
      <c r="M40" s="3">
        <f>'S28 Transportation Matrix'!I42</f>
        <v>0</v>
      </c>
      <c r="N40" s="3">
        <f>'S28 Transportation Matrix'!J42</f>
        <v>0</v>
      </c>
      <c r="O40" s="3">
        <f>'S28 Transportation Matrix'!K42</f>
        <v>0</v>
      </c>
      <c r="P40" s="3">
        <f>'S28 Transportation Matrix'!L42</f>
        <v>0</v>
      </c>
      <c r="Q40" s="3">
        <f>'S28 Transportation Matrix'!M42</f>
        <v>0</v>
      </c>
      <c r="R40" s="3">
        <f>'S28 Transportation Matrix'!N42</f>
        <v>0</v>
      </c>
      <c r="S40" s="3">
        <f>'S28 Transportation Matrix'!O42</f>
        <v>0</v>
      </c>
      <c r="T40" s="3">
        <f>'S28 Transportation Matrix'!P42</f>
        <v>0</v>
      </c>
      <c r="U40" s="3">
        <f>'S28 Transportation Matrix'!Q42</f>
        <v>0</v>
      </c>
      <c r="V40" s="3">
        <f>'S28 Transportation Matrix'!R42</f>
        <v>0</v>
      </c>
      <c r="W40" s="3">
        <f>'S28 Transportation Matrix'!S42</f>
        <v>0</v>
      </c>
      <c r="X40" s="3">
        <f>'S28 Transportation Matrix'!T42</f>
        <v>0</v>
      </c>
      <c r="Y40" s="3">
        <f>'S28 Transportation Matrix'!U42</f>
        <v>0</v>
      </c>
      <c r="Z40" s="3">
        <f>'S28 Transportation Matrix'!V42</f>
        <v>0</v>
      </c>
      <c r="AA40" s="3">
        <f>'S28 Transportation Matrix'!W42</f>
        <v>0</v>
      </c>
      <c r="AB40" s="3">
        <f>'S28 Transportation Matrix'!X42</f>
        <v>0</v>
      </c>
      <c r="AC40" s="3">
        <f>'S28 Transportation Matrix'!Y42</f>
        <v>0</v>
      </c>
      <c r="AD40" s="3">
        <f>'S28 Transportation Matrix'!Z42</f>
        <v>0</v>
      </c>
      <c r="AE40" s="3">
        <f>'S28 Transportation Matrix'!AA42</f>
        <v>0</v>
      </c>
      <c r="AF40" s="3">
        <f>'S28 Transportation Matrix'!AB42</f>
        <v>0</v>
      </c>
      <c r="AG40" s="3">
        <f>'S28 Transportation Matrix'!AC42</f>
        <v>0</v>
      </c>
      <c r="AH40" s="3">
        <f>'S28 Transportation Matrix'!AD42</f>
        <v>0</v>
      </c>
      <c r="AI40" s="3">
        <f>'S28 Transportation Matrix'!AE42</f>
        <v>0</v>
      </c>
      <c r="AJ40" s="3">
        <f>'S28 Transportation Matrix'!AF42</f>
        <v>0</v>
      </c>
      <c r="AK40" s="3">
        <f>'S28 Transportation Matrix'!AG42</f>
        <v>0</v>
      </c>
      <c r="AL40" s="3">
        <f>'S28 Transportation Matrix'!AH42</f>
        <v>0</v>
      </c>
      <c r="AM40" s="3">
        <f>'S28 Transportation Matrix'!AI42</f>
        <v>0</v>
      </c>
      <c r="AN40" s="3">
        <f>'S28 Transportation Matrix'!AJ42</f>
        <v>0</v>
      </c>
      <c r="AO40" s="3">
        <f>'S28 Transportation Matrix'!AK42</f>
        <v>0</v>
      </c>
      <c r="AP40" s="3">
        <f>'S28 Transportation Matrix'!AL42</f>
        <v>0</v>
      </c>
      <c r="AQ40" s="3">
        <f>'S28 Transportation Matrix'!AM42</f>
        <v>0</v>
      </c>
      <c r="AR40" s="3">
        <f>'S28 Transportation Matrix'!AN42</f>
        <v>0</v>
      </c>
      <c r="AS40" s="3">
        <f>'S28 Transportation Matrix'!AO42</f>
        <v>0</v>
      </c>
      <c r="AT40" s="3">
        <f>'S28 Transportation Matrix'!AP42</f>
        <v>0</v>
      </c>
      <c r="AU40" s="3">
        <f>'S28 Transportation Matrix'!AQ42</f>
        <v>0</v>
      </c>
      <c r="AV40" s="3">
        <f>'S28 Transportation Matrix'!AR42</f>
        <v>0</v>
      </c>
      <c r="AW40" s="3">
        <f>'S28 Transportation Matrix'!AS42</f>
        <v>0</v>
      </c>
    </row>
    <row r="41" spans="1:49">
      <c r="A41" s="3">
        <f>IFERROR(ROUND(SQRT(VLOOKUP(E41, 'S26 Space Requirements'!$B$5:$P$30, 15, 0)), 0), "")</f>
        <v>20</v>
      </c>
      <c r="E41" s="399" t="s">
        <v>1107</v>
      </c>
      <c r="F41" s="3">
        <f>'S28 Transportation Matrix'!B43</f>
        <v>0</v>
      </c>
      <c r="G41" s="3">
        <f>'S28 Transportation Matrix'!C43</f>
        <v>151</v>
      </c>
      <c r="H41" s="3">
        <f>'S28 Transportation Matrix'!D43</f>
        <v>0</v>
      </c>
      <c r="I41" s="3">
        <f>'S28 Transportation Matrix'!E43</f>
        <v>71</v>
      </c>
      <c r="J41" s="3">
        <f>'S28 Transportation Matrix'!F43</f>
        <v>0</v>
      </c>
      <c r="K41" s="3">
        <f>'S28 Transportation Matrix'!G43</f>
        <v>0</v>
      </c>
      <c r="L41" s="3">
        <f>'S28 Transportation Matrix'!H43</f>
        <v>69</v>
      </c>
      <c r="M41" s="3">
        <f>'S28 Transportation Matrix'!I43</f>
        <v>0</v>
      </c>
      <c r="N41" s="3">
        <f>'S28 Transportation Matrix'!J43</f>
        <v>0</v>
      </c>
      <c r="O41" s="3">
        <f>'S28 Transportation Matrix'!K43</f>
        <v>0</v>
      </c>
      <c r="P41" s="3">
        <f>'S28 Transportation Matrix'!L43</f>
        <v>0</v>
      </c>
      <c r="Q41" s="3">
        <f>'S28 Transportation Matrix'!M43</f>
        <v>0</v>
      </c>
      <c r="R41" s="3">
        <f>'S28 Transportation Matrix'!N43</f>
        <v>0</v>
      </c>
      <c r="S41" s="3">
        <f>'S28 Transportation Matrix'!O43</f>
        <v>0</v>
      </c>
      <c r="T41" s="3">
        <f>'S28 Transportation Matrix'!P43</f>
        <v>0</v>
      </c>
      <c r="U41" s="3">
        <f>'S28 Transportation Matrix'!Q43</f>
        <v>0</v>
      </c>
      <c r="V41" s="3">
        <f>'S28 Transportation Matrix'!R43</f>
        <v>0</v>
      </c>
      <c r="W41" s="3">
        <f>'S28 Transportation Matrix'!S43</f>
        <v>0</v>
      </c>
      <c r="X41" s="3">
        <f>'S28 Transportation Matrix'!T43</f>
        <v>0</v>
      </c>
      <c r="Y41" s="3">
        <f>'S28 Transportation Matrix'!U43</f>
        <v>0</v>
      </c>
      <c r="Z41" s="3">
        <f>'S28 Transportation Matrix'!V43</f>
        <v>0</v>
      </c>
      <c r="AA41" s="3">
        <f>'S28 Transportation Matrix'!W43</f>
        <v>0</v>
      </c>
      <c r="AB41" s="3">
        <f>'S28 Transportation Matrix'!X43</f>
        <v>0</v>
      </c>
      <c r="AC41" s="3">
        <f>'S28 Transportation Matrix'!Y43</f>
        <v>0</v>
      </c>
      <c r="AD41" s="3">
        <f>'S28 Transportation Matrix'!Z43</f>
        <v>0</v>
      </c>
      <c r="AE41" s="3">
        <f>'S28 Transportation Matrix'!AA43</f>
        <v>0</v>
      </c>
      <c r="AF41" s="3">
        <f>'S28 Transportation Matrix'!AB43</f>
        <v>0</v>
      </c>
      <c r="AG41" s="3">
        <f>'S28 Transportation Matrix'!AC43</f>
        <v>0</v>
      </c>
      <c r="AH41" s="3">
        <f>'S28 Transportation Matrix'!AD43</f>
        <v>0</v>
      </c>
      <c r="AI41" s="3">
        <f>'S28 Transportation Matrix'!AE43</f>
        <v>0</v>
      </c>
      <c r="AJ41" s="3">
        <f>'S28 Transportation Matrix'!AF43</f>
        <v>0</v>
      </c>
      <c r="AK41" s="3">
        <f>'S28 Transportation Matrix'!AG43</f>
        <v>0</v>
      </c>
      <c r="AL41" s="3">
        <f>'S28 Transportation Matrix'!AH43</f>
        <v>0</v>
      </c>
      <c r="AM41" s="3">
        <f>'S28 Transportation Matrix'!AI43</f>
        <v>0</v>
      </c>
      <c r="AN41" s="3">
        <f>'S28 Transportation Matrix'!AJ43</f>
        <v>0</v>
      </c>
      <c r="AO41" s="3">
        <f>'S28 Transportation Matrix'!AK43</f>
        <v>0</v>
      </c>
      <c r="AP41" s="3">
        <f>'S28 Transportation Matrix'!AL43</f>
        <v>0</v>
      </c>
      <c r="AQ41" s="3">
        <f>'S28 Transportation Matrix'!AM43</f>
        <v>0</v>
      </c>
      <c r="AR41" s="3">
        <f>'S28 Transportation Matrix'!AN43</f>
        <v>0</v>
      </c>
      <c r="AS41" s="3">
        <f>'S28 Transportation Matrix'!AO43</f>
        <v>0</v>
      </c>
      <c r="AT41" s="3">
        <f>'S28 Transportation Matrix'!AP43</f>
        <v>0</v>
      </c>
      <c r="AU41" s="3">
        <f>'S28 Transportation Matrix'!AQ43</f>
        <v>0</v>
      </c>
      <c r="AV41" s="3">
        <f>'S28 Transportation Matrix'!AR43</f>
        <v>0</v>
      </c>
      <c r="AW41" s="3">
        <f>'S28 Transportation Matrix'!AS43</f>
        <v>0</v>
      </c>
    </row>
    <row r="42" spans="1:49">
      <c r="A42" s="3" t="str">
        <f>IFERROR(ROUND(SQRT(VLOOKUP(E42, 'S26 Space Requirements'!$B$5:$P$30, 15, 0)), 0), "")</f>
        <v/>
      </c>
      <c r="E42" s="399" t="s">
        <v>1109</v>
      </c>
      <c r="F42" s="3">
        <f>'S28 Transportation Matrix'!B44</f>
        <v>0</v>
      </c>
      <c r="G42" s="3">
        <f>'S28 Transportation Matrix'!C44</f>
        <v>0</v>
      </c>
      <c r="H42" s="3">
        <f>'S28 Transportation Matrix'!D44</f>
        <v>0</v>
      </c>
      <c r="I42" s="3">
        <f>'S28 Transportation Matrix'!E44</f>
        <v>0</v>
      </c>
      <c r="J42" s="3">
        <f>'S28 Transportation Matrix'!F44</f>
        <v>0</v>
      </c>
      <c r="K42" s="3">
        <f>'S28 Transportation Matrix'!G44</f>
        <v>0</v>
      </c>
      <c r="L42" s="3">
        <f>'S28 Transportation Matrix'!H44</f>
        <v>0</v>
      </c>
      <c r="M42" s="3">
        <f>'S28 Transportation Matrix'!I44</f>
        <v>0</v>
      </c>
      <c r="N42" s="3">
        <f>'S28 Transportation Matrix'!J44</f>
        <v>0</v>
      </c>
      <c r="O42" s="3">
        <f>'S28 Transportation Matrix'!K44</f>
        <v>0</v>
      </c>
      <c r="P42" s="3">
        <f>'S28 Transportation Matrix'!L44</f>
        <v>0</v>
      </c>
      <c r="Q42" s="3">
        <f>'S28 Transportation Matrix'!M44</f>
        <v>0</v>
      </c>
      <c r="R42" s="3">
        <f>'S28 Transportation Matrix'!N44</f>
        <v>0</v>
      </c>
      <c r="S42" s="3">
        <f>'S28 Transportation Matrix'!O44</f>
        <v>0</v>
      </c>
      <c r="T42" s="3">
        <f>'S28 Transportation Matrix'!P44</f>
        <v>0</v>
      </c>
      <c r="U42" s="3">
        <f>'S28 Transportation Matrix'!Q44</f>
        <v>0</v>
      </c>
      <c r="V42" s="3">
        <f>'S28 Transportation Matrix'!R44</f>
        <v>0</v>
      </c>
      <c r="W42" s="3">
        <f>'S28 Transportation Matrix'!S44</f>
        <v>0</v>
      </c>
      <c r="X42" s="3">
        <f>'S28 Transportation Matrix'!T44</f>
        <v>0</v>
      </c>
      <c r="Y42" s="3">
        <f>'S28 Transportation Matrix'!U44</f>
        <v>0</v>
      </c>
      <c r="Z42" s="3">
        <f>'S28 Transportation Matrix'!V44</f>
        <v>0</v>
      </c>
      <c r="AA42" s="3">
        <f>'S28 Transportation Matrix'!W44</f>
        <v>0</v>
      </c>
      <c r="AB42" s="3">
        <f>'S28 Transportation Matrix'!X44</f>
        <v>0</v>
      </c>
      <c r="AC42" s="3">
        <f>'S28 Transportation Matrix'!Y44</f>
        <v>0</v>
      </c>
      <c r="AD42" s="3">
        <f>'S28 Transportation Matrix'!Z44</f>
        <v>0</v>
      </c>
      <c r="AE42" s="3">
        <f>'S28 Transportation Matrix'!AA44</f>
        <v>0</v>
      </c>
      <c r="AF42" s="3">
        <f>'S28 Transportation Matrix'!AB44</f>
        <v>0</v>
      </c>
      <c r="AG42" s="3">
        <f>'S28 Transportation Matrix'!AC44</f>
        <v>0</v>
      </c>
      <c r="AH42" s="3">
        <f>'S28 Transportation Matrix'!AD44</f>
        <v>0</v>
      </c>
      <c r="AI42" s="3">
        <f>'S28 Transportation Matrix'!AE44</f>
        <v>0</v>
      </c>
      <c r="AJ42" s="3">
        <f>'S28 Transportation Matrix'!AF44</f>
        <v>0</v>
      </c>
      <c r="AK42" s="3">
        <f>'S28 Transportation Matrix'!AG44</f>
        <v>0</v>
      </c>
      <c r="AL42" s="3">
        <f>'S28 Transportation Matrix'!AH44</f>
        <v>0</v>
      </c>
      <c r="AM42" s="3">
        <f>'S28 Transportation Matrix'!AI44</f>
        <v>0</v>
      </c>
      <c r="AN42" s="3">
        <f>'S28 Transportation Matrix'!AJ44</f>
        <v>0</v>
      </c>
      <c r="AO42" s="3">
        <f>'S28 Transportation Matrix'!AK44</f>
        <v>0</v>
      </c>
      <c r="AP42" s="3">
        <f>'S28 Transportation Matrix'!AL44</f>
        <v>0</v>
      </c>
      <c r="AQ42" s="3">
        <f>'S28 Transportation Matrix'!AM44</f>
        <v>0</v>
      </c>
      <c r="AR42" s="3">
        <f>'S28 Transportation Matrix'!AN44</f>
        <v>0</v>
      </c>
      <c r="AS42" s="3">
        <f>'S28 Transportation Matrix'!AO44</f>
        <v>0</v>
      </c>
      <c r="AT42" s="3">
        <f>'S28 Transportation Matrix'!AP44</f>
        <v>0</v>
      </c>
      <c r="AU42" s="3">
        <f>'S28 Transportation Matrix'!AQ44</f>
        <v>0</v>
      </c>
      <c r="AV42" s="3">
        <f>'S28 Transportation Matrix'!AR44</f>
        <v>0</v>
      </c>
      <c r="AW42" s="3">
        <f>'S28 Transportation Matrix'!AS44</f>
        <v>0</v>
      </c>
    </row>
    <row r="43" spans="1:49">
      <c r="A43" s="3">
        <f>IFERROR(ROUND(SQRT(VLOOKUP(E43, 'S26 Space Requirements'!$B$5:$P$30, 15, 0)), 0), "")</f>
        <v>9</v>
      </c>
      <c r="E43" s="399" t="s">
        <v>1111</v>
      </c>
      <c r="F43" s="3">
        <f>'S28 Transportation Matrix'!B45</f>
        <v>0</v>
      </c>
      <c r="G43" s="3">
        <f>'S28 Transportation Matrix'!C45</f>
        <v>0</v>
      </c>
      <c r="H43" s="3">
        <f>'S28 Transportation Matrix'!D45</f>
        <v>0</v>
      </c>
      <c r="I43" s="3">
        <f>'S28 Transportation Matrix'!E45</f>
        <v>0</v>
      </c>
      <c r="J43" s="3">
        <f>'S28 Transportation Matrix'!F45</f>
        <v>0</v>
      </c>
      <c r="K43" s="3">
        <f>'S28 Transportation Matrix'!G45</f>
        <v>0</v>
      </c>
      <c r="L43" s="3">
        <f>'S28 Transportation Matrix'!H45</f>
        <v>0</v>
      </c>
      <c r="M43" s="3">
        <f>'S28 Transportation Matrix'!I45</f>
        <v>0</v>
      </c>
      <c r="N43" s="3">
        <f>'S28 Transportation Matrix'!J45</f>
        <v>0</v>
      </c>
      <c r="O43" s="3">
        <f>'S28 Transportation Matrix'!K45</f>
        <v>0</v>
      </c>
      <c r="P43" s="3">
        <f>'S28 Transportation Matrix'!L45</f>
        <v>0</v>
      </c>
      <c r="Q43" s="3">
        <f>'S28 Transportation Matrix'!M45</f>
        <v>0</v>
      </c>
      <c r="R43" s="3">
        <f>'S28 Transportation Matrix'!N45</f>
        <v>0</v>
      </c>
      <c r="S43" s="3">
        <f>'S28 Transportation Matrix'!O45</f>
        <v>0</v>
      </c>
      <c r="T43" s="3">
        <f>'S28 Transportation Matrix'!P45</f>
        <v>0</v>
      </c>
      <c r="U43" s="3">
        <f>'S28 Transportation Matrix'!Q45</f>
        <v>0</v>
      </c>
      <c r="V43" s="3">
        <f>'S28 Transportation Matrix'!R45</f>
        <v>0</v>
      </c>
      <c r="W43" s="3">
        <f>'S28 Transportation Matrix'!S45</f>
        <v>0</v>
      </c>
      <c r="X43" s="3">
        <f>'S28 Transportation Matrix'!T45</f>
        <v>0</v>
      </c>
      <c r="Y43" s="3">
        <f>'S28 Transportation Matrix'!U45</f>
        <v>0</v>
      </c>
      <c r="Z43" s="3">
        <f>'S28 Transportation Matrix'!V45</f>
        <v>0</v>
      </c>
      <c r="AA43" s="3">
        <f>'S28 Transportation Matrix'!W45</f>
        <v>0</v>
      </c>
      <c r="AB43" s="3">
        <f>'S28 Transportation Matrix'!X45</f>
        <v>0</v>
      </c>
      <c r="AC43" s="3">
        <f>'S28 Transportation Matrix'!Y45</f>
        <v>0</v>
      </c>
      <c r="AD43" s="3">
        <f>'S28 Transportation Matrix'!Z45</f>
        <v>0</v>
      </c>
      <c r="AE43" s="3">
        <f>'S28 Transportation Matrix'!AA45</f>
        <v>0</v>
      </c>
      <c r="AF43" s="3">
        <f>'S28 Transportation Matrix'!AB45</f>
        <v>0</v>
      </c>
      <c r="AG43" s="3">
        <f>'S28 Transportation Matrix'!AC45</f>
        <v>0</v>
      </c>
      <c r="AH43" s="3">
        <f>'S28 Transportation Matrix'!AD45</f>
        <v>0</v>
      </c>
      <c r="AI43" s="3">
        <f>'S28 Transportation Matrix'!AE45</f>
        <v>0</v>
      </c>
      <c r="AJ43" s="3">
        <f>'S28 Transportation Matrix'!AF45</f>
        <v>0</v>
      </c>
      <c r="AK43" s="3">
        <f>'S28 Transportation Matrix'!AG45</f>
        <v>0</v>
      </c>
      <c r="AL43" s="3">
        <f>'S28 Transportation Matrix'!AH45</f>
        <v>0</v>
      </c>
      <c r="AM43" s="3">
        <f>'S28 Transportation Matrix'!AI45</f>
        <v>0</v>
      </c>
      <c r="AN43" s="3">
        <f>'S28 Transportation Matrix'!AJ45</f>
        <v>0</v>
      </c>
      <c r="AO43" s="3">
        <f>'S28 Transportation Matrix'!AK45</f>
        <v>0</v>
      </c>
      <c r="AP43" s="3">
        <f>'S28 Transportation Matrix'!AL45</f>
        <v>0</v>
      </c>
      <c r="AQ43" s="3">
        <f>'S28 Transportation Matrix'!AM45</f>
        <v>0</v>
      </c>
      <c r="AR43" s="3">
        <f>'S28 Transportation Matrix'!AN45</f>
        <v>0</v>
      </c>
      <c r="AS43" s="3">
        <f>'S28 Transportation Matrix'!AO45</f>
        <v>0</v>
      </c>
      <c r="AT43" s="3">
        <f>'S28 Transportation Matrix'!AP45</f>
        <v>0</v>
      </c>
      <c r="AU43" s="3">
        <f>'S28 Transportation Matrix'!AQ45</f>
        <v>0</v>
      </c>
      <c r="AV43" s="3">
        <f>'S28 Transportation Matrix'!AR45</f>
        <v>0</v>
      </c>
      <c r="AW43" s="3">
        <f>'S28 Transportation Matrix'!AS45</f>
        <v>0</v>
      </c>
    </row>
    <row r="44" spans="1:49">
      <c r="A44" s="3">
        <f>IFERROR(ROUND(SQRT(VLOOKUP(E44, 'S26 Space Requirements'!$B$5:$P$30, 15, 0)), 0), "")</f>
        <v>19</v>
      </c>
      <c r="E44" s="399" t="s">
        <v>1112</v>
      </c>
      <c r="F44" s="3">
        <f>'S28 Transportation Matrix'!B46</f>
        <v>0</v>
      </c>
      <c r="G44" s="3">
        <f>'S28 Transportation Matrix'!C46</f>
        <v>0</v>
      </c>
      <c r="H44" s="3">
        <f>'S28 Transportation Matrix'!D46</f>
        <v>0</v>
      </c>
      <c r="I44" s="3">
        <f>'S28 Transportation Matrix'!E46</f>
        <v>0</v>
      </c>
      <c r="J44" s="3">
        <f>'S28 Transportation Matrix'!F46</f>
        <v>0</v>
      </c>
      <c r="K44" s="3">
        <f>'S28 Transportation Matrix'!G46</f>
        <v>0</v>
      </c>
      <c r="L44" s="3">
        <f>'S28 Transportation Matrix'!H46</f>
        <v>0</v>
      </c>
      <c r="M44" s="3">
        <f>'S28 Transportation Matrix'!I46</f>
        <v>0</v>
      </c>
      <c r="N44" s="3">
        <f>'S28 Transportation Matrix'!J46</f>
        <v>0</v>
      </c>
      <c r="O44" s="3">
        <f>'S28 Transportation Matrix'!K46</f>
        <v>0</v>
      </c>
      <c r="P44" s="3">
        <f>'S28 Transportation Matrix'!L46</f>
        <v>0</v>
      </c>
      <c r="Q44" s="3">
        <f>'S28 Transportation Matrix'!M46</f>
        <v>0</v>
      </c>
      <c r="R44" s="3">
        <f>'S28 Transportation Matrix'!N46</f>
        <v>0</v>
      </c>
      <c r="S44" s="3">
        <f>'S28 Transportation Matrix'!O46</f>
        <v>0</v>
      </c>
      <c r="T44" s="3">
        <f>'S28 Transportation Matrix'!P46</f>
        <v>0</v>
      </c>
      <c r="U44" s="3">
        <f>'S28 Transportation Matrix'!Q46</f>
        <v>0</v>
      </c>
      <c r="V44" s="3">
        <f>'S28 Transportation Matrix'!R46</f>
        <v>0</v>
      </c>
      <c r="W44" s="3">
        <f>'S28 Transportation Matrix'!S46</f>
        <v>0</v>
      </c>
      <c r="X44" s="3">
        <f>'S28 Transportation Matrix'!T46</f>
        <v>0</v>
      </c>
      <c r="Y44" s="3">
        <f>'S28 Transportation Matrix'!U46</f>
        <v>0</v>
      </c>
      <c r="Z44" s="3">
        <f>'S28 Transportation Matrix'!V46</f>
        <v>0</v>
      </c>
      <c r="AA44" s="3">
        <f>'S28 Transportation Matrix'!W46</f>
        <v>0</v>
      </c>
      <c r="AB44" s="3">
        <f>'S28 Transportation Matrix'!X46</f>
        <v>0</v>
      </c>
      <c r="AC44" s="3">
        <f>'S28 Transportation Matrix'!Y46</f>
        <v>0</v>
      </c>
      <c r="AD44" s="3">
        <f>'S28 Transportation Matrix'!Z46</f>
        <v>0</v>
      </c>
      <c r="AE44" s="3">
        <f>'S28 Transportation Matrix'!AA46</f>
        <v>0</v>
      </c>
      <c r="AF44" s="3">
        <f>'S28 Transportation Matrix'!AB46</f>
        <v>0</v>
      </c>
      <c r="AG44" s="3">
        <f>'S28 Transportation Matrix'!AC46</f>
        <v>0</v>
      </c>
      <c r="AH44" s="3">
        <f>'S28 Transportation Matrix'!AD46</f>
        <v>0</v>
      </c>
      <c r="AI44" s="3">
        <f>'S28 Transportation Matrix'!AE46</f>
        <v>0</v>
      </c>
      <c r="AJ44" s="3">
        <f>'S28 Transportation Matrix'!AF46</f>
        <v>0</v>
      </c>
      <c r="AK44" s="3">
        <f>'S28 Transportation Matrix'!AG46</f>
        <v>0</v>
      </c>
      <c r="AL44" s="3">
        <f>'S28 Transportation Matrix'!AH46</f>
        <v>0</v>
      </c>
      <c r="AM44" s="3">
        <f>'S28 Transportation Matrix'!AI46</f>
        <v>0</v>
      </c>
      <c r="AN44" s="3">
        <f>'S28 Transportation Matrix'!AJ46</f>
        <v>0</v>
      </c>
      <c r="AO44" s="3">
        <f>'S28 Transportation Matrix'!AK46</f>
        <v>213</v>
      </c>
      <c r="AP44" s="3">
        <f>'S28 Transportation Matrix'!AL46</f>
        <v>0</v>
      </c>
      <c r="AQ44" s="3">
        <f>'S28 Transportation Matrix'!AM46</f>
        <v>89</v>
      </c>
      <c r="AR44" s="3">
        <f>'S28 Transportation Matrix'!AN46</f>
        <v>0</v>
      </c>
      <c r="AS44" s="3">
        <f>'S28 Transportation Matrix'!AO46</f>
        <v>290</v>
      </c>
      <c r="AT44" s="3">
        <f>'S28 Transportation Matrix'!AP46</f>
        <v>0</v>
      </c>
      <c r="AU44" s="3">
        <f>'S28 Transportation Matrix'!AQ46</f>
        <v>0</v>
      </c>
      <c r="AV44" s="3">
        <f>'S28 Transportation Matrix'!AR46</f>
        <v>0</v>
      </c>
      <c r="AW44" s="3">
        <f>'S28 Transportation Matrix'!AS46</f>
        <v>0</v>
      </c>
    </row>
    <row r="45" spans="1:49">
      <c r="A45" s="3">
        <f>IFERROR(ROUND(SQRT(VLOOKUP(E45, 'S26 Space Requirements'!$B$5:$P$30, 15, 0)), 0), "")</f>
        <v>19</v>
      </c>
      <c r="E45" s="399" t="s">
        <v>1113</v>
      </c>
      <c r="F45" s="3">
        <f>'S28 Transportation Matrix'!B47</f>
        <v>0</v>
      </c>
      <c r="G45" s="3">
        <f>'S28 Transportation Matrix'!C47</f>
        <v>0</v>
      </c>
      <c r="H45" s="3">
        <f>'S28 Transportation Matrix'!D47</f>
        <v>0</v>
      </c>
      <c r="I45" s="3">
        <f>'S28 Transportation Matrix'!E47</f>
        <v>0</v>
      </c>
      <c r="J45" s="3">
        <f>'S28 Transportation Matrix'!F47</f>
        <v>0</v>
      </c>
      <c r="K45" s="3">
        <f>'S28 Transportation Matrix'!G47</f>
        <v>0</v>
      </c>
      <c r="L45" s="3">
        <f>'S28 Transportation Matrix'!H47</f>
        <v>0</v>
      </c>
      <c r="M45" s="3">
        <f>'S28 Transportation Matrix'!I47</f>
        <v>0</v>
      </c>
      <c r="N45" s="3">
        <f>'S28 Transportation Matrix'!J47</f>
        <v>0</v>
      </c>
      <c r="O45" s="3">
        <f>'S28 Transportation Matrix'!K47</f>
        <v>0</v>
      </c>
      <c r="P45" s="3">
        <f>'S28 Transportation Matrix'!L47</f>
        <v>0</v>
      </c>
      <c r="Q45" s="3">
        <f>'S28 Transportation Matrix'!M47</f>
        <v>0</v>
      </c>
      <c r="R45" s="3">
        <f>'S28 Transportation Matrix'!N47</f>
        <v>0</v>
      </c>
      <c r="S45" s="3">
        <f>'S28 Transportation Matrix'!O47</f>
        <v>0</v>
      </c>
      <c r="T45" s="3">
        <f>'S28 Transportation Matrix'!P47</f>
        <v>0</v>
      </c>
      <c r="U45" s="3">
        <f>'S28 Transportation Matrix'!Q47</f>
        <v>0</v>
      </c>
      <c r="V45" s="3">
        <f>'S28 Transportation Matrix'!R47</f>
        <v>0</v>
      </c>
      <c r="W45" s="3">
        <f>'S28 Transportation Matrix'!S47</f>
        <v>0</v>
      </c>
      <c r="X45" s="3">
        <f>'S28 Transportation Matrix'!T47</f>
        <v>0</v>
      </c>
      <c r="Y45" s="3">
        <f>'S28 Transportation Matrix'!U47</f>
        <v>0</v>
      </c>
      <c r="Z45" s="3">
        <f>'S28 Transportation Matrix'!V47</f>
        <v>0</v>
      </c>
      <c r="AA45" s="3">
        <f>'S28 Transportation Matrix'!W47</f>
        <v>0</v>
      </c>
      <c r="AB45" s="3">
        <f>'S28 Transportation Matrix'!X47</f>
        <v>0</v>
      </c>
      <c r="AC45" s="3">
        <f>'S28 Transportation Matrix'!Y47</f>
        <v>0</v>
      </c>
      <c r="AD45" s="3">
        <f>'S28 Transportation Matrix'!Z47</f>
        <v>0</v>
      </c>
      <c r="AE45" s="3">
        <f>'S28 Transportation Matrix'!AA47</f>
        <v>0</v>
      </c>
      <c r="AF45" s="3">
        <f>'S28 Transportation Matrix'!AB47</f>
        <v>0</v>
      </c>
      <c r="AG45" s="3">
        <f>'S28 Transportation Matrix'!AC47</f>
        <v>0</v>
      </c>
      <c r="AH45" s="3">
        <f>'S28 Transportation Matrix'!AD47</f>
        <v>0</v>
      </c>
      <c r="AI45" s="3">
        <f>'S28 Transportation Matrix'!AE47</f>
        <v>0</v>
      </c>
      <c r="AJ45" s="3">
        <f>'S28 Transportation Matrix'!AF47</f>
        <v>0</v>
      </c>
      <c r="AK45" s="3">
        <f>'S28 Transportation Matrix'!AG47</f>
        <v>0</v>
      </c>
      <c r="AL45" s="3">
        <f>'S28 Transportation Matrix'!AH47</f>
        <v>0</v>
      </c>
      <c r="AM45" s="3">
        <f>'S28 Transportation Matrix'!AI47</f>
        <v>0</v>
      </c>
      <c r="AN45" s="3">
        <f>'S28 Transportation Matrix'!AJ47</f>
        <v>0</v>
      </c>
      <c r="AO45" s="3">
        <f>'S28 Transportation Matrix'!AK47</f>
        <v>0</v>
      </c>
      <c r="AP45" s="3">
        <f>'S28 Transportation Matrix'!AL47</f>
        <v>0</v>
      </c>
      <c r="AQ45" s="3">
        <f>'S28 Transportation Matrix'!AM47</f>
        <v>0</v>
      </c>
      <c r="AR45" s="3">
        <f>'S28 Transportation Matrix'!AN47</f>
        <v>0</v>
      </c>
      <c r="AS45" s="3">
        <f>'S28 Transportation Matrix'!AO47</f>
        <v>0</v>
      </c>
      <c r="AT45" s="3">
        <f>'S28 Transportation Matrix'!AP47</f>
        <v>0</v>
      </c>
      <c r="AU45" s="3">
        <f>'S28 Transportation Matrix'!AQ47</f>
        <v>0</v>
      </c>
      <c r="AV45" s="3">
        <f>'S28 Transportation Matrix'!AR47</f>
        <v>0</v>
      </c>
      <c r="AW45" s="3">
        <f>'S28 Transportation Matrix'!AS47</f>
        <v>0</v>
      </c>
    </row>
  </sheetData>
  <mergeCells count="6">
    <mergeCell ref="CD4:CF4"/>
    <mergeCell ref="BJ4:BL4"/>
    <mergeCell ref="BM4:BO4"/>
    <mergeCell ref="BP4:BW4"/>
    <mergeCell ref="BX4:CA4"/>
    <mergeCell ref="CB4:CC4"/>
  </mergeCells>
  <conditionalFormatting sqref="F2:AW45">
    <cfRule type="cellIs" dxfId="0" priority="1" operator="equal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3" name="Button 1">
              <controlPr defaultSize="0" print="0" autoFill="0" autoPict="0" macro="[0]!Sheet31_RemoveAllShapes">
                <anchor moveWithCells="1" sizeWithCells="1">
                  <from>
                    <xdr:col>88</xdr:col>
                    <xdr:colOff>38100</xdr:colOff>
                    <xdr:row>4</xdr:row>
                    <xdr:rowOff>12700</xdr:rowOff>
                  </from>
                  <to>
                    <xdr:col>89</xdr:col>
                    <xdr:colOff>736600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4" name="Button 2">
              <controlPr defaultSize="0" print="0" autoFill="0" autoPict="0" macro="[0]!Sheet31_CreateShapes">
                <anchor moveWithCells="1" sizeWithCells="1">
                  <from>
                    <xdr:col>87</xdr:col>
                    <xdr:colOff>812800</xdr:colOff>
                    <xdr:row>7</xdr:row>
                    <xdr:rowOff>127000</xdr:rowOff>
                  </from>
                  <to>
                    <xdr:col>89</xdr:col>
                    <xdr:colOff>685800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5" name="Button 3">
              <controlPr defaultSize="0" print="0" autoFill="0" autoPict="0" macro="[0]!Sheet_31_Matrix_Formatting_class">
                <anchor moveWithCells="1" sizeWithCells="1">
                  <from>
                    <xdr:col>54</xdr:col>
                    <xdr:colOff>558800</xdr:colOff>
                    <xdr:row>6</xdr:row>
                    <xdr:rowOff>152400</xdr:rowOff>
                  </from>
                  <to>
                    <xdr:col>56</xdr:col>
                    <xdr:colOff>431800</xdr:colOff>
                    <xdr:row>8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0B7F5-CB4A-1C48-BF6A-AFAEE172CE09}">
  <sheetPr codeName="Sheet32"/>
  <dimension ref="A1:L118"/>
  <sheetViews>
    <sheetView topLeftCell="A80" workbookViewId="0">
      <selection activeCell="D70" sqref="D70"/>
    </sheetView>
  </sheetViews>
  <sheetFormatPr defaultColWidth="10.6640625" defaultRowHeight="15.5"/>
  <cols>
    <col min="1" max="1" width="20.33203125" bestFit="1" customWidth="1"/>
    <col min="5" max="5" width="16.33203125" customWidth="1"/>
    <col min="7" max="7" width="19.33203125" customWidth="1"/>
  </cols>
  <sheetData>
    <row r="1" spans="1:8" ht="23.5">
      <c r="A1" s="402" t="s">
        <v>1227</v>
      </c>
    </row>
    <row r="2" spans="1:8">
      <c r="A2" s="3" t="s">
        <v>1228</v>
      </c>
      <c r="B2" s="564" t="s">
        <v>1229</v>
      </c>
      <c r="C2" s="564"/>
      <c r="D2" s="564"/>
      <c r="E2" s="564"/>
      <c r="F2" s="564"/>
      <c r="G2" s="564"/>
      <c r="H2" s="564"/>
    </row>
    <row r="3" spans="1:8">
      <c r="A3" s="568"/>
      <c r="B3" s="565"/>
      <c r="C3" s="566"/>
      <c r="D3" s="566"/>
      <c r="E3" s="566"/>
      <c r="F3" s="567"/>
      <c r="G3" s="564" t="s">
        <v>1230</v>
      </c>
      <c r="H3" s="564"/>
    </row>
    <row r="4" spans="1:8">
      <c r="A4" s="569"/>
      <c r="B4" s="3" t="s">
        <v>924</v>
      </c>
      <c r="C4" s="3" t="s">
        <v>931</v>
      </c>
      <c r="D4" s="3" t="s">
        <v>934</v>
      </c>
      <c r="E4" s="3" t="s">
        <v>937</v>
      </c>
      <c r="F4" s="3" t="s">
        <v>953</v>
      </c>
      <c r="G4" s="3" t="s">
        <v>924</v>
      </c>
      <c r="H4" s="3" t="s">
        <v>931</v>
      </c>
    </row>
    <row r="5" spans="1:8">
      <c r="A5" s="344">
        <v>2</v>
      </c>
      <c r="B5" s="344">
        <v>2</v>
      </c>
      <c r="C5" s="344">
        <v>2</v>
      </c>
      <c r="D5" s="344">
        <v>2</v>
      </c>
      <c r="E5" s="344">
        <v>2</v>
      </c>
      <c r="F5" s="344">
        <v>2</v>
      </c>
      <c r="G5" s="344">
        <v>1.6</v>
      </c>
      <c r="H5" s="344">
        <v>1.6</v>
      </c>
    </row>
    <row r="6" spans="1:8">
      <c r="A6" s="344">
        <v>2.5</v>
      </c>
      <c r="B6" s="344">
        <v>2.5</v>
      </c>
      <c r="C6" s="344">
        <v>2.5</v>
      </c>
      <c r="D6" s="344">
        <v>3.6</v>
      </c>
      <c r="E6" s="344">
        <v>3.6</v>
      </c>
      <c r="F6" s="344">
        <v>2.4</v>
      </c>
      <c r="G6" s="344">
        <v>2.2999999999999998</v>
      </c>
      <c r="H6" s="344">
        <v>2.2999999999999998</v>
      </c>
    </row>
    <row r="7" spans="1:8">
      <c r="A7" s="344">
        <v>5.0999999999999996</v>
      </c>
      <c r="B7" s="344">
        <v>4</v>
      </c>
      <c r="C7" s="344">
        <v>4</v>
      </c>
      <c r="D7" s="344">
        <v>5.9</v>
      </c>
      <c r="E7" s="344">
        <v>5.9</v>
      </c>
      <c r="F7" s="344">
        <v>3.8</v>
      </c>
      <c r="G7" s="344">
        <v>3.5</v>
      </c>
      <c r="H7" s="344">
        <v>2.7</v>
      </c>
    </row>
    <row r="8" spans="1:8">
      <c r="A8" s="344">
        <v>7.6</v>
      </c>
      <c r="B8" s="344">
        <v>5.3</v>
      </c>
      <c r="C8" s="344">
        <v>5.3</v>
      </c>
      <c r="D8" s="344">
        <v>7.3</v>
      </c>
      <c r="E8" s="344">
        <v>7.3</v>
      </c>
      <c r="F8" s="344">
        <v>5.3</v>
      </c>
      <c r="G8" s="344">
        <v>4.5</v>
      </c>
      <c r="H8" s="344">
        <v>3.6</v>
      </c>
    </row>
    <row r="9" spans="1:8">
      <c r="A9" s="344">
        <v>10.1</v>
      </c>
      <c r="B9" s="344">
        <v>6.1</v>
      </c>
      <c r="C9" s="344">
        <v>6.4</v>
      </c>
      <c r="D9" s="344">
        <v>8.4</v>
      </c>
      <c r="E9" s="344">
        <v>8.4</v>
      </c>
      <c r="F9" s="344">
        <v>6.8</v>
      </c>
      <c r="G9" s="344">
        <v>4.9000000000000004</v>
      </c>
      <c r="H9" s="344">
        <v>4.3</v>
      </c>
    </row>
    <row r="10" spans="1:8">
      <c r="A10" s="344">
        <v>12.5</v>
      </c>
      <c r="B10" s="344">
        <v>6.5</v>
      </c>
      <c r="C10" s="344">
        <v>7.8</v>
      </c>
      <c r="D10" s="344">
        <v>9.4</v>
      </c>
      <c r="E10" s="344">
        <v>9.4</v>
      </c>
      <c r="F10" s="344">
        <v>7.4</v>
      </c>
      <c r="G10" s="344">
        <v>5.3</v>
      </c>
      <c r="H10" s="344">
        <v>5</v>
      </c>
    </row>
    <row r="11" spans="1:8">
      <c r="A11" s="344">
        <v>15.2</v>
      </c>
      <c r="B11" s="344">
        <v>7</v>
      </c>
      <c r="C11" s="344">
        <v>8.6</v>
      </c>
      <c r="D11" s="344">
        <v>10.1</v>
      </c>
      <c r="E11" s="344">
        <v>10.1</v>
      </c>
      <c r="F11" s="344">
        <v>8</v>
      </c>
      <c r="G11" s="344">
        <v>5.7</v>
      </c>
      <c r="H11" s="344">
        <v>5.7</v>
      </c>
    </row>
    <row r="12" spans="1:8">
      <c r="A12" s="344">
        <v>17.8</v>
      </c>
      <c r="B12" s="344">
        <v>7.4</v>
      </c>
      <c r="C12" s="344">
        <v>9.3000000000000007</v>
      </c>
      <c r="D12" s="344">
        <v>10.8</v>
      </c>
      <c r="E12" s="344">
        <v>10.8</v>
      </c>
      <c r="F12" s="344">
        <v>8.6999999999999993</v>
      </c>
      <c r="G12" s="344">
        <v>6.1</v>
      </c>
      <c r="H12" s="344">
        <v>6.5</v>
      </c>
    </row>
    <row r="13" spans="1:8">
      <c r="A13" s="344">
        <v>20.3</v>
      </c>
      <c r="B13" s="344">
        <v>7.9</v>
      </c>
      <c r="C13" s="344">
        <v>10.1</v>
      </c>
      <c r="D13" s="344">
        <v>11.5</v>
      </c>
      <c r="E13" s="344">
        <v>11.5</v>
      </c>
      <c r="F13" s="344">
        <v>9.3000000000000007</v>
      </c>
      <c r="G13" s="344">
        <v>6.5</v>
      </c>
      <c r="H13" s="344">
        <v>7.2</v>
      </c>
    </row>
    <row r="14" spans="1:8">
      <c r="A14" s="344">
        <v>22.9</v>
      </c>
      <c r="B14" s="344">
        <v>8.3000000000000007</v>
      </c>
      <c r="C14" s="344">
        <v>10.8</v>
      </c>
      <c r="D14" s="344">
        <v>12.2</v>
      </c>
      <c r="E14" s="344">
        <v>12.2</v>
      </c>
      <c r="F14" s="344">
        <v>9.9</v>
      </c>
      <c r="G14" s="344">
        <v>6.9</v>
      </c>
      <c r="H14" s="344">
        <v>7.9</v>
      </c>
    </row>
    <row r="15" spans="1:8">
      <c r="A15" s="344">
        <v>25.4</v>
      </c>
      <c r="B15" s="344">
        <v>8.6999999999999993</v>
      </c>
      <c r="C15" s="344">
        <v>11.5</v>
      </c>
      <c r="D15" s="344">
        <v>12.9</v>
      </c>
      <c r="E15" s="344">
        <v>12.9</v>
      </c>
      <c r="F15" s="344">
        <v>10.5</v>
      </c>
      <c r="G15" s="344">
        <v>7.3</v>
      </c>
      <c r="H15" s="344">
        <v>8.6</v>
      </c>
    </row>
    <row r="16" spans="1:8">
      <c r="A16" s="344">
        <v>30.5</v>
      </c>
      <c r="B16" s="344">
        <v>9.6</v>
      </c>
      <c r="C16" s="344">
        <v>12.9</v>
      </c>
      <c r="D16" s="344">
        <v>14.2</v>
      </c>
      <c r="E16" s="344">
        <v>14.2</v>
      </c>
      <c r="F16" s="344">
        <v>11.8</v>
      </c>
      <c r="G16" s="344">
        <v>8.1</v>
      </c>
      <c r="H16" s="344">
        <v>10.1</v>
      </c>
    </row>
    <row r="17" spans="1:8">
      <c r="A17" s="344">
        <v>35.6</v>
      </c>
      <c r="B17" s="344">
        <v>10.5</v>
      </c>
      <c r="C17" s="344">
        <v>14.4</v>
      </c>
      <c r="D17" s="344">
        <v>15.6</v>
      </c>
      <c r="E17" s="344">
        <v>15.6</v>
      </c>
      <c r="F17" s="344">
        <v>13</v>
      </c>
      <c r="G17" s="344">
        <v>8.9</v>
      </c>
      <c r="H17" s="344">
        <v>11.5</v>
      </c>
    </row>
    <row r="18" spans="1:8">
      <c r="A18" s="344">
        <v>40.6</v>
      </c>
      <c r="B18" s="344">
        <v>11.4</v>
      </c>
      <c r="C18" s="344">
        <v>15.8</v>
      </c>
      <c r="D18" s="344">
        <v>17</v>
      </c>
      <c r="E18" s="344">
        <v>17</v>
      </c>
      <c r="F18" s="344">
        <v>14.2</v>
      </c>
      <c r="G18" s="344">
        <v>9.6999999999999993</v>
      </c>
      <c r="H18" s="344">
        <v>12.9</v>
      </c>
    </row>
    <row r="19" spans="1:8">
      <c r="A19" s="344">
        <v>45.7</v>
      </c>
      <c r="B19" s="344">
        <v>12.3</v>
      </c>
      <c r="C19" s="344">
        <v>17.2</v>
      </c>
      <c r="D19" s="344">
        <v>18.399999999999999</v>
      </c>
      <c r="E19" s="344">
        <v>18.399999999999999</v>
      </c>
      <c r="F19" s="344">
        <v>15.5</v>
      </c>
      <c r="G19" s="344">
        <v>10.5</v>
      </c>
      <c r="H19" s="344">
        <v>14.4</v>
      </c>
    </row>
    <row r="20" spans="1:8">
      <c r="A20" s="344">
        <v>50.8</v>
      </c>
      <c r="B20" s="344">
        <v>13.1</v>
      </c>
      <c r="C20" s="344">
        <v>18.600000000000001</v>
      </c>
      <c r="D20" s="344">
        <v>19.8</v>
      </c>
      <c r="E20" s="344">
        <v>19.8</v>
      </c>
      <c r="F20" s="344">
        <v>16.7</v>
      </c>
      <c r="G20" s="344">
        <v>11.3</v>
      </c>
      <c r="H20" s="344">
        <v>15.8</v>
      </c>
    </row>
    <row r="21" spans="1:8">
      <c r="A21" s="344">
        <v>55.9</v>
      </c>
      <c r="B21" s="344">
        <v>14</v>
      </c>
      <c r="C21" s="344">
        <v>20.100000000000001</v>
      </c>
      <c r="D21" s="344">
        <v>21.2</v>
      </c>
      <c r="E21" s="344">
        <v>21.2</v>
      </c>
      <c r="F21" s="344">
        <v>18</v>
      </c>
      <c r="G21" s="344">
        <v>12.1</v>
      </c>
      <c r="H21" s="344">
        <v>17.3</v>
      </c>
    </row>
    <row r="22" spans="1:8">
      <c r="A22" s="344">
        <v>61</v>
      </c>
      <c r="B22" s="344">
        <v>14.9</v>
      </c>
      <c r="C22" s="344">
        <v>21.5</v>
      </c>
      <c r="D22" s="344">
        <v>22.5</v>
      </c>
      <c r="E22" s="344">
        <v>22.5</v>
      </c>
      <c r="F22" s="344">
        <v>19.2</v>
      </c>
      <c r="G22" s="344">
        <v>12.9</v>
      </c>
      <c r="H22" s="344">
        <v>18.8</v>
      </c>
    </row>
    <row r="23" spans="1:8">
      <c r="A23" s="344">
        <v>66</v>
      </c>
      <c r="B23" s="344">
        <v>15.8</v>
      </c>
      <c r="C23" s="344">
        <v>22.9</v>
      </c>
      <c r="D23" s="344">
        <v>23.9</v>
      </c>
      <c r="E23" s="344">
        <v>23.9</v>
      </c>
      <c r="F23" s="344">
        <v>20.399999999999999</v>
      </c>
      <c r="G23" s="344">
        <v>13.7</v>
      </c>
      <c r="H23" s="344">
        <v>20.2</v>
      </c>
    </row>
    <row r="24" spans="1:8">
      <c r="A24" s="344">
        <v>71.099999999999994</v>
      </c>
      <c r="B24" s="344">
        <v>16.7</v>
      </c>
      <c r="C24" s="344">
        <v>24.4</v>
      </c>
      <c r="D24" s="344">
        <v>25.3</v>
      </c>
      <c r="E24" s="344">
        <v>25.3</v>
      </c>
      <c r="F24" s="344">
        <v>21.7</v>
      </c>
      <c r="G24" s="344">
        <v>14.5</v>
      </c>
      <c r="H24" s="344">
        <v>21.7</v>
      </c>
    </row>
    <row r="25" spans="1:8">
      <c r="A25" s="344">
        <v>76.2</v>
      </c>
      <c r="B25" s="344">
        <v>17.5</v>
      </c>
      <c r="C25" s="344">
        <v>25.8</v>
      </c>
      <c r="D25" s="344">
        <v>26.7</v>
      </c>
      <c r="E25" s="344">
        <v>26.7</v>
      </c>
      <c r="F25" s="344">
        <v>22.9</v>
      </c>
      <c r="G25" s="344">
        <v>15.3</v>
      </c>
      <c r="H25" s="344">
        <v>23.2</v>
      </c>
    </row>
    <row r="28" spans="1:8" ht="23.5">
      <c r="A28" s="402" t="s">
        <v>1231</v>
      </c>
    </row>
    <row r="29" spans="1:8">
      <c r="A29" s="3" t="s">
        <v>1232</v>
      </c>
      <c r="B29" s="3" t="s">
        <v>1233</v>
      </c>
      <c r="C29" s="3" t="s">
        <v>1229</v>
      </c>
    </row>
    <row r="30" spans="1:8">
      <c r="A30" s="570" t="s">
        <v>1234</v>
      </c>
      <c r="B30" s="111" t="s">
        <v>1235</v>
      </c>
      <c r="C30" s="344">
        <v>2</v>
      </c>
    </row>
    <row r="31" spans="1:8">
      <c r="A31" s="571"/>
      <c r="B31" s="111" t="s">
        <v>1236</v>
      </c>
      <c r="C31" s="344">
        <v>3.5</v>
      </c>
    </row>
    <row r="32" spans="1:8">
      <c r="A32" s="571"/>
      <c r="B32" s="111" t="s">
        <v>1237</v>
      </c>
      <c r="C32" s="344">
        <v>7.3</v>
      </c>
    </row>
    <row r="33" spans="1:7">
      <c r="A33" s="571"/>
      <c r="B33" s="111" t="s">
        <v>1238</v>
      </c>
      <c r="C33" s="344">
        <v>8.6999999999999993</v>
      </c>
    </row>
    <row r="34" spans="1:7">
      <c r="A34" s="572"/>
      <c r="B34" s="111" t="s">
        <v>1239</v>
      </c>
      <c r="C34" s="344">
        <v>10.8</v>
      </c>
    </row>
    <row r="35" spans="1:7">
      <c r="A35" s="3" t="s">
        <v>1240</v>
      </c>
      <c r="B35" s="111">
        <v>2</v>
      </c>
      <c r="C35" s="344">
        <v>5.6</v>
      </c>
    </row>
    <row r="36" spans="1:7">
      <c r="A36" s="3" t="s">
        <v>1241</v>
      </c>
      <c r="B36" s="111">
        <v>3</v>
      </c>
      <c r="C36" s="344">
        <v>5.6</v>
      </c>
    </row>
    <row r="37" spans="1:7">
      <c r="A37" s="570" t="s">
        <v>1242</v>
      </c>
      <c r="B37" s="111" t="s">
        <v>1243</v>
      </c>
      <c r="C37" s="344">
        <v>7.3</v>
      </c>
    </row>
    <row r="38" spans="1:7">
      <c r="A38" s="571"/>
      <c r="B38" s="111" t="s">
        <v>1244</v>
      </c>
      <c r="C38" s="344">
        <v>9.1</v>
      </c>
    </row>
    <row r="39" spans="1:7">
      <c r="A39" s="572"/>
      <c r="B39" s="111" t="s">
        <v>1245</v>
      </c>
      <c r="C39" s="344">
        <v>12.9</v>
      </c>
    </row>
    <row r="40" spans="1:7">
      <c r="A40" s="3" t="s">
        <v>1246</v>
      </c>
      <c r="B40" s="111">
        <v>5</v>
      </c>
      <c r="C40" s="344">
        <v>0</v>
      </c>
    </row>
    <row r="41" spans="1:7">
      <c r="C41" s="344"/>
    </row>
    <row r="43" spans="1:7" ht="23.5">
      <c r="A43" s="402" t="s">
        <v>1247</v>
      </c>
    </row>
    <row r="44" spans="1:7">
      <c r="A44" s="3"/>
      <c r="B44" s="564" t="s">
        <v>1229</v>
      </c>
      <c r="C44" s="564"/>
      <c r="D44" s="564"/>
      <c r="E44" s="564" t="s">
        <v>1248</v>
      </c>
      <c r="F44" s="564"/>
      <c r="G44" s="564"/>
    </row>
    <row r="45" spans="1:7">
      <c r="A45" s="3" t="s">
        <v>1228</v>
      </c>
      <c r="B45" s="3" t="s">
        <v>924</v>
      </c>
      <c r="C45" s="3" t="s">
        <v>931</v>
      </c>
      <c r="D45" s="3" t="s">
        <v>934</v>
      </c>
      <c r="E45" s="3" t="s">
        <v>1249</v>
      </c>
      <c r="F45" s="3" t="s">
        <v>1250</v>
      </c>
      <c r="G45" s="3" t="s">
        <v>1251</v>
      </c>
    </row>
    <row r="46" spans="1:7">
      <c r="A46" s="344">
        <v>2</v>
      </c>
      <c r="B46" s="344">
        <v>2</v>
      </c>
      <c r="C46" s="344">
        <v>2</v>
      </c>
      <c r="D46" s="344">
        <v>2</v>
      </c>
      <c r="E46" s="344">
        <v>1.1000000000000001</v>
      </c>
      <c r="F46" s="255">
        <v>1</v>
      </c>
      <c r="G46" s="344">
        <v>0</v>
      </c>
    </row>
    <row r="47" spans="1:7">
      <c r="A47" s="344">
        <v>2.5</v>
      </c>
      <c r="B47" s="344">
        <v>2.5</v>
      </c>
      <c r="C47" s="344">
        <v>2.9</v>
      </c>
      <c r="D47" s="344">
        <v>3.4</v>
      </c>
      <c r="E47" s="344">
        <v>1.1000000000000001</v>
      </c>
      <c r="F47" s="255">
        <v>1</v>
      </c>
      <c r="G47" s="344">
        <v>0</v>
      </c>
    </row>
    <row r="48" spans="1:7">
      <c r="A48" s="344">
        <v>5.0999999999999996</v>
      </c>
      <c r="B48" s="344">
        <v>3.6</v>
      </c>
      <c r="C48" s="344">
        <v>4.5999999999999996</v>
      </c>
      <c r="D48" s="344">
        <v>5.2</v>
      </c>
      <c r="E48" s="344">
        <v>3.4</v>
      </c>
      <c r="F48" s="255">
        <v>1.06</v>
      </c>
      <c r="G48" s="344">
        <v>2.2000000000000002</v>
      </c>
    </row>
    <row r="49" spans="1:7">
      <c r="A49" s="344">
        <v>7.6</v>
      </c>
      <c r="B49" s="344">
        <v>4.9000000000000004</v>
      </c>
      <c r="C49" s="344">
        <v>5.7</v>
      </c>
      <c r="D49" s="344">
        <v>6.7</v>
      </c>
      <c r="E49" s="344">
        <v>3.4</v>
      </c>
      <c r="F49" s="255">
        <v>1.06</v>
      </c>
      <c r="G49" s="344">
        <v>2.2000000000000002</v>
      </c>
    </row>
    <row r="50" spans="1:7">
      <c r="A50" s="344">
        <v>10.1</v>
      </c>
      <c r="B50" s="344">
        <v>6.1</v>
      </c>
      <c r="C50" s="344">
        <v>6.9</v>
      </c>
      <c r="D50" s="344">
        <v>8</v>
      </c>
      <c r="E50" s="344">
        <v>5.7</v>
      </c>
      <c r="F50" s="255">
        <v>1.1100000000000001</v>
      </c>
      <c r="G50" s="344">
        <v>3.9</v>
      </c>
    </row>
    <row r="51" spans="1:7">
      <c r="A51" s="344">
        <v>12.5</v>
      </c>
      <c r="B51" s="344">
        <v>7.3</v>
      </c>
      <c r="C51" s="344">
        <v>8</v>
      </c>
      <c r="D51" s="344">
        <v>9.1999999999999993</v>
      </c>
      <c r="E51" s="344">
        <v>5.7</v>
      </c>
      <c r="F51" s="255">
        <v>1.1100000000000001</v>
      </c>
      <c r="G51" s="344">
        <v>3.9</v>
      </c>
    </row>
    <row r="52" spans="1:7">
      <c r="A52" s="344">
        <v>15.2</v>
      </c>
      <c r="B52" s="344">
        <v>8.1</v>
      </c>
      <c r="C52" s="344">
        <v>8.9</v>
      </c>
      <c r="D52" s="344">
        <v>10.3</v>
      </c>
      <c r="E52" s="344">
        <v>7.9</v>
      </c>
      <c r="F52" s="255">
        <v>1.17</v>
      </c>
      <c r="G52" s="344">
        <v>5.6</v>
      </c>
    </row>
    <row r="53" spans="1:7">
      <c r="A53" s="344">
        <v>17.8</v>
      </c>
      <c r="B53" s="344">
        <v>8.9</v>
      </c>
      <c r="C53" s="344">
        <v>9.6999999999999993</v>
      </c>
      <c r="D53" s="344">
        <v>11.1</v>
      </c>
      <c r="E53" s="344">
        <v>7.9</v>
      </c>
      <c r="F53" s="255">
        <v>1.17</v>
      </c>
      <c r="G53" s="344">
        <v>5.6</v>
      </c>
    </row>
    <row r="54" spans="1:7">
      <c r="A54" s="344">
        <v>20.3</v>
      </c>
      <c r="B54" s="344">
        <v>9.6999999999999993</v>
      </c>
      <c r="C54" s="344">
        <v>10.6</v>
      </c>
      <c r="D54" s="344">
        <v>11.8</v>
      </c>
      <c r="E54" s="344">
        <v>10.199999999999999</v>
      </c>
      <c r="F54" s="255">
        <v>1.22</v>
      </c>
      <c r="G54" s="344">
        <v>7.4</v>
      </c>
    </row>
    <row r="55" spans="1:7">
      <c r="A55" s="344">
        <v>22.9</v>
      </c>
      <c r="B55" s="344">
        <v>10.5</v>
      </c>
      <c r="C55" s="344">
        <v>11.5</v>
      </c>
      <c r="D55" s="344">
        <v>12.7</v>
      </c>
      <c r="E55" s="344">
        <v>10.199999999999999</v>
      </c>
      <c r="F55" s="255">
        <v>1.22</v>
      </c>
      <c r="G55" s="344">
        <v>7.4</v>
      </c>
    </row>
    <row r="56" spans="1:7">
      <c r="A56" s="344">
        <v>25.4</v>
      </c>
      <c r="B56" s="344">
        <v>11.3</v>
      </c>
      <c r="C56" s="344">
        <v>12.2</v>
      </c>
      <c r="D56" s="344">
        <v>13.5</v>
      </c>
      <c r="E56" s="344">
        <v>12.5</v>
      </c>
      <c r="F56" s="255">
        <v>1.28</v>
      </c>
      <c r="G56" s="344">
        <v>9.1</v>
      </c>
    </row>
    <row r="57" spans="1:7">
      <c r="A57" s="344">
        <v>30.5</v>
      </c>
      <c r="B57" s="344">
        <v>12.9</v>
      </c>
      <c r="C57" s="344">
        <v>13.4</v>
      </c>
      <c r="D57" s="344">
        <v>15.2</v>
      </c>
      <c r="E57" s="344">
        <v>12.5</v>
      </c>
      <c r="F57" s="255">
        <v>1.28</v>
      </c>
      <c r="G57" s="344">
        <v>9.1</v>
      </c>
    </row>
    <row r="58" spans="1:7">
      <c r="A58" s="344">
        <v>35.6</v>
      </c>
      <c r="B58" s="344">
        <v>14.4</v>
      </c>
      <c r="C58" s="344">
        <v>14.6</v>
      </c>
      <c r="D58" s="344">
        <v>16.899999999999999</v>
      </c>
      <c r="E58" s="344">
        <v>14.7</v>
      </c>
      <c r="F58" s="255">
        <v>1.33</v>
      </c>
      <c r="G58" s="344">
        <v>10.8</v>
      </c>
    </row>
    <row r="59" spans="1:7">
      <c r="A59" s="344">
        <v>40.6</v>
      </c>
      <c r="B59" s="344">
        <v>16</v>
      </c>
      <c r="C59" s="344">
        <v>15.8</v>
      </c>
      <c r="D59" s="344">
        <v>18.7</v>
      </c>
      <c r="E59" s="344">
        <v>14.7</v>
      </c>
      <c r="F59" s="255">
        <v>1.33</v>
      </c>
      <c r="G59" s="344">
        <v>10.8</v>
      </c>
    </row>
    <row r="60" spans="1:7">
      <c r="A60" s="344">
        <v>45.7</v>
      </c>
      <c r="B60" s="344">
        <v>17.600000000000001</v>
      </c>
      <c r="C60" s="344">
        <v>17</v>
      </c>
      <c r="D60" s="344">
        <v>20.399999999999999</v>
      </c>
      <c r="E60" s="344">
        <v>17</v>
      </c>
      <c r="F60" s="255">
        <v>1.39</v>
      </c>
      <c r="G60" s="344">
        <v>12.5</v>
      </c>
    </row>
    <row r="61" spans="1:7">
      <c r="A61" s="344">
        <v>50.8</v>
      </c>
      <c r="B61" s="344">
        <v>19.2</v>
      </c>
      <c r="C61" s="344">
        <v>18.2</v>
      </c>
      <c r="D61" s="344">
        <v>22.1</v>
      </c>
      <c r="E61" s="344">
        <v>17</v>
      </c>
      <c r="F61" s="255">
        <v>1.39</v>
      </c>
      <c r="G61" s="344">
        <v>12.5</v>
      </c>
    </row>
    <row r="62" spans="1:7">
      <c r="A62" s="344">
        <v>55.9</v>
      </c>
      <c r="B62" s="344">
        <v>20.8</v>
      </c>
      <c r="C62" s="344">
        <v>19.399999999999999</v>
      </c>
      <c r="D62" s="344">
        <v>23.8</v>
      </c>
      <c r="E62" s="344">
        <v>19.3</v>
      </c>
      <c r="F62" s="255">
        <v>1.44</v>
      </c>
      <c r="G62" s="344">
        <v>14.3</v>
      </c>
    </row>
    <row r="63" spans="1:7">
      <c r="A63" s="344">
        <v>61</v>
      </c>
      <c r="B63" s="344">
        <v>22.4</v>
      </c>
      <c r="C63" s="344">
        <v>20.6</v>
      </c>
      <c r="D63" s="344">
        <v>25.5</v>
      </c>
      <c r="E63" s="344">
        <v>19.3</v>
      </c>
      <c r="F63" s="255">
        <v>1.44</v>
      </c>
      <c r="G63" s="344">
        <v>14.3</v>
      </c>
    </row>
    <row r="64" spans="1:7">
      <c r="A64" s="344">
        <v>66</v>
      </c>
      <c r="B64" s="344">
        <v>24</v>
      </c>
      <c r="C64" s="344">
        <v>21.8</v>
      </c>
      <c r="D64" s="344">
        <v>27.3</v>
      </c>
      <c r="E64" s="344">
        <v>21.5</v>
      </c>
      <c r="F64" s="255">
        <v>1.5</v>
      </c>
      <c r="G64" s="344">
        <v>16</v>
      </c>
    </row>
    <row r="65" spans="1:7">
      <c r="A65" s="344">
        <v>71.099999999999994</v>
      </c>
      <c r="B65" s="344">
        <v>25.5</v>
      </c>
      <c r="C65" s="344">
        <v>23.1</v>
      </c>
      <c r="D65" s="344">
        <v>29</v>
      </c>
      <c r="E65" s="344">
        <v>21.5</v>
      </c>
      <c r="F65" s="255">
        <v>1.5</v>
      </c>
      <c r="G65" s="344">
        <v>16</v>
      </c>
    </row>
    <row r="66" spans="1:7">
      <c r="A66" s="344">
        <v>76.2</v>
      </c>
      <c r="B66" s="344">
        <v>27.1</v>
      </c>
      <c r="C66" s="344">
        <v>24.3</v>
      </c>
      <c r="D66" s="344">
        <v>30.7</v>
      </c>
      <c r="E66" s="344"/>
      <c r="F66" s="255"/>
      <c r="G66" s="344"/>
    </row>
    <row r="69" spans="1:7" ht="23.5">
      <c r="A69" s="402" t="s">
        <v>1252</v>
      </c>
    </row>
    <row r="70" spans="1:7">
      <c r="A70" s="403" t="s">
        <v>0</v>
      </c>
      <c r="B70" s="3" t="s">
        <v>1253</v>
      </c>
      <c r="C70" s="3" t="s">
        <v>1254</v>
      </c>
      <c r="D70" s="3" t="s">
        <v>1312</v>
      </c>
      <c r="E70" s="3" t="s">
        <v>1313</v>
      </c>
    </row>
    <row r="71" spans="1:7">
      <c r="A71" s="3">
        <v>1</v>
      </c>
      <c r="B71" s="3" t="s">
        <v>1257</v>
      </c>
      <c r="C71" s="3" t="s">
        <v>1258</v>
      </c>
      <c r="D71" s="344">
        <v>5.6</v>
      </c>
      <c r="E71" s="344">
        <v>11.2</v>
      </c>
    </row>
    <row r="72" spans="1:7">
      <c r="A72" s="3">
        <v>1</v>
      </c>
      <c r="B72" s="3" t="s">
        <v>1257</v>
      </c>
      <c r="C72" s="3" t="s">
        <v>1259</v>
      </c>
      <c r="D72" s="344">
        <v>9.1</v>
      </c>
      <c r="E72" s="344">
        <v>14.7</v>
      </c>
    </row>
    <row r="73" spans="1:7">
      <c r="A73" s="3">
        <v>1</v>
      </c>
      <c r="B73" s="3" t="s">
        <v>1257</v>
      </c>
      <c r="C73" s="3" t="s">
        <v>1260</v>
      </c>
      <c r="D73" s="344">
        <v>10.4</v>
      </c>
      <c r="E73" s="344">
        <v>16</v>
      </c>
    </row>
    <row r="74" spans="1:7">
      <c r="A74" s="3">
        <v>2</v>
      </c>
      <c r="B74" s="3" t="s">
        <v>1261</v>
      </c>
      <c r="C74" s="3" t="s">
        <v>1258</v>
      </c>
      <c r="D74" s="344">
        <v>16.2</v>
      </c>
      <c r="E74" s="344">
        <v>21.8</v>
      </c>
    </row>
    <row r="75" spans="1:7">
      <c r="A75" s="3">
        <v>2</v>
      </c>
      <c r="B75" s="3" t="s">
        <v>1261</v>
      </c>
      <c r="C75" s="3" t="s">
        <v>1259</v>
      </c>
      <c r="D75" s="344">
        <v>19.7</v>
      </c>
      <c r="E75" s="344">
        <v>25.3</v>
      </c>
    </row>
    <row r="76" spans="1:7">
      <c r="A76" s="3">
        <v>2</v>
      </c>
      <c r="B76" s="3" t="s">
        <v>1261</v>
      </c>
      <c r="C76" s="3" t="s">
        <v>1260</v>
      </c>
      <c r="D76" s="344">
        <v>21</v>
      </c>
      <c r="E76" s="344">
        <v>26.6</v>
      </c>
    </row>
    <row r="77" spans="1:7">
      <c r="A77" s="3">
        <v>3</v>
      </c>
      <c r="B77" s="3" t="s">
        <v>1262</v>
      </c>
      <c r="C77" s="3" t="s">
        <v>1258</v>
      </c>
      <c r="D77" s="344">
        <v>43</v>
      </c>
      <c r="E77" s="344">
        <v>48.6</v>
      </c>
    </row>
    <row r="78" spans="1:7">
      <c r="A78" s="3">
        <v>3</v>
      </c>
      <c r="B78" s="3" t="s">
        <v>1262</v>
      </c>
      <c r="C78" s="3" t="s">
        <v>1259</v>
      </c>
      <c r="D78" s="344">
        <v>46.5</v>
      </c>
      <c r="E78" s="344">
        <v>52.1</v>
      </c>
    </row>
    <row r="79" spans="1:7">
      <c r="A79" s="3">
        <v>3</v>
      </c>
      <c r="B79" s="3" t="s">
        <v>1262</v>
      </c>
      <c r="C79" s="3" t="s">
        <v>1260</v>
      </c>
      <c r="D79" s="344">
        <v>47.8</v>
      </c>
      <c r="E79" s="344">
        <v>53.4</v>
      </c>
    </row>
    <row r="82" spans="1:12" ht="23.5">
      <c r="A82" s="402" t="s">
        <v>1263</v>
      </c>
    </row>
    <row r="83" spans="1:12">
      <c r="A83" s="3" t="s">
        <v>1264</v>
      </c>
      <c r="B83" s="3" t="s">
        <v>1229</v>
      </c>
    </row>
    <row r="84" spans="1:12">
      <c r="A84" s="3" t="s">
        <v>988</v>
      </c>
      <c r="B84" s="344">
        <v>3.4</v>
      </c>
    </row>
    <row r="85" spans="1:12">
      <c r="A85" s="3" t="s">
        <v>1265</v>
      </c>
      <c r="B85" s="344">
        <v>4.2</v>
      </c>
    </row>
    <row r="86" spans="1:12">
      <c r="A86" s="3" t="s">
        <v>1266</v>
      </c>
      <c r="B86" s="344">
        <v>3</v>
      </c>
    </row>
    <row r="87" spans="1:12">
      <c r="A87" s="3" t="s">
        <v>1267</v>
      </c>
      <c r="B87" s="344">
        <v>10.6</v>
      </c>
    </row>
    <row r="88" spans="1:12">
      <c r="A88" s="3" t="s">
        <v>1268</v>
      </c>
      <c r="B88" s="344">
        <v>16.2</v>
      </c>
    </row>
    <row r="90" spans="1:12" ht="23.5">
      <c r="A90" s="402" t="s">
        <v>1269</v>
      </c>
    </row>
    <row r="91" spans="1:12">
      <c r="A91" s="3"/>
      <c r="B91" s="3" t="s">
        <v>1229</v>
      </c>
      <c r="C91" s="3"/>
      <c r="D91" s="3"/>
      <c r="E91" s="3"/>
      <c r="F91" s="3"/>
      <c r="G91" s="3"/>
      <c r="H91" s="3"/>
      <c r="I91" s="3"/>
      <c r="J91" s="3"/>
      <c r="K91" s="3"/>
      <c r="L91" s="3"/>
    </row>
    <row r="92" spans="1:12">
      <c r="A92" s="3" t="s">
        <v>1270</v>
      </c>
      <c r="B92" s="3" t="s">
        <v>1271</v>
      </c>
      <c r="C92" s="3" t="s">
        <v>1272</v>
      </c>
      <c r="D92" s="3" t="s">
        <v>1273</v>
      </c>
      <c r="E92" s="3" t="s">
        <v>1274</v>
      </c>
      <c r="F92" s="3" t="s">
        <v>1275</v>
      </c>
      <c r="G92" s="3" t="s">
        <v>1276</v>
      </c>
      <c r="H92" s="3" t="s">
        <v>1277</v>
      </c>
      <c r="I92" s="3" t="s">
        <v>1278</v>
      </c>
      <c r="J92" s="3" t="s">
        <v>1279</v>
      </c>
      <c r="K92" s="3" t="s">
        <v>1280</v>
      </c>
      <c r="L92" s="3" t="s">
        <v>1281</v>
      </c>
    </row>
    <row r="93" spans="1:12">
      <c r="A93" s="3" t="s">
        <v>1282</v>
      </c>
      <c r="B93" s="344">
        <v>2.8</v>
      </c>
      <c r="C93" s="344">
        <v>3.5</v>
      </c>
      <c r="D93" s="344">
        <v>4.0999999999999996</v>
      </c>
      <c r="E93" s="344">
        <v>4.8</v>
      </c>
      <c r="F93" s="344">
        <v>5.4</v>
      </c>
      <c r="G93" s="344">
        <v>6.1</v>
      </c>
      <c r="H93" s="344">
        <v>6.8</v>
      </c>
      <c r="I93" s="344">
        <v>7.4</v>
      </c>
      <c r="J93" s="344">
        <v>8.1</v>
      </c>
      <c r="K93" s="344">
        <v>8.6999999999999993</v>
      </c>
      <c r="L93" s="344">
        <v>9.4</v>
      </c>
    </row>
    <row r="94" spans="1:12">
      <c r="A94" s="3" t="s">
        <v>1283</v>
      </c>
      <c r="B94" s="344">
        <v>4.4000000000000004</v>
      </c>
      <c r="C94" s="344">
        <v>5.5</v>
      </c>
      <c r="D94" s="344">
        <v>6.5</v>
      </c>
      <c r="E94" s="344">
        <v>7.5</v>
      </c>
      <c r="F94" s="344">
        <v>8.6</v>
      </c>
      <c r="G94" s="344">
        <v>9.6</v>
      </c>
      <c r="H94" s="344">
        <v>10.6</v>
      </c>
      <c r="I94" s="344">
        <v>11.6</v>
      </c>
      <c r="J94" s="344">
        <v>12.7</v>
      </c>
      <c r="K94" s="344">
        <v>13.7</v>
      </c>
      <c r="L94" s="344">
        <v>14.8</v>
      </c>
    </row>
    <row r="95" spans="1:12">
      <c r="A95" s="3" t="s">
        <v>1284</v>
      </c>
      <c r="B95" s="344">
        <v>8.4</v>
      </c>
      <c r="C95" s="344">
        <v>10.5</v>
      </c>
      <c r="D95" s="344">
        <v>12.3</v>
      </c>
      <c r="E95" s="344">
        <v>14.4</v>
      </c>
      <c r="F95" s="344">
        <v>16.2</v>
      </c>
      <c r="G95" s="344">
        <v>18.3</v>
      </c>
      <c r="H95" s="344">
        <v>20.399999999999999</v>
      </c>
      <c r="I95" s="344">
        <v>22.2</v>
      </c>
      <c r="J95" s="344">
        <v>24.2</v>
      </c>
      <c r="K95" s="344">
        <v>26.1</v>
      </c>
      <c r="L95" s="344">
        <v>28.2</v>
      </c>
    </row>
    <row r="98" spans="1:5" ht="23.5">
      <c r="A98" s="402" t="s">
        <v>1285</v>
      </c>
    </row>
    <row r="99" spans="1:5">
      <c r="A99" s="3" t="s">
        <v>1233</v>
      </c>
      <c r="B99" s="3" t="s">
        <v>1229</v>
      </c>
    </row>
    <row r="100" spans="1:5">
      <c r="A100" s="3">
        <v>1</v>
      </c>
      <c r="B100" s="344">
        <v>2</v>
      </c>
    </row>
    <row r="101" spans="1:5">
      <c r="A101" s="3">
        <v>2</v>
      </c>
      <c r="B101" s="344">
        <v>0</v>
      </c>
    </row>
    <row r="104" spans="1:5" ht="23.5">
      <c r="A104" s="402" t="s">
        <v>1286</v>
      </c>
    </row>
    <row r="105" spans="1:5">
      <c r="A105" s="3" t="s">
        <v>0</v>
      </c>
      <c r="B105" s="3" t="s">
        <v>1253</v>
      </c>
      <c r="C105" s="3" t="s">
        <v>1287</v>
      </c>
      <c r="D105" s="3" t="s">
        <v>1255</v>
      </c>
      <c r="E105" s="3" t="s">
        <v>1256</v>
      </c>
    </row>
    <row r="106" spans="1:5">
      <c r="A106" s="3">
        <v>1</v>
      </c>
      <c r="B106" s="3" t="s">
        <v>1257</v>
      </c>
      <c r="C106" s="3" t="s">
        <v>1288</v>
      </c>
      <c r="D106" s="344">
        <v>4</v>
      </c>
      <c r="E106" s="344">
        <v>5.7</v>
      </c>
    </row>
    <row r="107" spans="1:5">
      <c r="A107" s="3">
        <v>2</v>
      </c>
      <c r="B107" s="3" t="s">
        <v>1261</v>
      </c>
      <c r="C107" s="3" t="s">
        <v>1289</v>
      </c>
      <c r="D107" s="344">
        <v>7.5</v>
      </c>
      <c r="E107" s="344">
        <v>11.8</v>
      </c>
    </row>
    <row r="108" spans="1:5">
      <c r="A108" s="3">
        <v>3</v>
      </c>
      <c r="B108" s="3" t="s">
        <v>1290</v>
      </c>
      <c r="C108" s="3" t="s">
        <v>1291</v>
      </c>
      <c r="D108" s="344">
        <v>22.9</v>
      </c>
      <c r="E108" s="344">
        <v>34.700000000000003</v>
      </c>
    </row>
    <row r="111" spans="1:5" ht="23.5">
      <c r="A111" s="402" t="s">
        <v>1292</v>
      </c>
    </row>
    <row r="112" spans="1:5">
      <c r="A112" s="3">
        <v>1</v>
      </c>
      <c r="B112" s="3" t="s">
        <v>1293</v>
      </c>
      <c r="C112" s="3">
        <v>100000</v>
      </c>
      <c r="D112" s="3" t="s">
        <v>1292</v>
      </c>
    </row>
    <row r="113" spans="1:4">
      <c r="A113" s="3">
        <v>1</v>
      </c>
      <c r="B113" s="3" t="s">
        <v>1294</v>
      </c>
      <c r="C113" s="3">
        <f>C112/60</f>
        <v>1666.6666666666667</v>
      </c>
      <c r="D113" s="3" t="s">
        <v>1292</v>
      </c>
    </row>
    <row r="114" spans="1:4">
      <c r="A114" s="3">
        <v>1</v>
      </c>
      <c r="B114" s="3" t="s">
        <v>1295</v>
      </c>
      <c r="C114" s="3">
        <f>C112/3600</f>
        <v>27.777777777777779</v>
      </c>
      <c r="D114" s="3" t="s">
        <v>1292</v>
      </c>
    </row>
    <row r="115" spans="1:4">
      <c r="A115" s="565"/>
      <c r="B115" s="566"/>
      <c r="C115" s="566"/>
      <c r="D115" s="567"/>
    </row>
    <row r="116" spans="1:4">
      <c r="A116" s="3">
        <v>1</v>
      </c>
      <c r="B116" s="3" t="s">
        <v>1292</v>
      </c>
      <c r="C116" s="3">
        <f>A116/C112</f>
        <v>1.0000000000000001E-5</v>
      </c>
      <c r="D116" s="3" t="s">
        <v>1293</v>
      </c>
    </row>
    <row r="117" spans="1:4">
      <c r="A117" s="3">
        <v>1</v>
      </c>
      <c r="B117" s="3" t="s">
        <v>1292</v>
      </c>
      <c r="C117" s="3">
        <f>A117/C113</f>
        <v>5.9999999999999995E-4</v>
      </c>
      <c r="D117" s="3" t="s">
        <v>1294</v>
      </c>
    </row>
    <row r="118" spans="1:4">
      <c r="A118" s="3">
        <v>1</v>
      </c>
      <c r="B118" s="3" t="s">
        <v>1292</v>
      </c>
      <c r="C118" s="3">
        <f>A118/C114</f>
        <v>3.5999999999999997E-2</v>
      </c>
      <c r="D118" s="3" t="s">
        <v>1295</v>
      </c>
    </row>
  </sheetData>
  <mergeCells count="9">
    <mergeCell ref="B44:D44"/>
    <mergeCell ref="E44:G44"/>
    <mergeCell ref="A115:D115"/>
    <mergeCell ref="B2:H2"/>
    <mergeCell ref="A3:A4"/>
    <mergeCell ref="B3:F3"/>
    <mergeCell ref="G3:H3"/>
    <mergeCell ref="A30:A34"/>
    <mergeCell ref="A37:A39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20D1D-9870-AB40-9F8A-3E2B3BDAC048}">
  <sheetPr codeName="Sheet33"/>
  <dimension ref="A1:AR29"/>
  <sheetViews>
    <sheetView workbookViewId="0">
      <selection activeCell="AF3" sqref="AF3"/>
    </sheetView>
  </sheetViews>
  <sheetFormatPr defaultColWidth="10.6640625" defaultRowHeight="15.5"/>
  <cols>
    <col min="2" max="2" width="13.1640625" customWidth="1"/>
    <col min="9" max="9" width="13.1640625" bestFit="1" customWidth="1"/>
    <col min="13" max="13" width="11" customWidth="1"/>
    <col min="35" max="35" width="14.33203125" customWidth="1"/>
    <col min="36" max="36" width="15" customWidth="1"/>
    <col min="43" max="43" width="8.1640625" bestFit="1" customWidth="1"/>
    <col min="44" max="44" width="17.33203125" customWidth="1"/>
  </cols>
  <sheetData>
    <row r="1" spans="1:44" s="65" customFormat="1" ht="31.5" thickBot="1">
      <c r="A1" s="593" t="s">
        <v>1175</v>
      </c>
      <c r="B1" s="575" t="s">
        <v>1227</v>
      </c>
      <c r="C1" s="576"/>
      <c r="D1" s="576"/>
      <c r="E1" s="577"/>
      <c r="F1" s="575" t="s">
        <v>1231</v>
      </c>
      <c r="G1" s="576"/>
      <c r="H1" s="577"/>
      <c r="I1" s="575" t="s">
        <v>1247</v>
      </c>
      <c r="J1" s="576"/>
      <c r="K1" s="576"/>
      <c r="L1" s="577"/>
      <c r="M1" s="575" t="s">
        <v>1252</v>
      </c>
      <c r="N1" s="576"/>
      <c r="O1" s="576"/>
      <c r="P1" s="576"/>
      <c r="Q1" s="577"/>
      <c r="R1" s="575" t="s">
        <v>1263</v>
      </c>
      <c r="S1" s="576"/>
      <c r="T1" s="577"/>
      <c r="U1" s="575" t="s">
        <v>1269</v>
      </c>
      <c r="V1" s="576"/>
      <c r="W1" s="576"/>
      <c r="X1" s="577"/>
      <c r="Y1" s="575" t="s">
        <v>1285</v>
      </c>
      <c r="Z1" s="576"/>
      <c r="AA1" s="577"/>
      <c r="AB1" s="575" t="s">
        <v>1286</v>
      </c>
      <c r="AC1" s="576"/>
      <c r="AD1" s="576"/>
      <c r="AE1" s="577"/>
      <c r="AF1" s="578" t="s">
        <v>1296</v>
      </c>
      <c r="AG1" s="580" t="s">
        <v>1297</v>
      </c>
      <c r="AH1" s="582" t="s">
        <v>908</v>
      </c>
      <c r="AI1" s="584" t="s">
        <v>1298</v>
      </c>
      <c r="AJ1" s="586" t="s">
        <v>1299</v>
      </c>
      <c r="AK1" s="588" t="s">
        <v>1300</v>
      </c>
      <c r="AL1" s="588"/>
      <c r="AM1" s="588"/>
      <c r="AN1" s="589"/>
      <c r="AO1" s="404" t="s">
        <v>1301</v>
      </c>
      <c r="AP1" s="582" t="s">
        <v>1302</v>
      </c>
      <c r="AQ1" s="591" t="s">
        <v>1303</v>
      </c>
      <c r="AR1" s="573" t="s">
        <v>1304</v>
      </c>
    </row>
    <row r="2" spans="1:44" ht="46.5">
      <c r="A2" s="594"/>
      <c r="B2" s="405" t="s">
        <v>1228</v>
      </c>
      <c r="C2" s="406" t="s">
        <v>81</v>
      </c>
      <c r="D2" s="406" t="s">
        <v>0</v>
      </c>
      <c r="E2" s="407" t="s">
        <v>1292</v>
      </c>
      <c r="F2" s="405" t="s">
        <v>1305</v>
      </c>
      <c r="G2" s="406" t="s">
        <v>0</v>
      </c>
      <c r="H2" s="407" t="s">
        <v>1292</v>
      </c>
      <c r="I2" s="405" t="s">
        <v>1228</v>
      </c>
      <c r="J2" s="406" t="s">
        <v>1305</v>
      </c>
      <c r="K2" s="406" t="s">
        <v>0</v>
      </c>
      <c r="L2" s="407" t="s">
        <v>1292</v>
      </c>
      <c r="M2" s="405" t="s">
        <v>1253</v>
      </c>
      <c r="N2" s="406" t="s">
        <v>1254</v>
      </c>
      <c r="O2" s="406" t="s">
        <v>1306</v>
      </c>
      <c r="P2" s="406" t="s">
        <v>0</v>
      </c>
      <c r="Q2" s="407" t="s">
        <v>1292</v>
      </c>
      <c r="R2" s="405" t="s">
        <v>1305</v>
      </c>
      <c r="S2" s="406" t="s">
        <v>0</v>
      </c>
      <c r="T2" s="407" t="s">
        <v>1292</v>
      </c>
      <c r="U2" s="405" t="s">
        <v>1270</v>
      </c>
      <c r="V2" s="406" t="s">
        <v>1307</v>
      </c>
      <c r="W2" s="406" t="s">
        <v>0</v>
      </c>
      <c r="X2" s="407" t="s">
        <v>1292</v>
      </c>
      <c r="Y2" s="405" t="s">
        <v>1233</v>
      </c>
      <c r="Z2" s="406" t="s">
        <v>0</v>
      </c>
      <c r="AA2" s="407" t="s">
        <v>1292</v>
      </c>
      <c r="AB2" s="405" t="s">
        <v>1253</v>
      </c>
      <c r="AC2" s="406" t="s">
        <v>1306</v>
      </c>
      <c r="AD2" s="406" t="s">
        <v>0</v>
      </c>
      <c r="AE2" s="407" t="s">
        <v>1292</v>
      </c>
      <c r="AF2" s="579"/>
      <c r="AG2" s="581"/>
      <c r="AH2" s="583"/>
      <c r="AI2" s="585"/>
      <c r="AJ2" s="587"/>
      <c r="AK2" s="408" t="s">
        <v>1308</v>
      </c>
      <c r="AL2" s="409" t="s">
        <v>1309</v>
      </c>
      <c r="AM2" s="409" t="s">
        <v>1310</v>
      </c>
      <c r="AN2" s="410" t="s">
        <v>1311</v>
      </c>
      <c r="AO2" s="411">
        <v>0.25</v>
      </c>
      <c r="AP2" s="590"/>
      <c r="AQ2" s="592"/>
      <c r="AR2" s="574"/>
    </row>
    <row r="3" spans="1:44">
      <c r="A3" s="412"/>
      <c r="B3" s="87">
        <v>35</v>
      </c>
      <c r="C3" s="85" t="s">
        <v>937</v>
      </c>
      <c r="D3" s="85">
        <f>P3</f>
        <v>8</v>
      </c>
      <c r="E3" s="88">
        <f>VLOOKUP(B3,'S32 MTM Motion Elements'!$A$5:$F$25,MATCH(C3,'S32 MTM Motion Elements'!$B$4:$F$4)+1,1)</f>
        <v>14.2</v>
      </c>
      <c r="F3" s="413" t="s">
        <v>1235</v>
      </c>
      <c r="G3" s="85">
        <f>P3</f>
        <v>8</v>
      </c>
      <c r="H3" s="414">
        <f>VLOOKUP(F3,'S32 MTM Motion Elements'!$B$30:$C$40,2,0)</f>
        <v>2</v>
      </c>
      <c r="I3" s="87">
        <v>58</v>
      </c>
      <c r="J3" s="85" t="s">
        <v>934</v>
      </c>
      <c r="K3" s="85">
        <f>2*P3</f>
        <v>16</v>
      </c>
      <c r="L3" s="88">
        <f>VLOOKUP(I3,'S32 MTM Motion Elements'!$A$46:$D$66,MATCH(J3,'S32 MTM Motion Elements'!$A$45:$D$45,0),1)</f>
        <v>23.8</v>
      </c>
      <c r="M3" s="87" t="s">
        <v>1257</v>
      </c>
      <c r="N3" s="85" t="s">
        <v>1260</v>
      </c>
      <c r="O3" s="85" t="s">
        <v>1312</v>
      </c>
      <c r="P3" s="85">
        <v>8</v>
      </c>
      <c r="Q3" s="88" cm="1">
        <f t="array" ref="Q3">VLOOKUP(M3&amp;"-"&amp;N3,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MATCH(O3,'S32 MTM Motion Elements'!$D$70:$E$70,0)+1,
0)</f>
        <v>10.4</v>
      </c>
      <c r="R3" s="87" t="s">
        <v>988</v>
      </c>
      <c r="S3" s="85">
        <f>P3</f>
        <v>8</v>
      </c>
      <c r="T3" s="88">
        <f>VLOOKUP(R3,'S32 MTM Motion Elements'!$A$84:$B$88,2,1)</f>
        <v>3.4</v>
      </c>
      <c r="U3" s="87" t="s">
        <v>1282</v>
      </c>
      <c r="V3" s="85" t="s">
        <v>1271</v>
      </c>
      <c r="W3" s="85">
        <f>3*P3</f>
        <v>24</v>
      </c>
      <c r="X3" s="88">
        <f>VLOOKUP(U3,'S32 MTM Motion Elements'!$A$92:$L$95,MATCH(V3,'S32 MTM Motion Elements'!$A$92:$L$92,0),0)</f>
        <v>2.8</v>
      </c>
      <c r="Y3" s="87">
        <v>1</v>
      </c>
      <c r="Z3" s="85">
        <v>6</v>
      </c>
      <c r="AA3" s="88">
        <f>IF(Y3=1,'S32 MTM Motion Elements'!$B$100,'S32 MTM Motion Elements'!$B$101)</f>
        <v>2</v>
      </c>
      <c r="AB3" s="87" t="s">
        <v>1257</v>
      </c>
      <c r="AC3" s="85" t="s">
        <v>1312</v>
      </c>
      <c r="AD3" s="85">
        <f>P3</f>
        <v>8</v>
      </c>
      <c r="AE3" s="414">
        <f>IF(AC3="Easy", VLOOKUP(AB3,'S32 MTM Motion Elements'!$B$106:$E$108,3,0),VLOOKUP(AB3,'S32 MTM Motion Elements'!$B$106:$E$108,4,0))</f>
        <v>4</v>
      </c>
      <c r="AF3" s="440">
        <f>E3+H3+L3+Q3+T3+X3+AA3+AE3</f>
        <v>62.599999999999994</v>
      </c>
      <c r="AG3" s="88"/>
      <c r="AH3" s="415"/>
      <c r="AI3" s="416"/>
      <c r="AJ3" s="414"/>
      <c r="AK3" s="417"/>
      <c r="AL3" s="418"/>
      <c r="AM3" s="418"/>
      <c r="AN3" s="419"/>
      <c r="AO3" s="420"/>
      <c r="AP3" s="421"/>
      <c r="AQ3" s="422"/>
      <c r="AR3" s="423"/>
    </row>
    <row r="4" spans="1:44">
      <c r="A4" s="412"/>
      <c r="B4" s="6">
        <v>40</v>
      </c>
      <c r="C4" s="3" t="s">
        <v>924</v>
      </c>
      <c r="D4" s="3">
        <f t="shared" ref="D4:D28" si="0">P4</f>
        <v>8</v>
      </c>
      <c r="E4" s="88">
        <f>VLOOKUP(B4,'S32 MTM Motion Elements'!$A$5:$F$25,MATCH(C4,'S32 MTM Motion Elements'!$B$4:$F$4)+1,1)</f>
        <v>10.5</v>
      </c>
      <c r="F4" s="424">
        <v>2</v>
      </c>
      <c r="G4" s="3">
        <f t="shared" ref="G4:G28" si="1">P4</f>
        <v>8</v>
      </c>
      <c r="H4" s="414">
        <f>VLOOKUP(F4,'S32 MTM Motion Elements'!$B$30:$C$40,2,0)</f>
        <v>5.6</v>
      </c>
      <c r="I4" s="6">
        <v>23</v>
      </c>
      <c r="J4" s="3" t="s">
        <v>934</v>
      </c>
      <c r="K4" s="3">
        <f t="shared" ref="K4:K28" si="2">2*P4</f>
        <v>16</v>
      </c>
      <c r="L4" s="88">
        <f>VLOOKUP(I4,'S32 MTM Motion Elements'!$A$46:$D$66,MATCH(J4,'S32 MTM Motion Elements'!$A$45:$D$45,0),1)</f>
        <v>12.7</v>
      </c>
      <c r="M4" s="6" t="s">
        <v>1261</v>
      </c>
      <c r="N4" s="3" t="s">
        <v>1258</v>
      </c>
      <c r="O4" s="3" t="s">
        <v>1313</v>
      </c>
      <c r="P4" s="3">
        <v>8</v>
      </c>
      <c r="Q4" s="88" cm="1">
        <f t="array" ref="Q4">VLOOKUP(M4&amp;"-"&amp;N4,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MATCH(O4,'S32 MTM Motion Elements'!$D$70:$E$70,0)+1,
0)</f>
        <v>21.8</v>
      </c>
      <c r="R4" s="6" t="s">
        <v>988</v>
      </c>
      <c r="S4" s="3">
        <f t="shared" ref="S4:S28" si="3">P4</f>
        <v>8</v>
      </c>
      <c r="T4" s="88">
        <f>VLOOKUP(R4,'S32 MTM Motion Elements'!$A$84:$B$88,2,1)</f>
        <v>3.4</v>
      </c>
      <c r="U4" s="6" t="s">
        <v>1283</v>
      </c>
      <c r="V4" s="3" t="s">
        <v>1273</v>
      </c>
      <c r="W4" s="3">
        <f t="shared" ref="W4:W28" si="4">3*P4</f>
        <v>24</v>
      </c>
      <c r="X4" s="88">
        <f>VLOOKUP(U4,'S32 MTM Motion Elements'!$A$92:$L$95,MATCH(V4,'S32 MTM Motion Elements'!$A$92:$L$92,0),0)</f>
        <v>6.5</v>
      </c>
      <c r="Y4" s="6">
        <v>1</v>
      </c>
      <c r="Z4" s="3">
        <v>6</v>
      </c>
      <c r="AA4" s="88">
        <f>IF(Y4=1,'S32 MTM Motion Elements'!$B$100,'S32 MTM Motion Elements'!$B$101)</f>
        <v>2</v>
      </c>
      <c r="AB4" s="6" t="s">
        <v>1290</v>
      </c>
      <c r="AC4" s="3" t="s">
        <v>1313</v>
      </c>
      <c r="AD4" s="85">
        <f t="shared" ref="AD4:AD28" si="5">P4</f>
        <v>8</v>
      </c>
      <c r="AE4" s="414">
        <f>IF(AC4="Easy", VLOOKUP(AB4,'S32 MTM Motion Elements'!$B$106:$E$108,3,0),VLOOKUP(AB4,'S32 MTM Motion Elements'!$B$106:$E$108,4,0))</f>
        <v>34.700000000000003</v>
      </c>
      <c r="AF4" s="440">
        <f t="shared" ref="AF4:AF28" si="6">E4+H4+L4+Q4+T4+X4+AA4+AE4</f>
        <v>97.2</v>
      </c>
      <c r="AG4" s="88"/>
      <c r="AH4" s="415"/>
      <c r="AI4" s="416"/>
      <c r="AJ4" s="414"/>
      <c r="AK4" s="417"/>
      <c r="AL4" s="418"/>
      <c r="AM4" s="418"/>
      <c r="AN4" s="419"/>
      <c r="AO4" s="420"/>
      <c r="AP4" s="421"/>
      <c r="AQ4" s="422"/>
      <c r="AR4" s="423"/>
    </row>
    <row r="5" spans="1:44">
      <c r="A5" s="412"/>
      <c r="B5" s="6">
        <v>30</v>
      </c>
      <c r="C5" s="3" t="s">
        <v>931</v>
      </c>
      <c r="D5" s="3">
        <f t="shared" si="0"/>
        <v>8</v>
      </c>
      <c r="E5" s="88">
        <f>VLOOKUP(B5,'S32 MTM Motion Elements'!$A$5:$F$25,MATCH(C5,'S32 MTM Motion Elements'!$B$4:$F$4)+1,1)</f>
        <v>11.5</v>
      </c>
      <c r="F5" s="424" t="s">
        <v>1236</v>
      </c>
      <c r="G5" s="3">
        <f t="shared" si="1"/>
        <v>8</v>
      </c>
      <c r="H5" s="414">
        <f>VLOOKUP(F5,'S32 MTM Motion Elements'!$B$30:$C$40,2,0)</f>
        <v>3.5</v>
      </c>
      <c r="I5" s="6">
        <v>46</v>
      </c>
      <c r="J5" s="3" t="s">
        <v>934</v>
      </c>
      <c r="K5" s="3">
        <f t="shared" si="2"/>
        <v>16</v>
      </c>
      <c r="L5" s="88">
        <f>VLOOKUP(I5,'S32 MTM Motion Elements'!$A$46:$D$66,MATCH(J5,'S32 MTM Motion Elements'!$A$45:$D$45,0),1)</f>
        <v>20.399999999999999</v>
      </c>
      <c r="M5" s="6" t="s">
        <v>1261</v>
      </c>
      <c r="N5" s="3" t="s">
        <v>1258</v>
      </c>
      <c r="O5" s="3" t="s">
        <v>1312</v>
      </c>
      <c r="P5" s="3">
        <v>8</v>
      </c>
      <c r="Q5" s="88" cm="1">
        <f t="array" ref="Q5">VLOOKUP(M5&amp;"-"&amp;N5,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MATCH(O5,'S32 MTM Motion Elements'!$D$70:$E$70,0)+1,
0)</f>
        <v>16.2</v>
      </c>
      <c r="R5" s="6" t="s">
        <v>1265</v>
      </c>
      <c r="S5" s="3">
        <f t="shared" si="3"/>
        <v>8</v>
      </c>
      <c r="T5" s="88">
        <f>VLOOKUP(R5,'S32 MTM Motion Elements'!$A$84:$B$88,2,1)</f>
        <v>4.2</v>
      </c>
      <c r="U5" s="6" t="s">
        <v>1282</v>
      </c>
      <c r="V5" s="3" t="s">
        <v>1277</v>
      </c>
      <c r="W5" s="3">
        <f t="shared" si="4"/>
        <v>24</v>
      </c>
      <c r="X5" s="88">
        <f>VLOOKUP(U5,'S32 MTM Motion Elements'!$A$92:$L$95,MATCH(V5,'S32 MTM Motion Elements'!$A$92:$L$92,0),0)</f>
        <v>6.8</v>
      </c>
      <c r="Y5" s="6">
        <v>1</v>
      </c>
      <c r="Z5" s="3">
        <v>6</v>
      </c>
      <c r="AA5" s="88">
        <f>IF(Y5=1,'S32 MTM Motion Elements'!$B$100,'S32 MTM Motion Elements'!$B$101)</f>
        <v>2</v>
      </c>
      <c r="AB5" s="6" t="s">
        <v>1257</v>
      </c>
      <c r="AC5" s="3" t="s">
        <v>1312</v>
      </c>
      <c r="AD5" s="85">
        <f t="shared" si="5"/>
        <v>8</v>
      </c>
      <c r="AE5" s="414">
        <f>IF(AC5="Easy", VLOOKUP(AB5,'S32 MTM Motion Elements'!$B$106:$E$108,3,0),VLOOKUP(AB5,'S32 MTM Motion Elements'!$B$106:$E$108,4,0))</f>
        <v>4</v>
      </c>
      <c r="AF5" s="440">
        <f t="shared" si="6"/>
        <v>68.599999999999994</v>
      </c>
      <c r="AG5" s="88"/>
      <c r="AH5" s="415"/>
      <c r="AI5" s="416"/>
      <c r="AJ5" s="414"/>
      <c r="AK5" s="417"/>
      <c r="AL5" s="418"/>
      <c r="AM5" s="418"/>
      <c r="AN5" s="419"/>
      <c r="AO5" s="420"/>
      <c r="AP5" s="421"/>
      <c r="AQ5" s="422"/>
      <c r="AR5" s="423"/>
    </row>
    <row r="6" spans="1:44">
      <c r="A6" s="412"/>
      <c r="B6" s="6">
        <v>45</v>
      </c>
      <c r="C6" s="3" t="s">
        <v>937</v>
      </c>
      <c r="D6" s="3">
        <f t="shared" si="0"/>
        <v>8</v>
      </c>
      <c r="E6" s="88">
        <f>VLOOKUP(B6,'S32 MTM Motion Elements'!$A$5:$F$25,MATCH(C6,'S32 MTM Motion Elements'!$B$4:$F$4)+1,1)</f>
        <v>17</v>
      </c>
      <c r="F6" s="424" t="s">
        <v>1243</v>
      </c>
      <c r="G6" s="3">
        <f t="shared" si="1"/>
        <v>8</v>
      </c>
      <c r="H6" s="414">
        <f>VLOOKUP(F6,'S32 MTM Motion Elements'!$B$30:$C$40,2,0)</f>
        <v>7.3</v>
      </c>
      <c r="I6" s="6">
        <v>48</v>
      </c>
      <c r="J6" s="3" t="s">
        <v>934</v>
      </c>
      <c r="K6" s="3">
        <f t="shared" si="2"/>
        <v>16</v>
      </c>
      <c r="L6" s="88">
        <f>VLOOKUP(I6,'S32 MTM Motion Elements'!$A$46:$D$66,MATCH(J6,'S32 MTM Motion Elements'!$A$45:$D$45,0),1)</f>
        <v>20.399999999999999</v>
      </c>
      <c r="M6" s="6" t="s">
        <v>1257</v>
      </c>
      <c r="N6" s="3" t="s">
        <v>1260</v>
      </c>
      <c r="O6" s="3" t="s">
        <v>1312</v>
      </c>
      <c r="P6" s="3">
        <v>8</v>
      </c>
      <c r="Q6" s="88" cm="1">
        <f t="array" ref="Q6">VLOOKUP(M6&amp;"-"&amp;N6,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MATCH(O6,'S32 MTM Motion Elements'!$D$70:$E$70,0)+1,
0)</f>
        <v>10.4</v>
      </c>
      <c r="R6" s="6" t="s">
        <v>1266</v>
      </c>
      <c r="S6" s="3">
        <f t="shared" si="3"/>
        <v>8</v>
      </c>
      <c r="T6" s="88">
        <f>VLOOKUP(R6,'S32 MTM Motion Elements'!$A$84:$B$88,2,1)</f>
        <v>3</v>
      </c>
      <c r="U6" s="6" t="s">
        <v>1284</v>
      </c>
      <c r="V6" s="3" t="s">
        <v>1275</v>
      </c>
      <c r="W6" s="3">
        <f t="shared" si="4"/>
        <v>24</v>
      </c>
      <c r="X6" s="88">
        <f>VLOOKUP(U6,'S32 MTM Motion Elements'!$A$92:$L$95,MATCH(V6,'S32 MTM Motion Elements'!$A$92:$L$92,0),0)</f>
        <v>16.2</v>
      </c>
      <c r="Y6" s="6">
        <v>1</v>
      </c>
      <c r="Z6" s="3">
        <v>6</v>
      </c>
      <c r="AA6" s="88">
        <f>IF(Y6=1,'S32 MTM Motion Elements'!$B$100,'S32 MTM Motion Elements'!$B$101)</f>
        <v>2</v>
      </c>
      <c r="AB6" s="6" t="s">
        <v>1257</v>
      </c>
      <c r="AC6" s="3" t="s">
        <v>1312</v>
      </c>
      <c r="AD6" s="85">
        <f t="shared" si="5"/>
        <v>8</v>
      </c>
      <c r="AE6" s="414">
        <f>IF(AC6="Easy", VLOOKUP(AB6,'S32 MTM Motion Elements'!$B$106:$E$108,3,0),VLOOKUP(AB6,'S32 MTM Motion Elements'!$B$106:$E$108,4,0))</f>
        <v>4</v>
      </c>
      <c r="AF6" s="440">
        <f t="shared" si="6"/>
        <v>80.3</v>
      </c>
      <c r="AG6" s="88"/>
      <c r="AH6" s="415"/>
      <c r="AI6" s="416"/>
      <c r="AJ6" s="414"/>
      <c r="AK6" s="417"/>
      <c r="AL6" s="418"/>
      <c r="AM6" s="418"/>
      <c r="AN6" s="419"/>
      <c r="AO6" s="420"/>
      <c r="AP6" s="421"/>
      <c r="AQ6" s="422"/>
      <c r="AR6" s="423"/>
    </row>
    <row r="7" spans="1:44">
      <c r="A7" s="412"/>
      <c r="B7" s="6">
        <v>40</v>
      </c>
      <c r="C7" s="3" t="s">
        <v>931</v>
      </c>
      <c r="D7" s="3">
        <f t="shared" si="0"/>
        <v>8</v>
      </c>
      <c r="E7" s="88">
        <f>VLOOKUP(B7,'S32 MTM Motion Elements'!$A$5:$F$25,MATCH(C7,'S32 MTM Motion Elements'!$B$4:$F$4)+1,1)</f>
        <v>14.4</v>
      </c>
      <c r="F7" s="424" t="s">
        <v>1244</v>
      </c>
      <c r="G7" s="3">
        <f t="shared" si="1"/>
        <v>8</v>
      </c>
      <c r="H7" s="414">
        <f>VLOOKUP(F7,'S32 MTM Motion Elements'!$B$30:$C$40,2,0)</f>
        <v>9.1</v>
      </c>
      <c r="I7" s="6">
        <v>63</v>
      </c>
      <c r="J7" s="3" t="s">
        <v>934</v>
      </c>
      <c r="K7" s="3">
        <f t="shared" si="2"/>
        <v>16</v>
      </c>
      <c r="L7" s="88">
        <f>VLOOKUP(I7,'S32 MTM Motion Elements'!$A$46:$D$66,MATCH(J7,'S32 MTM Motion Elements'!$A$45:$D$45,0),1)</f>
        <v>25.5</v>
      </c>
      <c r="M7" s="6" t="s">
        <v>1262</v>
      </c>
      <c r="N7" s="3" t="s">
        <v>1259</v>
      </c>
      <c r="O7" s="3" t="s">
        <v>1312</v>
      </c>
      <c r="P7" s="3">
        <v>8</v>
      </c>
      <c r="Q7" s="88" cm="1">
        <f t="array" ref="Q7">VLOOKUP(M7&amp;"-"&amp;N7,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MATCH(O7,'S32 MTM Motion Elements'!$D$70:$E$70,0)+1,
0)</f>
        <v>46.5</v>
      </c>
      <c r="R7" s="6" t="s">
        <v>1267</v>
      </c>
      <c r="S7" s="3">
        <f t="shared" si="3"/>
        <v>8</v>
      </c>
      <c r="T7" s="88">
        <f>VLOOKUP(R7,'S32 MTM Motion Elements'!$A$84:$B$88,2,1)</f>
        <v>3.4</v>
      </c>
      <c r="U7" s="6" t="s">
        <v>1283</v>
      </c>
      <c r="V7" s="3" t="s">
        <v>1271</v>
      </c>
      <c r="W7" s="3">
        <f t="shared" si="4"/>
        <v>24</v>
      </c>
      <c r="X7" s="88">
        <f>VLOOKUP(U7,'S32 MTM Motion Elements'!$A$92:$L$95,MATCH(V7,'S32 MTM Motion Elements'!$A$92:$L$92,0),0)</f>
        <v>4.4000000000000004</v>
      </c>
      <c r="Y7" s="6">
        <v>1</v>
      </c>
      <c r="Z7" s="3">
        <v>6</v>
      </c>
      <c r="AA7" s="88">
        <f>IF(Y7=1,'S32 MTM Motion Elements'!$B$100,'S32 MTM Motion Elements'!$B$101)</f>
        <v>2</v>
      </c>
      <c r="AB7" s="6" t="s">
        <v>1261</v>
      </c>
      <c r="AC7" s="3" t="s">
        <v>1313</v>
      </c>
      <c r="AD7" s="85">
        <f t="shared" si="5"/>
        <v>8</v>
      </c>
      <c r="AE7" s="414">
        <f>IF(AC7="Easy", VLOOKUP(AB7,'S32 MTM Motion Elements'!$B$106:$E$108,3,0),VLOOKUP(AB7,'S32 MTM Motion Elements'!$B$106:$E$108,4,0))</f>
        <v>11.8</v>
      </c>
      <c r="AF7" s="440">
        <f t="shared" si="6"/>
        <v>117.10000000000001</v>
      </c>
      <c r="AG7" s="88"/>
      <c r="AH7" s="415"/>
      <c r="AI7" s="416"/>
      <c r="AJ7" s="414"/>
      <c r="AK7" s="417"/>
      <c r="AL7" s="418"/>
      <c r="AM7" s="418"/>
      <c r="AN7" s="419"/>
      <c r="AO7" s="420"/>
      <c r="AP7" s="421"/>
      <c r="AQ7" s="422"/>
      <c r="AR7" s="423"/>
    </row>
    <row r="8" spans="1:44">
      <c r="A8" s="412"/>
      <c r="B8" s="6">
        <v>35</v>
      </c>
      <c r="C8" s="3" t="s">
        <v>924</v>
      </c>
      <c r="D8" s="3">
        <f t="shared" si="0"/>
        <v>8</v>
      </c>
      <c r="E8" s="88">
        <f>VLOOKUP(B8,'S32 MTM Motion Elements'!$A$5:$F$25,MATCH(C8,'S32 MTM Motion Elements'!$B$4:$F$4)+1,1)</f>
        <v>9.6</v>
      </c>
      <c r="F8" s="424">
        <v>3</v>
      </c>
      <c r="G8" s="3">
        <f t="shared" si="1"/>
        <v>8</v>
      </c>
      <c r="H8" s="414">
        <f>VLOOKUP(F8,'S32 MTM Motion Elements'!$B$30:$C$40,2,0)</f>
        <v>5.6</v>
      </c>
      <c r="I8" s="6">
        <v>15</v>
      </c>
      <c r="J8" s="3" t="s">
        <v>934</v>
      </c>
      <c r="K8" s="3">
        <f t="shared" si="2"/>
        <v>16</v>
      </c>
      <c r="L8" s="88">
        <f>VLOOKUP(I8,'S32 MTM Motion Elements'!$A$46:$D$66,MATCH(J8,'S32 MTM Motion Elements'!$A$45:$D$45,0),1)</f>
        <v>9.1999999999999993</v>
      </c>
      <c r="M8" s="6" t="s">
        <v>1262</v>
      </c>
      <c r="N8" s="3" t="s">
        <v>1259</v>
      </c>
      <c r="O8" s="3" t="s">
        <v>1313</v>
      </c>
      <c r="P8" s="3">
        <v>8</v>
      </c>
      <c r="Q8" s="88" cm="1">
        <f t="array" ref="Q8">VLOOKUP(M8&amp;"-"&amp;N8,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MATCH(O8,'S32 MTM Motion Elements'!$D$70:$E$70,0)+1,
0)</f>
        <v>52.1</v>
      </c>
      <c r="R8" s="6" t="s">
        <v>1268</v>
      </c>
      <c r="S8" s="3">
        <f t="shared" si="3"/>
        <v>8</v>
      </c>
      <c r="T8" s="88">
        <f>VLOOKUP(R8,'S32 MTM Motion Elements'!$A$84:$B$88,2,1)</f>
        <v>3.4</v>
      </c>
      <c r="U8" s="6" t="s">
        <v>1282</v>
      </c>
      <c r="V8" s="3" t="s">
        <v>1275</v>
      </c>
      <c r="W8" s="3">
        <f t="shared" si="4"/>
        <v>24</v>
      </c>
      <c r="X8" s="88">
        <f>VLOOKUP(U8,'S32 MTM Motion Elements'!$A$92:$L$95,MATCH(V8,'S32 MTM Motion Elements'!$A$92:$L$92,0),0)</f>
        <v>5.4</v>
      </c>
      <c r="Y8" s="6">
        <v>1</v>
      </c>
      <c r="Z8" s="3">
        <v>6</v>
      </c>
      <c r="AA8" s="88">
        <f>IF(Y8=1,'S32 MTM Motion Elements'!$B$100,'S32 MTM Motion Elements'!$B$101)</f>
        <v>2</v>
      </c>
      <c r="AB8" s="6" t="s">
        <v>1290</v>
      </c>
      <c r="AC8" s="3" t="s">
        <v>1313</v>
      </c>
      <c r="AD8" s="85">
        <f t="shared" si="5"/>
        <v>8</v>
      </c>
      <c r="AE8" s="414">
        <f>IF(AC8="Easy", VLOOKUP(AB8,'S32 MTM Motion Elements'!$B$106:$E$108,3,0),VLOOKUP(AB8,'S32 MTM Motion Elements'!$B$106:$E$108,4,0))</f>
        <v>34.700000000000003</v>
      </c>
      <c r="AF8" s="440">
        <f t="shared" si="6"/>
        <v>122.00000000000001</v>
      </c>
      <c r="AG8" s="88"/>
      <c r="AH8" s="415"/>
      <c r="AI8" s="416"/>
      <c r="AJ8" s="414"/>
      <c r="AK8" s="417"/>
      <c r="AL8" s="418"/>
      <c r="AM8" s="418"/>
      <c r="AN8" s="419"/>
      <c r="AO8" s="420"/>
      <c r="AP8" s="421"/>
      <c r="AQ8" s="422"/>
      <c r="AR8" s="423"/>
    </row>
    <row r="9" spans="1:44">
      <c r="A9" s="412"/>
      <c r="B9" s="6">
        <v>40</v>
      </c>
      <c r="C9" s="3" t="s">
        <v>931</v>
      </c>
      <c r="D9" s="3">
        <f t="shared" si="0"/>
        <v>8</v>
      </c>
      <c r="E9" s="88">
        <f>VLOOKUP(B9,'S32 MTM Motion Elements'!$A$5:$F$25,MATCH(C9,'S32 MTM Motion Elements'!$B$4:$F$4)+1,1)</f>
        <v>14.4</v>
      </c>
      <c r="F9" s="424">
        <v>2</v>
      </c>
      <c r="G9" s="3">
        <f t="shared" si="1"/>
        <v>8</v>
      </c>
      <c r="H9" s="414">
        <f>VLOOKUP(F9,'S32 MTM Motion Elements'!$B$30:$C$40,2,0)</f>
        <v>5.6</v>
      </c>
      <c r="I9" s="6">
        <v>19</v>
      </c>
      <c r="J9" s="3" t="s">
        <v>934</v>
      </c>
      <c r="K9" s="3">
        <f t="shared" si="2"/>
        <v>16</v>
      </c>
      <c r="L9" s="88">
        <f>VLOOKUP(I9,'S32 MTM Motion Elements'!$A$46:$D$66,MATCH(J9,'S32 MTM Motion Elements'!$A$45:$D$45,0),1)</f>
        <v>11.1</v>
      </c>
      <c r="M9" s="6" t="s">
        <v>1257</v>
      </c>
      <c r="N9" s="3" t="s">
        <v>1260</v>
      </c>
      <c r="O9" s="3" t="s">
        <v>1313</v>
      </c>
      <c r="P9" s="3">
        <v>8</v>
      </c>
      <c r="Q9" s="88" cm="1">
        <f t="array" ref="Q9">VLOOKUP(M9&amp;"-"&amp;N9,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MATCH(O9,'S32 MTM Motion Elements'!$D$70:$E$70,0)+1,
0)</f>
        <v>16</v>
      </c>
      <c r="R9" s="6" t="s">
        <v>1267</v>
      </c>
      <c r="S9" s="3">
        <f t="shared" si="3"/>
        <v>8</v>
      </c>
      <c r="T9" s="88">
        <f>VLOOKUP(R9,'S32 MTM Motion Elements'!$A$84:$B$88,2,1)</f>
        <v>3.4</v>
      </c>
      <c r="U9" s="6" t="s">
        <v>1284</v>
      </c>
      <c r="V9" s="3" t="s">
        <v>1273</v>
      </c>
      <c r="W9" s="3">
        <f t="shared" si="4"/>
        <v>24</v>
      </c>
      <c r="X9" s="88">
        <f>VLOOKUP(U9,'S32 MTM Motion Elements'!$A$92:$L$95,MATCH(V9,'S32 MTM Motion Elements'!$A$92:$L$92,0),0)</f>
        <v>12.3</v>
      </c>
      <c r="Y9" s="6">
        <v>1</v>
      </c>
      <c r="Z9" s="3">
        <v>6</v>
      </c>
      <c r="AA9" s="88">
        <f>IF(Y9=1,'S32 MTM Motion Elements'!$B$100,'S32 MTM Motion Elements'!$B$101)</f>
        <v>2</v>
      </c>
      <c r="AB9" s="6" t="s">
        <v>1261</v>
      </c>
      <c r="AC9" s="3" t="s">
        <v>1313</v>
      </c>
      <c r="AD9" s="85">
        <f t="shared" si="5"/>
        <v>8</v>
      </c>
      <c r="AE9" s="414">
        <f>IF(AC9="Easy", VLOOKUP(AB9,'S32 MTM Motion Elements'!$B$106:$E$108,3,0),VLOOKUP(AB9,'S32 MTM Motion Elements'!$B$106:$E$108,4,0))</f>
        <v>11.8</v>
      </c>
      <c r="AF9" s="440">
        <f t="shared" si="6"/>
        <v>76.599999999999994</v>
      </c>
      <c r="AG9" s="88"/>
      <c r="AH9" s="415"/>
      <c r="AI9" s="416"/>
      <c r="AJ9" s="414"/>
      <c r="AK9" s="417"/>
      <c r="AL9" s="418"/>
      <c r="AM9" s="418"/>
      <c r="AN9" s="419"/>
      <c r="AO9" s="420"/>
      <c r="AP9" s="421"/>
      <c r="AQ9" s="422"/>
      <c r="AR9" s="423"/>
    </row>
    <row r="10" spans="1:44">
      <c r="A10" s="412"/>
      <c r="B10" s="6">
        <v>35</v>
      </c>
      <c r="C10" s="3" t="s">
        <v>937</v>
      </c>
      <c r="D10" s="3">
        <f t="shared" si="0"/>
        <v>8</v>
      </c>
      <c r="E10" s="88">
        <f>VLOOKUP(B10,'S32 MTM Motion Elements'!$A$5:$F$25,MATCH(C10,'S32 MTM Motion Elements'!$B$4:$F$4)+1,1)</f>
        <v>14.2</v>
      </c>
      <c r="F10" s="424" t="s">
        <v>1237</v>
      </c>
      <c r="G10" s="3">
        <f t="shared" si="1"/>
        <v>8</v>
      </c>
      <c r="H10" s="414">
        <f>VLOOKUP(F10,'S32 MTM Motion Elements'!$B$30:$C$40,2,0)</f>
        <v>7.3</v>
      </c>
      <c r="I10" s="6">
        <v>62</v>
      </c>
      <c r="J10" s="3" t="s">
        <v>934</v>
      </c>
      <c r="K10" s="3">
        <f t="shared" si="2"/>
        <v>16</v>
      </c>
      <c r="L10" s="88">
        <f>VLOOKUP(I10,'S32 MTM Motion Elements'!$A$46:$D$66,MATCH(J10,'S32 MTM Motion Elements'!$A$45:$D$45,0),1)</f>
        <v>25.5</v>
      </c>
      <c r="M10" s="6" t="s">
        <v>1261</v>
      </c>
      <c r="N10" s="3" t="s">
        <v>1258</v>
      </c>
      <c r="O10" s="3" t="s">
        <v>1312</v>
      </c>
      <c r="P10" s="3">
        <v>8</v>
      </c>
      <c r="Q10" s="88" cm="1">
        <f t="array" ref="Q10">VLOOKUP(M10&amp;"-"&amp;N10,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MATCH(O10,'S32 MTM Motion Elements'!$D$70:$E$70,0)+1,
0)</f>
        <v>16.2</v>
      </c>
      <c r="R10" s="6" t="s">
        <v>1268</v>
      </c>
      <c r="S10" s="3">
        <f t="shared" si="3"/>
        <v>8</v>
      </c>
      <c r="T10" s="88">
        <f>VLOOKUP(R10,'S32 MTM Motion Elements'!$A$84:$B$88,2,1)</f>
        <v>3.4</v>
      </c>
      <c r="U10" s="6" t="s">
        <v>1284</v>
      </c>
      <c r="V10" s="3" t="s">
        <v>1277</v>
      </c>
      <c r="W10" s="3">
        <f t="shared" si="4"/>
        <v>24</v>
      </c>
      <c r="X10" s="88">
        <f>VLOOKUP(U10,'S32 MTM Motion Elements'!$A$92:$L$95,MATCH(V10,'S32 MTM Motion Elements'!$A$92:$L$92,0),0)</f>
        <v>20.399999999999999</v>
      </c>
      <c r="Y10" s="6">
        <v>1</v>
      </c>
      <c r="Z10" s="3">
        <v>6</v>
      </c>
      <c r="AA10" s="88">
        <f>IF(Y10=1,'S32 MTM Motion Elements'!$B$100,'S32 MTM Motion Elements'!$B$101)</f>
        <v>2</v>
      </c>
      <c r="AB10" s="6" t="s">
        <v>1257</v>
      </c>
      <c r="AC10" s="3" t="s">
        <v>1312</v>
      </c>
      <c r="AD10" s="85">
        <f t="shared" si="5"/>
        <v>8</v>
      </c>
      <c r="AE10" s="414">
        <f>IF(AC10="Easy", VLOOKUP(AB10,'S32 MTM Motion Elements'!$B$106:$E$108,3,0),VLOOKUP(AB10,'S32 MTM Motion Elements'!$B$106:$E$108,4,0))</f>
        <v>4</v>
      </c>
      <c r="AF10" s="440">
        <f t="shared" si="6"/>
        <v>93</v>
      </c>
      <c r="AG10" s="88"/>
      <c r="AH10" s="415"/>
      <c r="AI10" s="416"/>
      <c r="AJ10" s="414"/>
      <c r="AK10" s="417"/>
      <c r="AL10" s="418"/>
      <c r="AM10" s="418"/>
      <c r="AN10" s="419"/>
      <c r="AO10" s="420"/>
      <c r="AP10" s="421"/>
      <c r="AQ10" s="422"/>
      <c r="AR10" s="423"/>
    </row>
    <row r="11" spans="1:44">
      <c r="A11" s="412"/>
      <c r="B11" s="6">
        <v>35</v>
      </c>
      <c r="C11" s="3" t="s">
        <v>931</v>
      </c>
      <c r="D11" s="3">
        <f t="shared" si="0"/>
        <v>8</v>
      </c>
      <c r="E11" s="88">
        <f>VLOOKUP(B11,'S32 MTM Motion Elements'!$A$5:$F$25,MATCH(C11,'S32 MTM Motion Elements'!$B$4:$F$4)+1,1)</f>
        <v>12.9</v>
      </c>
      <c r="F11" s="424" t="s">
        <v>1238</v>
      </c>
      <c r="G11" s="3">
        <f t="shared" si="1"/>
        <v>8</v>
      </c>
      <c r="H11" s="414">
        <f>VLOOKUP(F11,'S32 MTM Motion Elements'!$B$30:$C$40,2,0)</f>
        <v>8.6999999999999993</v>
      </c>
      <c r="I11" s="6">
        <v>50</v>
      </c>
      <c r="J11" s="3" t="s">
        <v>934</v>
      </c>
      <c r="K11" s="3">
        <f t="shared" si="2"/>
        <v>16</v>
      </c>
      <c r="L11" s="88">
        <f>VLOOKUP(I11,'S32 MTM Motion Elements'!$A$46:$D$66,MATCH(J11,'S32 MTM Motion Elements'!$A$45:$D$45,0),1)</f>
        <v>20.399999999999999</v>
      </c>
      <c r="M11" s="6" t="s">
        <v>1257</v>
      </c>
      <c r="N11" s="3" t="s">
        <v>1260</v>
      </c>
      <c r="O11" s="3" t="s">
        <v>1313</v>
      </c>
      <c r="P11" s="3">
        <v>8</v>
      </c>
      <c r="Q11" s="88" cm="1">
        <f t="array" ref="Q11">VLOOKUP(M11&amp;"-"&amp;N11,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MATCH(O11,'S32 MTM Motion Elements'!$D$70:$E$70,0)+1,
0)</f>
        <v>16</v>
      </c>
      <c r="R11" s="6" t="s">
        <v>1267</v>
      </c>
      <c r="S11" s="3">
        <f t="shared" si="3"/>
        <v>8</v>
      </c>
      <c r="T11" s="88">
        <f>VLOOKUP(R11,'S32 MTM Motion Elements'!$A$84:$B$88,2,1)</f>
        <v>3.4</v>
      </c>
      <c r="U11" s="6" t="s">
        <v>1283</v>
      </c>
      <c r="V11" s="3" t="s">
        <v>1275</v>
      </c>
      <c r="W11" s="3">
        <f t="shared" si="4"/>
        <v>24</v>
      </c>
      <c r="X11" s="88">
        <f>VLOOKUP(U11,'S32 MTM Motion Elements'!$A$92:$L$95,MATCH(V11,'S32 MTM Motion Elements'!$A$92:$L$92,0),0)</f>
        <v>8.6</v>
      </c>
      <c r="Y11" s="6">
        <v>1</v>
      </c>
      <c r="Z11" s="3">
        <v>6</v>
      </c>
      <c r="AA11" s="88">
        <f>IF(Y11=1,'S32 MTM Motion Elements'!$B$100,'S32 MTM Motion Elements'!$B$101)</f>
        <v>2</v>
      </c>
      <c r="AB11" s="6" t="s">
        <v>1261</v>
      </c>
      <c r="AC11" s="3" t="s">
        <v>1313</v>
      </c>
      <c r="AD11" s="85">
        <f t="shared" si="5"/>
        <v>8</v>
      </c>
      <c r="AE11" s="414">
        <f>IF(AC11="Easy", VLOOKUP(AB11,'S32 MTM Motion Elements'!$B$106:$E$108,3,0),VLOOKUP(AB11,'S32 MTM Motion Elements'!$B$106:$E$108,4,0))</f>
        <v>11.8</v>
      </c>
      <c r="AF11" s="440">
        <f t="shared" si="6"/>
        <v>83.8</v>
      </c>
      <c r="AG11" s="88"/>
      <c r="AH11" s="415"/>
      <c r="AI11" s="416"/>
      <c r="AJ11" s="414"/>
      <c r="AK11" s="417"/>
      <c r="AL11" s="418"/>
      <c r="AM11" s="418"/>
      <c r="AN11" s="419"/>
      <c r="AO11" s="420"/>
      <c r="AP11" s="421"/>
      <c r="AQ11" s="422"/>
      <c r="AR11" s="423"/>
    </row>
    <row r="12" spans="1:44">
      <c r="A12" s="412"/>
      <c r="B12" s="6">
        <v>30</v>
      </c>
      <c r="C12" s="3" t="s">
        <v>924</v>
      </c>
      <c r="D12" s="3">
        <f t="shared" si="0"/>
        <v>8</v>
      </c>
      <c r="E12" s="88">
        <f>VLOOKUP(B12,'S32 MTM Motion Elements'!$A$5:$F$25,MATCH(C12,'S32 MTM Motion Elements'!$B$4:$F$4)+1,1)</f>
        <v>8.6999999999999993</v>
      </c>
      <c r="F12" s="424" t="s">
        <v>1239</v>
      </c>
      <c r="G12" s="3">
        <f t="shared" si="1"/>
        <v>8</v>
      </c>
      <c r="H12" s="414">
        <f>VLOOKUP(F12,'S32 MTM Motion Elements'!$B$30:$C$40,2,0)</f>
        <v>10.8</v>
      </c>
      <c r="I12" s="6">
        <v>57</v>
      </c>
      <c r="J12" s="3" t="s">
        <v>934</v>
      </c>
      <c r="K12" s="3">
        <f t="shared" si="2"/>
        <v>16</v>
      </c>
      <c r="L12" s="88">
        <f>VLOOKUP(I12,'S32 MTM Motion Elements'!$A$46:$D$66,MATCH(J12,'S32 MTM Motion Elements'!$A$45:$D$45,0),1)</f>
        <v>23.8</v>
      </c>
      <c r="M12" s="6" t="s">
        <v>1261</v>
      </c>
      <c r="N12" s="3" t="s">
        <v>1258</v>
      </c>
      <c r="O12" s="3" t="s">
        <v>1312</v>
      </c>
      <c r="P12" s="3">
        <v>8</v>
      </c>
      <c r="Q12" s="88" cm="1">
        <f t="array" ref="Q12">VLOOKUP(M12&amp;"-"&amp;N12,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MATCH(O12,'S32 MTM Motion Elements'!$D$70:$E$70,0)+1,
0)</f>
        <v>16.2</v>
      </c>
      <c r="R12" s="6" t="s">
        <v>1267</v>
      </c>
      <c r="S12" s="3">
        <f t="shared" si="3"/>
        <v>8</v>
      </c>
      <c r="T12" s="88">
        <f>VLOOKUP(R12,'S32 MTM Motion Elements'!$A$84:$B$88,2,1)</f>
        <v>3.4</v>
      </c>
      <c r="U12" s="6" t="s">
        <v>1284</v>
      </c>
      <c r="V12" s="3" t="s">
        <v>1273</v>
      </c>
      <c r="W12" s="3">
        <f t="shared" si="4"/>
        <v>24</v>
      </c>
      <c r="X12" s="88">
        <f>VLOOKUP(U12,'S32 MTM Motion Elements'!$A$92:$L$95,MATCH(V12,'S32 MTM Motion Elements'!$A$92:$L$92,0),0)</f>
        <v>12.3</v>
      </c>
      <c r="Y12" s="6">
        <v>1</v>
      </c>
      <c r="Z12" s="3">
        <v>6</v>
      </c>
      <c r="AA12" s="88">
        <f>IF(Y12=1,'S32 MTM Motion Elements'!$B$100,'S32 MTM Motion Elements'!$B$101)</f>
        <v>2</v>
      </c>
      <c r="AB12" s="6" t="s">
        <v>1290</v>
      </c>
      <c r="AC12" s="3" t="s">
        <v>1313</v>
      </c>
      <c r="AD12" s="85">
        <f t="shared" si="5"/>
        <v>8</v>
      </c>
      <c r="AE12" s="414">
        <f>IF(AC12="Easy", VLOOKUP(AB12,'S32 MTM Motion Elements'!$B$106:$E$108,3,0),VLOOKUP(AB12,'S32 MTM Motion Elements'!$B$106:$E$108,4,0))</f>
        <v>34.700000000000003</v>
      </c>
      <c r="AF12" s="440">
        <f t="shared" si="6"/>
        <v>111.9</v>
      </c>
      <c r="AG12" s="88"/>
      <c r="AH12" s="415"/>
      <c r="AI12" s="416"/>
      <c r="AJ12" s="414"/>
      <c r="AK12" s="417"/>
      <c r="AL12" s="418"/>
      <c r="AM12" s="418"/>
      <c r="AN12" s="419"/>
      <c r="AO12" s="420"/>
      <c r="AP12" s="421"/>
      <c r="AQ12" s="422"/>
      <c r="AR12" s="423"/>
    </row>
    <row r="13" spans="1:44">
      <c r="A13" s="412"/>
      <c r="B13" s="6">
        <v>25</v>
      </c>
      <c r="C13" s="3" t="s">
        <v>937</v>
      </c>
      <c r="D13" s="3">
        <f t="shared" si="0"/>
        <v>8</v>
      </c>
      <c r="E13" s="88">
        <f>VLOOKUP(B13,'S32 MTM Motion Elements'!$A$5:$F$25,MATCH(C13,'S32 MTM Motion Elements'!$B$4:$F$4)+1,1)</f>
        <v>12.2</v>
      </c>
      <c r="F13" s="424">
        <v>3</v>
      </c>
      <c r="G13" s="3">
        <f t="shared" si="1"/>
        <v>8</v>
      </c>
      <c r="H13" s="414">
        <f>VLOOKUP(F13,'S32 MTM Motion Elements'!$B$30:$C$40,2,0)</f>
        <v>5.6</v>
      </c>
      <c r="I13" s="6">
        <v>28</v>
      </c>
      <c r="J13" s="3" t="s">
        <v>934</v>
      </c>
      <c r="K13" s="3">
        <f t="shared" si="2"/>
        <v>16</v>
      </c>
      <c r="L13" s="88">
        <f>VLOOKUP(I13,'S32 MTM Motion Elements'!$A$46:$D$66,MATCH(J13,'S32 MTM Motion Elements'!$A$45:$D$45,0),1)</f>
        <v>13.5</v>
      </c>
      <c r="M13" s="6" t="s">
        <v>1257</v>
      </c>
      <c r="N13" s="3" t="s">
        <v>1260</v>
      </c>
      <c r="O13" s="3" t="s">
        <v>1313</v>
      </c>
      <c r="P13" s="3">
        <v>8</v>
      </c>
      <c r="Q13" s="88" cm="1">
        <f t="array" ref="Q13">VLOOKUP(M13&amp;"-"&amp;N13,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MATCH(O13,'S32 MTM Motion Elements'!$D$70:$E$70,0)+1,
0)</f>
        <v>16</v>
      </c>
      <c r="R13" s="6" t="s">
        <v>1268</v>
      </c>
      <c r="S13" s="3">
        <f t="shared" si="3"/>
        <v>8</v>
      </c>
      <c r="T13" s="88">
        <f>VLOOKUP(R13,'S32 MTM Motion Elements'!$A$84:$B$88,2,1)</f>
        <v>3.4</v>
      </c>
      <c r="U13" s="6" t="s">
        <v>1284</v>
      </c>
      <c r="V13" s="3" t="s">
        <v>1277</v>
      </c>
      <c r="W13" s="3">
        <f t="shared" si="4"/>
        <v>24</v>
      </c>
      <c r="X13" s="88">
        <f>VLOOKUP(U13,'S32 MTM Motion Elements'!$A$92:$L$95,MATCH(V13,'S32 MTM Motion Elements'!$A$92:$L$92,0),0)</f>
        <v>20.399999999999999</v>
      </c>
      <c r="Y13" s="6">
        <v>1</v>
      </c>
      <c r="Z13" s="3">
        <v>6</v>
      </c>
      <c r="AA13" s="88">
        <f>IF(Y13=1,'S32 MTM Motion Elements'!$B$100,'S32 MTM Motion Elements'!$B$101)</f>
        <v>2</v>
      </c>
      <c r="AB13" s="6" t="s">
        <v>1290</v>
      </c>
      <c r="AC13" s="3" t="s">
        <v>1313</v>
      </c>
      <c r="AD13" s="85">
        <f t="shared" si="5"/>
        <v>8</v>
      </c>
      <c r="AE13" s="414">
        <f>IF(AC13="Easy", VLOOKUP(AB13,'S32 MTM Motion Elements'!$B$106:$E$108,3,0),VLOOKUP(AB13,'S32 MTM Motion Elements'!$B$106:$E$108,4,0))</f>
        <v>34.700000000000003</v>
      </c>
      <c r="AF13" s="440">
        <f t="shared" si="6"/>
        <v>107.8</v>
      </c>
      <c r="AG13" s="88"/>
      <c r="AH13" s="415"/>
      <c r="AI13" s="416"/>
      <c r="AJ13" s="414"/>
      <c r="AK13" s="417"/>
      <c r="AL13" s="418"/>
      <c r="AM13" s="418"/>
      <c r="AN13" s="419"/>
      <c r="AO13" s="420"/>
      <c r="AP13" s="421"/>
      <c r="AQ13" s="422"/>
      <c r="AR13" s="423"/>
    </row>
    <row r="14" spans="1:44">
      <c r="A14" s="412"/>
      <c r="B14" s="6">
        <v>35</v>
      </c>
      <c r="C14" s="3" t="s">
        <v>931</v>
      </c>
      <c r="D14" s="3">
        <f t="shared" si="0"/>
        <v>8</v>
      </c>
      <c r="E14" s="88">
        <f>VLOOKUP(B14,'S32 MTM Motion Elements'!$A$5:$F$25,MATCH(C14,'S32 MTM Motion Elements'!$B$4:$F$4)+1,1)</f>
        <v>12.9</v>
      </c>
      <c r="F14" s="424">
        <v>2</v>
      </c>
      <c r="G14" s="3">
        <f t="shared" si="1"/>
        <v>8</v>
      </c>
      <c r="H14" s="414">
        <f>VLOOKUP(F14,'S32 MTM Motion Elements'!$B$30:$C$40,2,0)</f>
        <v>5.6</v>
      </c>
      <c r="I14" s="6">
        <v>65</v>
      </c>
      <c r="J14" s="3" t="s">
        <v>934</v>
      </c>
      <c r="K14" s="3">
        <f t="shared" si="2"/>
        <v>16</v>
      </c>
      <c r="L14" s="88">
        <f>VLOOKUP(I14,'S32 MTM Motion Elements'!$A$46:$D$66,MATCH(J14,'S32 MTM Motion Elements'!$A$45:$D$45,0),1)</f>
        <v>25.5</v>
      </c>
      <c r="M14" s="6" t="s">
        <v>1257</v>
      </c>
      <c r="N14" s="3" t="s">
        <v>1260</v>
      </c>
      <c r="O14" s="3" t="s">
        <v>1312</v>
      </c>
      <c r="P14" s="3">
        <v>8</v>
      </c>
      <c r="Q14" s="88" cm="1">
        <f t="array" ref="Q14">VLOOKUP(M14&amp;"-"&amp;N14,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MATCH(O14,'S32 MTM Motion Elements'!$D$70:$E$70,0)+1,
0)</f>
        <v>10.4</v>
      </c>
      <c r="R14" s="6" t="s">
        <v>1268</v>
      </c>
      <c r="S14" s="3">
        <f t="shared" si="3"/>
        <v>8</v>
      </c>
      <c r="T14" s="88">
        <f>VLOOKUP(R14,'S32 MTM Motion Elements'!$A$84:$B$88,2,1)</f>
        <v>3.4</v>
      </c>
      <c r="U14" s="6" t="s">
        <v>1283</v>
      </c>
      <c r="V14" s="3" t="s">
        <v>1275</v>
      </c>
      <c r="W14" s="3">
        <f t="shared" si="4"/>
        <v>24</v>
      </c>
      <c r="X14" s="88">
        <f>VLOOKUP(U14,'S32 MTM Motion Elements'!$A$92:$L$95,MATCH(V14,'S32 MTM Motion Elements'!$A$92:$L$92,0),0)</f>
        <v>8.6</v>
      </c>
      <c r="Y14" s="6">
        <v>1</v>
      </c>
      <c r="Z14" s="3">
        <v>6</v>
      </c>
      <c r="AA14" s="88">
        <f>IF(Y14=1,'S32 MTM Motion Elements'!$B$100,'S32 MTM Motion Elements'!$B$101)</f>
        <v>2</v>
      </c>
      <c r="AB14" s="6" t="s">
        <v>1257</v>
      </c>
      <c r="AC14" s="3" t="s">
        <v>1312</v>
      </c>
      <c r="AD14" s="85">
        <f t="shared" si="5"/>
        <v>8</v>
      </c>
      <c r="AE14" s="414">
        <f>IF(AC14="Easy", VLOOKUP(AB14,'S32 MTM Motion Elements'!$B$106:$E$108,3,0),VLOOKUP(AB14,'S32 MTM Motion Elements'!$B$106:$E$108,4,0))</f>
        <v>4</v>
      </c>
      <c r="AF14" s="440">
        <f t="shared" si="6"/>
        <v>72.399999999999991</v>
      </c>
      <c r="AG14" s="88"/>
      <c r="AH14" s="415"/>
      <c r="AI14" s="416"/>
      <c r="AJ14" s="414"/>
      <c r="AK14" s="417"/>
      <c r="AL14" s="418"/>
      <c r="AM14" s="418"/>
      <c r="AN14" s="419"/>
      <c r="AO14" s="420"/>
      <c r="AP14" s="421"/>
      <c r="AQ14" s="422"/>
      <c r="AR14" s="423"/>
    </row>
    <row r="15" spans="1:44">
      <c r="A15" s="412"/>
      <c r="B15" s="6">
        <v>40</v>
      </c>
      <c r="C15" s="3" t="s">
        <v>924</v>
      </c>
      <c r="D15" s="3">
        <f t="shared" si="0"/>
        <v>8</v>
      </c>
      <c r="E15" s="88">
        <f>VLOOKUP(B15,'S32 MTM Motion Elements'!$A$5:$F$25,MATCH(C15,'S32 MTM Motion Elements'!$B$4:$F$4)+1,1)</f>
        <v>10.5</v>
      </c>
      <c r="F15" s="424" t="s">
        <v>1235</v>
      </c>
      <c r="G15" s="3">
        <f t="shared" si="1"/>
        <v>8</v>
      </c>
      <c r="H15" s="414">
        <f>VLOOKUP(F15,'S32 MTM Motion Elements'!$B$30:$C$40,2,0)</f>
        <v>2</v>
      </c>
      <c r="I15" s="6">
        <v>23</v>
      </c>
      <c r="J15" s="3" t="s">
        <v>934</v>
      </c>
      <c r="K15" s="3">
        <f t="shared" si="2"/>
        <v>16</v>
      </c>
      <c r="L15" s="88">
        <f>VLOOKUP(I15,'S32 MTM Motion Elements'!$A$46:$D$66,MATCH(J15,'S32 MTM Motion Elements'!$A$45:$D$45,0),1)</f>
        <v>12.7</v>
      </c>
      <c r="M15" s="6" t="s">
        <v>1262</v>
      </c>
      <c r="N15" s="3" t="s">
        <v>1259</v>
      </c>
      <c r="O15" s="3" t="s">
        <v>1313</v>
      </c>
      <c r="P15" s="3">
        <v>8</v>
      </c>
      <c r="Q15" s="88" cm="1">
        <f t="array" ref="Q15">VLOOKUP(M15&amp;"-"&amp;N15,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MATCH(O15,'S32 MTM Motion Elements'!$D$70:$E$70,0)+1,
0)</f>
        <v>52.1</v>
      </c>
      <c r="R15" s="6" t="s">
        <v>1268</v>
      </c>
      <c r="S15" s="3">
        <f t="shared" si="3"/>
        <v>8</v>
      </c>
      <c r="T15" s="88">
        <f>VLOOKUP(R15,'S32 MTM Motion Elements'!$A$84:$B$88,2,1)</f>
        <v>3.4</v>
      </c>
      <c r="U15" s="6" t="s">
        <v>1282</v>
      </c>
      <c r="V15" s="3" t="s">
        <v>1275</v>
      </c>
      <c r="W15" s="3">
        <f t="shared" si="4"/>
        <v>24</v>
      </c>
      <c r="X15" s="88">
        <f>VLOOKUP(U15,'S32 MTM Motion Elements'!$A$92:$L$95,MATCH(V15,'S32 MTM Motion Elements'!$A$92:$L$92,0),0)</f>
        <v>5.4</v>
      </c>
      <c r="Y15" s="6">
        <v>1</v>
      </c>
      <c r="Z15" s="3">
        <v>6</v>
      </c>
      <c r="AA15" s="88">
        <f>IF(Y15=1,'S32 MTM Motion Elements'!$B$100,'S32 MTM Motion Elements'!$B$101)</f>
        <v>2</v>
      </c>
      <c r="AB15" s="6" t="s">
        <v>1261</v>
      </c>
      <c r="AC15" s="3" t="s">
        <v>1313</v>
      </c>
      <c r="AD15" s="85">
        <f t="shared" si="5"/>
        <v>8</v>
      </c>
      <c r="AE15" s="414">
        <f>IF(AC15="Easy", VLOOKUP(AB15,'S32 MTM Motion Elements'!$B$106:$E$108,3,0),VLOOKUP(AB15,'S32 MTM Motion Elements'!$B$106:$E$108,4,0))</f>
        <v>11.8</v>
      </c>
      <c r="AF15" s="440">
        <f t="shared" si="6"/>
        <v>99.9</v>
      </c>
      <c r="AG15" s="88"/>
      <c r="AH15" s="415"/>
      <c r="AI15" s="416"/>
      <c r="AJ15" s="414"/>
      <c r="AK15" s="417"/>
      <c r="AL15" s="418"/>
      <c r="AM15" s="418"/>
      <c r="AN15" s="419"/>
      <c r="AO15" s="420"/>
      <c r="AP15" s="421"/>
      <c r="AQ15" s="422"/>
      <c r="AR15" s="423"/>
    </row>
    <row r="16" spans="1:44">
      <c r="A16" s="412"/>
      <c r="B16" s="6">
        <v>40</v>
      </c>
      <c r="C16" s="3" t="s">
        <v>931</v>
      </c>
      <c r="D16" s="3">
        <f t="shared" si="0"/>
        <v>8</v>
      </c>
      <c r="E16" s="88">
        <f>VLOOKUP(B16,'S32 MTM Motion Elements'!$A$5:$F$25,MATCH(C16,'S32 MTM Motion Elements'!$B$4:$F$4)+1,1)</f>
        <v>14.4</v>
      </c>
      <c r="F16" s="424" t="s">
        <v>1243</v>
      </c>
      <c r="G16" s="3">
        <f t="shared" si="1"/>
        <v>8</v>
      </c>
      <c r="H16" s="414">
        <f>VLOOKUP(F16,'S32 MTM Motion Elements'!$B$30:$C$40,2,0)</f>
        <v>7.3</v>
      </c>
      <c r="I16" s="6">
        <v>34</v>
      </c>
      <c r="J16" s="3" t="s">
        <v>934</v>
      </c>
      <c r="K16" s="3">
        <f t="shared" si="2"/>
        <v>16</v>
      </c>
      <c r="L16" s="88">
        <f>VLOOKUP(I16,'S32 MTM Motion Elements'!$A$46:$D$66,MATCH(J16,'S32 MTM Motion Elements'!$A$45:$D$45,0),1)</f>
        <v>15.2</v>
      </c>
      <c r="M16" s="6" t="s">
        <v>1261</v>
      </c>
      <c r="N16" s="3" t="s">
        <v>1258</v>
      </c>
      <c r="O16" s="3" t="s">
        <v>1312</v>
      </c>
      <c r="P16" s="3">
        <v>8</v>
      </c>
      <c r="Q16" s="88" cm="1">
        <f t="array" ref="Q16">VLOOKUP(M16&amp;"-"&amp;N16,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MATCH(O16,'S32 MTM Motion Elements'!$D$70:$E$70,0)+1,
0)</f>
        <v>16.2</v>
      </c>
      <c r="R16" s="6" t="s">
        <v>1268</v>
      </c>
      <c r="S16" s="3">
        <f t="shared" si="3"/>
        <v>8</v>
      </c>
      <c r="T16" s="88">
        <f>VLOOKUP(R16,'S32 MTM Motion Elements'!$A$84:$B$88,2,1)</f>
        <v>3.4</v>
      </c>
      <c r="U16" s="6" t="s">
        <v>1284</v>
      </c>
      <c r="V16" s="3" t="s">
        <v>1275</v>
      </c>
      <c r="W16" s="3">
        <f t="shared" si="4"/>
        <v>24</v>
      </c>
      <c r="X16" s="88">
        <f>VLOOKUP(U16,'S32 MTM Motion Elements'!$A$92:$L$95,MATCH(V16,'S32 MTM Motion Elements'!$A$92:$L$92,0),0)</f>
        <v>16.2</v>
      </c>
      <c r="Y16" s="6">
        <v>1</v>
      </c>
      <c r="Z16" s="3">
        <v>6</v>
      </c>
      <c r="AA16" s="88">
        <f>IF(Y16=1,'S32 MTM Motion Elements'!$B$100,'S32 MTM Motion Elements'!$B$101)</f>
        <v>2</v>
      </c>
      <c r="AB16" s="6" t="s">
        <v>1290</v>
      </c>
      <c r="AC16" s="3" t="s">
        <v>1313</v>
      </c>
      <c r="AD16" s="85">
        <f t="shared" si="5"/>
        <v>8</v>
      </c>
      <c r="AE16" s="414">
        <f>IF(AC16="Easy", VLOOKUP(AB16,'S32 MTM Motion Elements'!$B$106:$E$108,3,0),VLOOKUP(AB16,'S32 MTM Motion Elements'!$B$106:$E$108,4,0))</f>
        <v>34.700000000000003</v>
      </c>
      <c r="AF16" s="440">
        <f t="shared" si="6"/>
        <v>109.39999999999999</v>
      </c>
      <c r="AG16" s="88"/>
      <c r="AH16" s="415"/>
      <c r="AI16" s="416"/>
      <c r="AJ16" s="414"/>
      <c r="AK16" s="417"/>
      <c r="AL16" s="418"/>
      <c r="AM16" s="418"/>
      <c r="AN16" s="419"/>
      <c r="AO16" s="420"/>
      <c r="AP16" s="421"/>
      <c r="AQ16" s="422"/>
      <c r="AR16" s="423"/>
    </row>
    <row r="17" spans="1:44">
      <c r="A17" s="412"/>
      <c r="B17" s="6">
        <v>35</v>
      </c>
      <c r="C17" s="3" t="s">
        <v>937</v>
      </c>
      <c r="D17" s="3">
        <f t="shared" si="0"/>
        <v>8</v>
      </c>
      <c r="E17" s="88">
        <f>VLOOKUP(B17,'S32 MTM Motion Elements'!$A$5:$F$25,MATCH(C17,'S32 MTM Motion Elements'!$B$4:$F$4)+1,1)</f>
        <v>14.2</v>
      </c>
      <c r="F17" s="424" t="s">
        <v>1244</v>
      </c>
      <c r="G17" s="3">
        <f t="shared" si="1"/>
        <v>8</v>
      </c>
      <c r="H17" s="414">
        <f>VLOOKUP(F17,'S32 MTM Motion Elements'!$B$30:$C$40,2,0)</f>
        <v>9.1</v>
      </c>
      <c r="I17" s="6">
        <v>23</v>
      </c>
      <c r="J17" s="3" t="s">
        <v>934</v>
      </c>
      <c r="K17" s="3">
        <f t="shared" si="2"/>
        <v>16</v>
      </c>
      <c r="L17" s="88">
        <f>VLOOKUP(I17,'S32 MTM Motion Elements'!$A$46:$D$66,MATCH(J17,'S32 MTM Motion Elements'!$A$45:$D$45,0),1)</f>
        <v>12.7</v>
      </c>
      <c r="M17" s="6" t="s">
        <v>1257</v>
      </c>
      <c r="N17" s="3" t="s">
        <v>1260</v>
      </c>
      <c r="O17" s="3" t="s">
        <v>1313</v>
      </c>
      <c r="P17" s="3">
        <v>8</v>
      </c>
      <c r="Q17" s="88" cm="1">
        <f t="array" ref="Q17">VLOOKUP(M17&amp;"-"&amp;N17,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MATCH(O17,'S32 MTM Motion Elements'!$D$70:$E$70,0)+1,
0)</f>
        <v>16</v>
      </c>
      <c r="R17" s="6" t="s">
        <v>1268</v>
      </c>
      <c r="S17" s="3">
        <f t="shared" si="3"/>
        <v>8</v>
      </c>
      <c r="T17" s="88">
        <f>VLOOKUP(R17,'S32 MTM Motion Elements'!$A$84:$B$88,2,1)</f>
        <v>3.4</v>
      </c>
      <c r="U17" s="6" t="s">
        <v>1284</v>
      </c>
      <c r="V17" s="3" t="s">
        <v>1277</v>
      </c>
      <c r="W17" s="3">
        <f t="shared" si="4"/>
        <v>24</v>
      </c>
      <c r="X17" s="88">
        <f>VLOOKUP(U17,'S32 MTM Motion Elements'!$A$92:$L$95,MATCH(V17,'S32 MTM Motion Elements'!$A$92:$L$92,0),0)</f>
        <v>20.399999999999999</v>
      </c>
      <c r="Y17" s="6">
        <v>1</v>
      </c>
      <c r="Z17" s="3">
        <v>6</v>
      </c>
      <c r="AA17" s="88">
        <f>IF(Y17=1,'S32 MTM Motion Elements'!$B$100,'S32 MTM Motion Elements'!$B$101)</f>
        <v>2</v>
      </c>
      <c r="AB17" s="6" t="s">
        <v>1290</v>
      </c>
      <c r="AC17" s="3" t="s">
        <v>1313</v>
      </c>
      <c r="AD17" s="85">
        <f t="shared" si="5"/>
        <v>8</v>
      </c>
      <c r="AE17" s="414">
        <f>IF(AC17="Easy", VLOOKUP(AB17,'S32 MTM Motion Elements'!$B$106:$E$108,3,0),VLOOKUP(AB17,'S32 MTM Motion Elements'!$B$106:$E$108,4,0))</f>
        <v>34.700000000000003</v>
      </c>
      <c r="AF17" s="440">
        <f t="shared" si="6"/>
        <v>112.5</v>
      </c>
      <c r="AG17" s="88"/>
      <c r="AH17" s="415"/>
      <c r="AI17" s="416"/>
      <c r="AJ17" s="414"/>
      <c r="AK17" s="417"/>
      <c r="AL17" s="418"/>
      <c r="AM17" s="418"/>
      <c r="AN17" s="419"/>
      <c r="AO17" s="420"/>
      <c r="AP17" s="421"/>
      <c r="AQ17" s="422"/>
      <c r="AR17" s="423"/>
    </row>
    <row r="18" spans="1:44">
      <c r="A18" s="412"/>
      <c r="B18" s="6">
        <v>35</v>
      </c>
      <c r="C18" s="3" t="s">
        <v>924</v>
      </c>
      <c r="D18" s="3">
        <f t="shared" si="0"/>
        <v>8</v>
      </c>
      <c r="E18" s="88">
        <f>VLOOKUP(B18,'S32 MTM Motion Elements'!$A$5:$F$25,MATCH(C18,'S32 MTM Motion Elements'!$B$4:$F$4)+1,1)</f>
        <v>9.6</v>
      </c>
      <c r="F18" s="424" t="s">
        <v>1245</v>
      </c>
      <c r="G18" s="3">
        <f t="shared" si="1"/>
        <v>8</v>
      </c>
      <c r="H18" s="414">
        <f>VLOOKUP(F18,'S32 MTM Motion Elements'!$B$30:$C$40,2,0)</f>
        <v>12.9</v>
      </c>
      <c r="I18" s="6">
        <v>34</v>
      </c>
      <c r="J18" s="3" t="s">
        <v>934</v>
      </c>
      <c r="K18" s="3">
        <f t="shared" si="2"/>
        <v>16</v>
      </c>
      <c r="L18" s="88">
        <f>VLOOKUP(I18,'S32 MTM Motion Elements'!$A$46:$D$66,MATCH(J18,'S32 MTM Motion Elements'!$A$45:$D$45,0),1)</f>
        <v>15.2</v>
      </c>
      <c r="M18" s="6" t="s">
        <v>1261</v>
      </c>
      <c r="N18" s="3" t="s">
        <v>1258</v>
      </c>
      <c r="O18" s="3" t="s">
        <v>1312</v>
      </c>
      <c r="P18" s="3">
        <v>8</v>
      </c>
      <c r="Q18" s="88" cm="1">
        <f t="array" ref="Q18">VLOOKUP(M18&amp;"-"&amp;N18,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MATCH(O18,'S32 MTM Motion Elements'!$D$70:$E$70,0)+1,
0)</f>
        <v>16.2</v>
      </c>
      <c r="R18" s="6" t="s">
        <v>1267</v>
      </c>
      <c r="S18" s="3">
        <f t="shared" si="3"/>
        <v>8</v>
      </c>
      <c r="T18" s="88">
        <f>VLOOKUP(R18,'S32 MTM Motion Elements'!$A$84:$B$88,2,1)</f>
        <v>3.4</v>
      </c>
      <c r="U18" s="6" t="s">
        <v>1282</v>
      </c>
      <c r="V18" s="3" t="s">
        <v>1275</v>
      </c>
      <c r="W18" s="3">
        <f t="shared" si="4"/>
        <v>24</v>
      </c>
      <c r="X18" s="88">
        <f>VLOOKUP(U18,'S32 MTM Motion Elements'!$A$92:$L$95,MATCH(V18,'S32 MTM Motion Elements'!$A$92:$L$92,0),0)</f>
        <v>5.4</v>
      </c>
      <c r="Y18" s="6">
        <v>1</v>
      </c>
      <c r="Z18" s="3">
        <v>6</v>
      </c>
      <c r="AA18" s="88">
        <f>IF(Y18=1,'S32 MTM Motion Elements'!$B$100,'S32 MTM Motion Elements'!$B$101)</f>
        <v>2</v>
      </c>
      <c r="AB18" s="6" t="s">
        <v>1290</v>
      </c>
      <c r="AC18" s="3" t="s">
        <v>1313</v>
      </c>
      <c r="AD18" s="85">
        <f t="shared" si="5"/>
        <v>8</v>
      </c>
      <c r="AE18" s="414">
        <f>IF(AC18="Easy", VLOOKUP(AB18,'S32 MTM Motion Elements'!$B$106:$E$108,3,0),VLOOKUP(AB18,'S32 MTM Motion Elements'!$B$106:$E$108,4,0))</f>
        <v>34.700000000000003</v>
      </c>
      <c r="AF18" s="440">
        <f t="shared" si="6"/>
        <v>99.4</v>
      </c>
      <c r="AG18" s="88"/>
      <c r="AH18" s="415"/>
      <c r="AI18" s="416"/>
      <c r="AJ18" s="414"/>
      <c r="AK18" s="417"/>
      <c r="AL18" s="418"/>
      <c r="AM18" s="418"/>
      <c r="AN18" s="419"/>
      <c r="AO18" s="420"/>
      <c r="AP18" s="421"/>
      <c r="AQ18" s="422"/>
      <c r="AR18" s="423"/>
    </row>
    <row r="19" spans="1:44">
      <c r="A19" s="412"/>
      <c r="B19" s="6">
        <v>35</v>
      </c>
      <c r="C19" s="3" t="s">
        <v>937</v>
      </c>
      <c r="D19" s="3">
        <f t="shared" si="0"/>
        <v>8</v>
      </c>
      <c r="E19" s="88">
        <f>VLOOKUP(B19,'S32 MTM Motion Elements'!$A$5:$F$25,MATCH(C19,'S32 MTM Motion Elements'!$B$4:$F$4)+1,1)</f>
        <v>14.2</v>
      </c>
      <c r="F19" s="424" t="s">
        <v>1243</v>
      </c>
      <c r="G19" s="3">
        <f t="shared" si="1"/>
        <v>8</v>
      </c>
      <c r="H19" s="414">
        <f>VLOOKUP(F19,'S32 MTM Motion Elements'!$B$30:$C$40,2,0)</f>
        <v>7.3</v>
      </c>
      <c r="I19" s="6">
        <v>42</v>
      </c>
      <c r="J19" s="3" t="s">
        <v>934</v>
      </c>
      <c r="K19" s="3">
        <f t="shared" si="2"/>
        <v>16</v>
      </c>
      <c r="L19" s="88">
        <f>VLOOKUP(I19,'S32 MTM Motion Elements'!$A$46:$D$66,MATCH(J19,'S32 MTM Motion Elements'!$A$45:$D$45,0),1)</f>
        <v>18.7</v>
      </c>
      <c r="M19" s="6" t="s">
        <v>1261</v>
      </c>
      <c r="N19" s="3" t="s">
        <v>1258</v>
      </c>
      <c r="O19" s="3" t="s">
        <v>1313</v>
      </c>
      <c r="P19" s="3">
        <v>8</v>
      </c>
      <c r="Q19" s="88" cm="1">
        <f t="array" ref="Q19">VLOOKUP(M19&amp;"-"&amp;N19,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MATCH(O19,'S32 MTM Motion Elements'!$D$70:$E$70,0)+1,
0)</f>
        <v>21.8</v>
      </c>
      <c r="R19" s="6" t="s">
        <v>1268</v>
      </c>
      <c r="S19" s="3">
        <f t="shared" si="3"/>
        <v>8</v>
      </c>
      <c r="T19" s="88">
        <f>VLOOKUP(R19,'S32 MTM Motion Elements'!$A$84:$B$88,2,1)</f>
        <v>3.4</v>
      </c>
      <c r="U19" s="6" t="s">
        <v>1283</v>
      </c>
      <c r="V19" s="3" t="s">
        <v>1273</v>
      </c>
      <c r="W19" s="3">
        <f t="shared" si="4"/>
        <v>24</v>
      </c>
      <c r="X19" s="88">
        <f>VLOOKUP(U19,'S32 MTM Motion Elements'!$A$92:$L$95,MATCH(V19,'S32 MTM Motion Elements'!$A$92:$L$92,0),0)</f>
        <v>6.5</v>
      </c>
      <c r="Y19" s="6">
        <v>1</v>
      </c>
      <c r="Z19" s="3">
        <v>6</v>
      </c>
      <c r="AA19" s="88">
        <f>IF(Y19=1,'S32 MTM Motion Elements'!$B$100,'S32 MTM Motion Elements'!$B$101)</f>
        <v>2</v>
      </c>
      <c r="AB19" s="6" t="s">
        <v>1290</v>
      </c>
      <c r="AC19" s="3" t="s">
        <v>1313</v>
      </c>
      <c r="AD19" s="85">
        <f t="shared" si="5"/>
        <v>8</v>
      </c>
      <c r="AE19" s="414">
        <f>IF(AC19="Easy", VLOOKUP(AB19,'S32 MTM Motion Elements'!$B$106:$E$108,3,0),VLOOKUP(AB19,'S32 MTM Motion Elements'!$B$106:$E$108,4,0))</f>
        <v>34.700000000000003</v>
      </c>
      <c r="AF19" s="440">
        <f t="shared" si="6"/>
        <v>108.60000000000001</v>
      </c>
      <c r="AG19" s="88"/>
      <c r="AH19" s="415"/>
      <c r="AI19" s="416"/>
      <c r="AJ19" s="414"/>
      <c r="AK19" s="417"/>
      <c r="AL19" s="418"/>
      <c r="AM19" s="418"/>
      <c r="AN19" s="419"/>
      <c r="AO19" s="420"/>
      <c r="AP19" s="421"/>
      <c r="AQ19" s="422"/>
      <c r="AR19" s="423"/>
    </row>
    <row r="20" spans="1:44">
      <c r="A20" s="412"/>
      <c r="B20" s="6">
        <v>40</v>
      </c>
      <c r="C20" s="3" t="s">
        <v>924</v>
      </c>
      <c r="D20" s="3">
        <f t="shared" si="0"/>
        <v>8</v>
      </c>
      <c r="E20" s="88">
        <f>VLOOKUP(B20,'S32 MTM Motion Elements'!$A$5:$F$25,MATCH(C20,'S32 MTM Motion Elements'!$B$4:$F$4)+1,1)</f>
        <v>10.5</v>
      </c>
      <c r="F20" s="424" t="s">
        <v>1235</v>
      </c>
      <c r="G20" s="3">
        <f t="shared" si="1"/>
        <v>8</v>
      </c>
      <c r="H20" s="414">
        <f>VLOOKUP(F20,'S32 MTM Motion Elements'!$B$30:$C$40,2,0)</f>
        <v>2</v>
      </c>
      <c r="I20" s="6">
        <v>58</v>
      </c>
      <c r="J20" s="3" t="s">
        <v>934</v>
      </c>
      <c r="K20" s="3">
        <f t="shared" si="2"/>
        <v>16</v>
      </c>
      <c r="L20" s="88">
        <f>VLOOKUP(I20,'S32 MTM Motion Elements'!$A$46:$D$66,MATCH(J20,'S32 MTM Motion Elements'!$A$45:$D$45,0),1)</f>
        <v>23.8</v>
      </c>
      <c r="M20" s="6" t="s">
        <v>1262</v>
      </c>
      <c r="N20" s="3" t="s">
        <v>1259</v>
      </c>
      <c r="O20" s="3" t="s">
        <v>1312</v>
      </c>
      <c r="P20" s="3">
        <v>8</v>
      </c>
      <c r="Q20" s="88" cm="1">
        <f t="array" ref="Q20">VLOOKUP(M20&amp;"-"&amp;N20,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MATCH(O20,'S32 MTM Motion Elements'!$D$70:$E$70,0)+1,
0)</f>
        <v>46.5</v>
      </c>
      <c r="R20" s="6" t="s">
        <v>1268</v>
      </c>
      <c r="S20" s="3">
        <f t="shared" si="3"/>
        <v>8</v>
      </c>
      <c r="T20" s="88">
        <f>VLOOKUP(R20,'S32 MTM Motion Elements'!$A$84:$B$88,2,1)</f>
        <v>3.4</v>
      </c>
      <c r="U20" s="6" t="s">
        <v>1282</v>
      </c>
      <c r="V20" s="3" t="s">
        <v>1275</v>
      </c>
      <c r="W20" s="3">
        <f t="shared" si="4"/>
        <v>24</v>
      </c>
      <c r="X20" s="88">
        <f>VLOOKUP(U20,'S32 MTM Motion Elements'!$A$92:$L$95,MATCH(V20,'S32 MTM Motion Elements'!$A$92:$L$92,0),0)</f>
        <v>5.4</v>
      </c>
      <c r="Y20" s="6">
        <v>1</v>
      </c>
      <c r="Z20" s="3">
        <v>6</v>
      </c>
      <c r="AA20" s="88">
        <f>IF(Y20=1,'S32 MTM Motion Elements'!$B$100,'S32 MTM Motion Elements'!$B$101)</f>
        <v>2</v>
      </c>
      <c r="AB20" s="6" t="s">
        <v>1290</v>
      </c>
      <c r="AC20" s="3" t="s">
        <v>1313</v>
      </c>
      <c r="AD20" s="85">
        <f t="shared" si="5"/>
        <v>8</v>
      </c>
      <c r="AE20" s="414">
        <f>IF(AC20="Easy", VLOOKUP(AB20,'S32 MTM Motion Elements'!$B$106:$E$108,3,0),VLOOKUP(AB20,'S32 MTM Motion Elements'!$B$106:$E$108,4,0))</f>
        <v>34.700000000000003</v>
      </c>
      <c r="AF20" s="440">
        <f t="shared" si="6"/>
        <v>128.30000000000001</v>
      </c>
      <c r="AG20" s="88"/>
      <c r="AH20" s="415"/>
      <c r="AI20" s="416"/>
      <c r="AJ20" s="414"/>
      <c r="AK20" s="417"/>
      <c r="AL20" s="418"/>
      <c r="AM20" s="418"/>
      <c r="AN20" s="419"/>
      <c r="AO20" s="420"/>
      <c r="AP20" s="421"/>
      <c r="AQ20" s="422"/>
      <c r="AR20" s="423"/>
    </row>
    <row r="21" spans="1:44">
      <c r="A21" s="412"/>
      <c r="B21" s="6">
        <v>45</v>
      </c>
      <c r="C21" s="3" t="s">
        <v>937</v>
      </c>
      <c r="D21" s="3">
        <f t="shared" si="0"/>
        <v>8</v>
      </c>
      <c r="E21" s="88">
        <f>VLOOKUP(B21,'S32 MTM Motion Elements'!$A$5:$F$25,MATCH(C21,'S32 MTM Motion Elements'!$B$4:$F$4)+1,1)</f>
        <v>17</v>
      </c>
      <c r="F21" s="424" t="s">
        <v>1238</v>
      </c>
      <c r="G21" s="3">
        <f t="shared" si="1"/>
        <v>8</v>
      </c>
      <c r="H21" s="414">
        <f>VLOOKUP(F21,'S32 MTM Motion Elements'!$B$30:$C$40,2,0)</f>
        <v>8.6999999999999993</v>
      </c>
      <c r="I21" s="6">
        <v>41</v>
      </c>
      <c r="J21" s="3" t="s">
        <v>934</v>
      </c>
      <c r="K21" s="3">
        <f t="shared" si="2"/>
        <v>16</v>
      </c>
      <c r="L21" s="88">
        <f>VLOOKUP(I21,'S32 MTM Motion Elements'!$A$46:$D$66,MATCH(J21,'S32 MTM Motion Elements'!$A$45:$D$45,0),1)</f>
        <v>18.7</v>
      </c>
      <c r="M21" s="6" t="s">
        <v>1261</v>
      </c>
      <c r="N21" s="3" t="s">
        <v>1258</v>
      </c>
      <c r="O21" s="3" t="s">
        <v>1313</v>
      </c>
      <c r="P21" s="3">
        <v>8</v>
      </c>
      <c r="Q21" s="88" cm="1">
        <f t="array" ref="Q21">VLOOKUP(M21&amp;"-"&amp;N21,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MATCH(O21,'S32 MTM Motion Elements'!$D$70:$E$70,0)+1,
0)</f>
        <v>21.8</v>
      </c>
      <c r="R21" s="6" t="s">
        <v>1267</v>
      </c>
      <c r="S21" s="3">
        <f t="shared" si="3"/>
        <v>8</v>
      </c>
      <c r="T21" s="88">
        <f>VLOOKUP(R21,'S32 MTM Motion Elements'!$A$84:$B$88,2,1)</f>
        <v>3.4</v>
      </c>
      <c r="U21" s="6" t="s">
        <v>1284</v>
      </c>
      <c r="V21" s="3" t="s">
        <v>1277</v>
      </c>
      <c r="W21" s="3">
        <f t="shared" si="4"/>
        <v>24</v>
      </c>
      <c r="X21" s="88">
        <f>VLOOKUP(U21,'S32 MTM Motion Elements'!$A$92:$L$95,MATCH(V21,'S32 MTM Motion Elements'!$A$92:$L$92,0),0)</f>
        <v>20.399999999999999</v>
      </c>
      <c r="Y21" s="6">
        <v>1</v>
      </c>
      <c r="Z21" s="3">
        <v>6</v>
      </c>
      <c r="AA21" s="88">
        <f>IF(Y21=1,'S32 MTM Motion Elements'!$B$100,'S32 MTM Motion Elements'!$B$101)</f>
        <v>2</v>
      </c>
      <c r="AB21" s="6" t="s">
        <v>1290</v>
      </c>
      <c r="AC21" s="3" t="s">
        <v>1313</v>
      </c>
      <c r="AD21" s="85">
        <f t="shared" si="5"/>
        <v>8</v>
      </c>
      <c r="AE21" s="414">
        <f>IF(AC21="Easy", VLOOKUP(AB21,'S32 MTM Motion Elements'!$B$106:$E$108,3,0),VLOOKUP(AB21,'S32 MTM Motion Elements'!$B$106:$E$108,4,0))</f>
        <v>34.700000000000003</v>
      </c>
      <c r="AF21" s="440">
        <f t="shared" si="6"/>
        <v>126.7</v>
      </c>
      <c r="AG21" s="88"/>
      <c r="AH21" s="415"/>
      <c r="AI21" s="416"/>
      <c r="AJ21" s="414"/>
      <c r="AK21" s="417"/>
      <c r="AL21" s="418"/>
      <c r="AM21" s="418"/>
      <c r="AN21" s="419"/>
      <c r="AO21" s="420"/>
      <c r="AP21" s="421"/>
      <c r="AQ21" s="422"/>
      <c r="AR21" s="423"/>
    </row>
    <row r="22" spans="1:44">
      <c r="A22" s="412"/>
      <c r="B22" s="6">
        <v>35</v>
      </c>
      <c r="C22" s="3" t="s">
        <v>937</v>
      </c>
      <c r="D22" s="3">
        <f t="shared" si="0"/>
        <v>8</v>
      </c>
      <c r="E22" s="88">
        <f>VLOOKUP(B22,'S32 MTM Motion Elements'!$A$5:$F$25,MATCH(C22,'S32 MTM Motion Elements'!$B$4:$F$4)+1,1)</f>
        <v>14.2</v>
      </c>
      <c r="F22" s="424" t="s">
        <v>1243</v>
      </c>
      <c r="G22" s="3">
        <f t="shared" si="1"/>
        <v>8</v>
      </c>
      <c r="H22" s="414">
        <f>VLOOKUP(F22,'S32 MTM Motion Elements'!$B$30:$C$40,2,0)</f>
        <v>7.3</v>
      </c>
      <c r="I22" s="6">
        <v>42</v>
      </c>
      <c r="J22" s="3" t="s">
        <v>934</v>
      </c>
      <c r="K22" s="3">
        <f t="shared" si="2"/>
        <v>16</v>
      </c>
      <c r="L22" s="88">
        <f>VLOOKUP(I22,'S32 MTM Motion Elements'!$A$46:$D$66,MATCH(J22,'S32 MTM Motion Elements'!$A$45:$D$45,0),1)</f>
        <v>18.7</v>
      </c>
      <c r="M22" s="6" t="s">
        <v>1261</v>
      </c>
      <c r="N22" s="3" t="s">
        <v>1258</v>
      </c>
      <c r="O22" s="3" t="s">
        <v>1313</v>
      </c>
      <c r="P22" s="3">
        <v>8</v>
      </c>
      <c r="Q22" s="88" cm="1">
        <f t="array" ref="Q22">VLOOKUP(M22&amp;"-"&amp;N22,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MATCH(O22,'S32 MTM Motion Elements'!$D$70:$E$70,0)+1,
0)</f>
        <v>21.8</v>
      </c>
      <c r="R22" s="6" t="s">
        <v>1268</v>
      </c>
      <c r="S22" s="3">
        <f t="shared" si="3"/>
        <v>8</v>
      </c>
      <c r="T22" s="88">
        <f>VLOOKUP(R22,'S32 MTM Motion Elements'!$A$84:$B$88,2,1)</f>
        <v>3.4</v>
      </c>
      <c r="U22" s="6" t="s">
        <v>1283</v>
      </c>
      <c r="V22" s="3" t="s">
        <v>1273</v>
      </c>
      <c r="W22" s="3">
        <f t="shared" si="4"/>
        <v>24</v>
      </c>
      <c r="X22" s="88">
        <f>VLOOKUP(U22,'S32 MTM Motion Elements'!$A$92:$L$95,MATCH(V22,'S32 MTM Motion Elements'!$A$92:$L$92,0),0)</f>
        <v>6.5</v>
      </c>
      <c r="Y22" s="6">
        <v>1</v>
      </c>
      <c r="Z22" s="3">
        <v>6</v>
      </c>
      <c r="AA22" s="88">
        <f>IF(Y22=1,'S32 MTM Motion Elements'!$B$100,'S32 MTM Motion Elements'!$B$101)</f>
        <v>2</v>
      </c>
      <c r="AB22" s="6" t="s">
        <v>1290</v>
      </c>
      <c r="AC22" s="3" t="s">
        <v>1313</v>
      </c>
      <c r="AD22" s="85">
        <f t="shared" si="5"/>
        <v>8</v>
      </c>
      <c r="AE22" s="414">
        <f>IF(AC22="Easy", VLOOKUP(AB22,'S32 MTM Motion Elements'!$B$106:$E$108,3,0),VLOOKUP(AB22,'S32 MTM Motion Elements'!$B$106:$E$108,4,0))</f>
        <v>34.700000000000003</v>
      </c>
      <c r="AF22" s="440">
        <f t="shared" si="6"/>
        <v>108.60000000000001</v>
      </c>
      <c r="AG22" s="88"/>
      <c r="AH22" s="415"/>
      <c r="AI22" s="416"/>
      <c r="AJ22" s="414"/>
      <c r="AK22" s="417"/>
      <c r="AL22" s="418"/>
      <c r="AM22" s="418"/>
      <c r="AN22" s="419"/>
      <c r="AO22" s="420"/>
      <c r="AP22" s="421"/>
      <c r="AQ22" s="422"/>
      <c r="AR22" s="423"/>
    </row>
    <row r="23" spans="1:44">
      <c r="A23" s="412"/>
      <c r="B23" s="6">
        <v>25</v>
      </c>
      <c r="C23" s="3" t="s">
        <v>953</v>
      </c>
      <c r="D23" s="3">
        <f t="shared" si="0"/>
        <v>8</v>
      </c>
      <c r="E23" s="88">
        <f>VLOOKUP(B23,'S32 MTM Motion Elements'!$A$5:$F$25,MATCH(C23,'S32 MTM Motion Elements'!$B$4:$F$4)+1,1)</f>
        <v>9.9</v>
      </c>
      <c r="F23" s="424" t="s">
        <v>1238</v>
      </c>
      <c r="G23" s="3">
        <f t="shared" si="1"/>
        <v>8</v>
      </c>
      <c r="H23" s="414">
        <f>VLOOKUP(F23,'S32 MTM Motion Elements'!$B$30:$C$40,2,0)</f>
        <v>8.6999999999999993</v>
      </c>
      <c r="I23" s="6">
        <v>56</v>
      </c>
      <c r="J23" s="3" t="s">
        <v>934</v>
      </c>
      <c r="K23" s="3">
        <f t="shared" si="2"/>
        <v>16</v>
      </c>
      <c r="L23" s="88">
        <f>VLOOKUP(I23,'S32 MTM Motion Elements'!$A$46:$D$66,MATCH(J23,'S32 MTM Motion Elements'!$A$45:$D$45,0),1)</f>
        <v>23.8</v>
      </c>
      <c r="M23" s="6" t="s">
        <v>1257</v>
      </c>
      <c r="N23" s="3" t="s">
        <v>1258</v>
      </c>
      <c r="O23" s="3" t="s">
        <v>1312</v>
      </c>
      <c r="P23" s="3">
        <v>8</v>
      </c>
      <c r="Q23" s="88" cm="1">
        <f t="array" ref="Q23">VLOOKUP(M23&amp;"-"&amp;N23,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MATCH(O23,'S32 MTM Motion Elements'!$D$70:$E$70,0)+1,
0)</f>
        <v>5.6</v>
      </c>
      <c r="R23" s="6" t="s">
        <v>1265</v>
      </c>
      <c r="S23" s="3">
        <f t="shared" si="3"/>
        <v>8</v>
      </c>
      <c r="T23" s="88">
        <f>VLOOKUP(R23,'S32 MTM Motion Elements'!$A$84:$B$88,2,1)</f>
        <v>4.2</v>
      </c>
      <c r="U23" s="6" t="s">
        <v>1282</v>
      </c>
      <c r="V23" s="3" t="s">
        <v>1275</v>
      </c>
      <c r="W23" s="3">
        <f t="shared" si="4"/>
        <v>24</v>
      </c>
      <c r="X23" s="88">
        <f>VLOOKUP(U23,'S32 MTM Motion Elements'!$A$92:$L$95,MATCH(V23,'S32 MTM Motion Elements'!$A$92:$L$92,0),0)</f>
        <v>5.4</v>
      </c>
      <c r="Y23" s="6">
        <v>1</v>
      </c>
      <c r="Z23" s="3">
        <v>6</v>
      </c>
      <c r="AA23" s="88">
        <f>IF(Y23=1,'S32 MTM Motion Elements'!$B$100,'S32 MTM Motion Elements'!$B$101)</f>
        <v>2</v>
      </c>
      <c r="AB23" s="6" t="s">
        <v>1261</v>
      </c>
      <c r="AC23" s="3" t="s">
        <v>1313</v>
      </c>
      <c r="AD23" s="85">
        <f t="shared" si="5"/>
        <v>8</v>
      </c>
      <c r="AE23" s="414">
        <f>IF(AC23="Easy", VLOOKUP(AB23,'S32 MTM Motion Elements'!$B$106:$E$108,3,0),VLOOKUP(AB23,'S32 MTM Motion Elements'!$B$106:$E$108,4,0))</f>
        <v>11.8</v>
      </c>
      <c r="AF23" s="440">
        <f t="shared" si="6"/>
        <v>71.400000000000006</v>
      </c>
      <c r="AG23" s="88"/>
      <c r="AH23" s="415"/>
      <c r="AI23" s="416"/>
      <c r="AJ23" s="414"/>
      <c r="AK23" s="417"/>
      <c r="AL23" s="418"/>
      <c r="AM23" s="418"/>
      <c r="AN23" s="419"/>
      <c r="AO23" s="420"/>
      <c r="AP23" s="421"/>
      <c r="AQ23" s="422"/>
      <c r="AR23" s="423"/>
    </row>
    <row r="24" spans="1:44">
      <c r="A24" s="412"/>
      <c r="B24" s="425">
        <v>20</v>
      </c>
      <c r="C24" s="426" t="s">
        <v>953</v>
      </c>
      <c r="D24" s="3">
        <f t="shared" si="0"/>
        <v>8</v>
      </c>
      <c r="E24" s="88">
        <f>VLOOKUP(B24,'S32 MTM Motion Elements'!$A$5:$F$25,MATCH(C24,'S32 MTM Motion Elements'!$B$4:$F$4)+1,1)</f>
        <v>8.6999999999999993</v>
      </c>
      <c r="F24" s="424" t="s">
        <v>1239</v>
      </c>
      <c r="G24" s="3">
        <f t="shared" si="1"/>
        <v>8</v>
      </c>
      <c r="H24" s="414">
        <f>VLOOKUP(F24,'S32 MTM Motion Elements'!$B$30:$C$40,2,0)</f>
        <v>10.8</v>
      </c>
      <c r="I24" s="425">
        <v>46</v>
      </c>
      <c r="J24" s="3" t="s">
        <v>934</v>
      </c>
      <c r="K24" s="3">
        <f t="shared" si="2"/>
        <v>16</v>
      </c>
      <c r="L24" s="88">
        <f>VLOOKUP(I24,'S32 MTM Motion Elements'!$A$46:$D$66,MATCH(J24,'S32 MTM Motion Elements'!$A$45:$D$45,0),1)</f>
        <v>20.399999999999999</v>
      </c>
      <c r="M24" s="6" t="s">
        <v>1261</v>
      </c>
      <c r="N24" s="3" t="s">
        <v>1260</v>
      </c>
      <c r="O24" s="3" t="s">
        <v>1312</v>
      </c>
      <c r="P24" s="426">
        <v>8</v>
      </c>
      <c r="Q24" s="88" cm="1">
        <f t="array" ref="Q24">VLOOKUP(M24&amp;"-"&amp;N24,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MATCH(O24,'S32 MTM Motion Elements'!$D$70:$E$70,0)+1,
0)</f>
        <v>21</v>
      </c>
      <c r="R24" s="6" t="s">
        <v>1266</v>
      </c>
      <c r="S24" s="3">
        <f t="shared" si="3"/>
        <v>8</v>
      </c>
      <c r="T24" s="88">
        <f>VLOOKUP(R24,'S32 MTM Motion Elements'!$A$84:$B$88,2,1)</f>
        <v>3</v>
      </c>
      <c r="U24" s="6" t="s">
        <v>1284</v>
      </c>
      <c r="V24" s="3" t="s">
        <v>1273</v>
      </c>
      <c r="W24" s="3">
        <f t="shared" si="4"/>
        <v>24</v>
      </c>
      <c r="X24" s="88">
        <f>VLOOKUP(U24,'S32 MTM Motion Elements'!$A$92:$L$95,MATCH(V24,'S32 MTM Motion Elements'!$A$92:$L$92,0),0)</f>
        <v>12.3</v>
      </c>
      <c r="Y24" s="6">
        <v>1</v>
      </c>
      <c r="Z24" s="3">
        <v>6</v>
      </c>
      <c r="AA24" s="88">
        <f>IF(Y24=1,'S32 MTM Motion Elements'!$B$100,'S32 MTM Motion Elements'!$B$101)</f>
        <v>2</v>
      </c>
      <c r="AB24" s="6" t="s">
        <v>1290</v>
      </c>
      <c r="AC24" s="3" t="s">
        <v>1313</v>
      </c>
      <c r="AD24" s="85">
        <f t="shared" si="5"/>
        <v>8</v>
      </c>
      <c r="AE24" s="414">
        <f>IF(AC24="Easy", VLOOKUP(AB24,'S32 MTM Motion Elements'!$B$106:$E$108,3,0),VLOOKUP(AB24,'S32 MTM Motion Elements'!$B$106:$E$108,4,0))</f>
        <v>34.700000000000003</v>
      </c>
      <c r="AF24" s="440">
        <f t="shared" si="6"/>
        <v>112.9</v>
      </c>
      <c r="AG24" s="88"/>
      <c r="AH24" s="415"/>
      <c r="AI24" s="416"/>
      <c r="AJ24" s="414"/>
      <c r="AK24" s="417"/>
      <c r="AL24" s="418"/>
      <c r="AM24" s="418"/>
      <c r="AN24" s="419"/>
      <c r="AO24" s="420"/>
      <c r="AP24" s="421"/>
      <c r="AQ24" s="422"/>
      <c r="AR24" s="423"/>
    </row>
    <row r="25" spans="1:44">
      <c r="A25" s="412"/>
      <c r="B25" s="6">
        <v>30</v>
      </c>
      <c r="C25" s="3" t="s">
        <v>937</v>
      </c>
      <c r="D25" s="3">
        <f t="shared" si="0"/>
        <v>8</v>
      </c>
      <c r="E25" s="88">
        <f>VLOOKUP(B25,'S32 MTM Motion Elements'!$A$5:$F$25,MATCH(C25,'S32 MTM Motion Elements'!$B$4:$F$4)+1,1)</f>
        <v>12.9</v>
      </c>
      <c r="F25" s="424">
        <v>3</v>
      </c>
      <c r="G25" s="3">
        <f t="shared" si="1"/>
        <v>8</v>
      </c>
      <c r="H25" s="414">
        <f>VLOOKUP(F25,'S32 MTM Motion Elements'!$B$30:$C$40,2,0)</f>
        <v>5.6</v>
      </c>
      <c r="I25" s="6">
        <v>43</v>
      </c>
      <c r="J25" s="3" t="s">
        <v>934</v>
      </c>
      <c r="K25" s="3">
        <f t="shared" si="2"/>
        <v>16</v>
      </c>
      <c r="L25" s="88">
        <f>VLOOKUP(I25,'S32 MTM Motion Elements'!$A$46:$D$66,MATCH(J25,'S32 MTM Motion Elements'!$A$45:$D$45,0),1)</f>
        <v>18.7</v>
      </c>
      <c r="M25" s="6" t="s">
        <v>1257</v>
      </c>
      <c r="N25" s="3" t="s">
        <v>1260</v>
      </c>
      <c r="O25" s="3" t="s">
        <v>1313</v>
      </c>
      <c r="P25" s="3">
        <v>8</v>
      </c>
      <c r="Q25" s="88" cm="1">
        <f t="array" ref="Q25">VLOOKUP(M25&amp;"-"&amp;N25,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MATCH(O25,'S32 MTM Motion Elements'!$D$70:$E$70,0)+1,
0)</f>
        <v>16</v>
      </c>
      <c r="R25" s="6" t="s">
        <v>1267</v>
      </c>
      <c r="S25" s="3">
        <f t="shared" si="3"/>
        <v>8</v>
      </c>
      <c r="T25" s="88">
        <f>VLOOKUP(R25,'S32 MTM Motion Elements'!$A$84:$B$88,2,1)</f>
        <v>3.4</v>
      </c>
      <c r="U25" s="6" t="s">
        <v>1284</v>
      </c>
      <c r="V25" s="3" t="s">
        <v>1277</v>
      </c>
      <c r="W25" s="3">
        <f t="shared" si="4"/>
        <v>24</v>
      </c>
      <c r="X25" s="88">
        <f>VLOOKUP(U25,'S32 MTM Motion Elements'!$A$92:$L$95,MATCH(V25,'S32 MTM Motion Elements'!$A$92:$L$92,0),0)</f>
        <v>20.399999999999999</v>
      </c>
      <c r="Y25" s="6">
        <v>1</v>
      </c>
      <c r="Z25" s="3">
        <v>6</v>
      </c>
      <c r="AA25" s="88">
        <f>IF(Y25=1,'S32 MTM Motion Elements'!$B$100,'S32 MTM Motion Elements'!$B$101)</f>
        <v>2</v>
      </c>
      <c r="AB25" s="6" t="s">
        <v>1261</v>
      </c>
      <c r="AC25" s="3" t="s">
        <v>1313</v>
      </c>
      <c r="AD25" s="85">
        <f t="shared" si="5"/>
        <v>8</v>
      </c>
      <c r="AE25" s="414">
        <f>IF(AC25="Easy", VLOOKUP(AB25,'S32 MTM Motion Elements'!$B$106:$E$108,3,0),VLOOKUP(AB25,'S32 MTM Motion Elements'!$B$106:$E$108,4,0))</f>
        <v>11.8</v>
      </c>
      <c r="AF25" s="440">
        <f t="shared" si="6"/>
        <v>90.8</v>
      </c>
      <c r="AG25" s="88"/>
      <c r="AH25" s="415"/>
      <c r="AI25" s="416"/>
      <c r="AJ25" s="414"/>
      <c r="AK25" s="417"/>
      <c r="AL25" s="418"/>
      <c r="AM25" s="418"/>
      <c r="AN25" s="419"/>
      <c r="AO25" s="420"/>
      <c r="AP25" s="421"/>
      <c r="AQ25" s="422"/>
      <c r="AR25" s="423"/>
    </row>
    <row r="26" spans="1:44">
      <c r="A26" s="412"/>
      <c r="B26" s="6">
        <v>45</v>
      </c>
      <c r="C26" s="3" t="s">
        <v>953</v>
      </c>
      <c r="D26" s="3">
        <f t="shared" si="0"/>
        <v>8</v>
      </c>
      <c r="E26" s="88">
        <f>VLOOKUP(B26,'S32 MTM Motion Elements'!$A$5:$F$25,MATCH(C26,'S32 MTM Motion Elements'!$B$4:$F$4)+1,1)</f>
        <v>14.2</v>
      </c>
      <c r="F26" s="424">
        <v>2</v>
      </c>
      <c r="G26" s="3">
        <f t="shared" si="1"/>
        <v>8</v>
      </c>
      <c r="H26" s="414">
        <f>VLOOKUP(F26,'S32 MTM Motion Elements'!$B$30:$C$40,2,0)</f>
        <v>5.6</v>
      </c>
      <c r="I26" s="6">
        <v>24</v>
      </c>
      <c r="J26" s="3" t="s">
        <v>934</v>
      </c>
      <c r="K26" s="3">
        <f t="shared" si="2"/>
        <v>16</v>
      </c>
      <c r="L26" s="88">
        <f>VLOOKUP(I26,'S32 MTM Motion Elements'!$A$46:$D$66,MATCH(J26,'S32 MTM Motion Elements'!$A$45:$D$45,0),1)</f>
        <v>12.7</v>
      </c>
      <c r="M26" s="6" t="s">
        <v>1257</v>
      </c>
      <c r="N26" s="3" t="s">
        <v>1259</v>
      </c>
      <c r="O26" s="3" t="s">
        <v>1313</v>
      </c>
      <c r="P26" s="3">
        <v>8</v>
      </c>
      <c r="Q26" s="88" cm="1">
        <f t="array" ref="Q26">VLOOKUP(M26&amp;"-"&amp;N26,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MATCH(O26,'S32 MTM Motion Elements'!$D$70:$E$70,0)+1,
0)</f>
        <v>14.7</v>
      </c>
      <c r="R26" s="6" t="s">
        <v>1268</v>
      </c>
      <c r="S26" s="3">
        <f t="shared" si="3"/>
        <v>8</v>
      </c>
      <c r="T26" s="88">
        <f>VLOOKUP(R26,'S32 MTM Motion Elements'!$A$84:$B$88,2,1)</f>
        <v>3.4</v>
      </c>
      <c r="U26" s="6" t="s">
        <v>1283</v>
      </c>
      <c r="V26" s="3" t="s">
        <v>1275</v>
      </c>
      <c r="W26" s="3">
        <f t="shared" si="4"/>
        <v>24</v>
      </c>
      <c r="X26" s="88">
        <f>VLOOKUP(U26,'S32 MTM Motion Elements'!$A$92:$L$95,MATCH(V26,'S32 MTM Motion Elements'!$A$92:$L$92,0),0)</f>
        <v>8.6</v>
      </c>
      <c r="Y26" s="6">
        <v>1</v>
      </c>
      <c r="Z26" s="3">
        <v>6</v>
      </c>
      <c r="AA26" s="88">
        <f>IF(Y26=1,'S32 MTM Motion Elements'!$B$100,'S32 MTM Motion Elements'!$B$101)</f>
        <v>2</v>
      </c>
      <c r="AB26" s="6" t="s">
        <v>1257</v>
      </c>
      <c r="AC26" s="3" t="s">
        <v>1312</v>
      </c>
      <c r="AD26" s="85">
        <f t="shared" si="5"/>
        <v>8</v>
      </c>
      <c r="AE26" s="414">
        <f>IF(AC26="Easy", VLOOKUP(AB26,'S32 MTM Motion Elements'!$B$106:$E$108,3,0),VLOOKUP(AB26,'S32 MTM Motion Elements'!$B$106:$E$108,4,0))</f>
        <v>4</v>
      </c>
      <c r="AF26" s="440">
        <f t="shared" si="6"/>
        <v>65.2</v>
      </c>
      <c r="AG26" s="88"/>
      <c r="AH26" s="415"/>
      <c r="AI26" s="416"/>
      <c r="AJ26" s="414"/>
      <c r="AK26" s="417"/>
      <c r="AL26" s="418"/>
      <c r="AM26" s="418"/>
      <c r="AN26" s="419"/>
      <c r="AO26" s="420"/>
      <c r="AP26" s="421"/>
      <c r="AQ26" s="422"/>
      <c r="AR26" s="423"/>
    </row>
    <row r="27" spans="1:44">
      <c r="A27" s="412"/>
      <c r="B27" s="6">
        <v>40</v>
      </c>
      <c r="C27" s="3" t="s">
        <v>953</v>
      </c>
      <c r="D27" s="3">
        <f t="shared" si="0"/>
        <v>8</v>
      </c>
      <c r="E27" s="88">
        <f>VLOOKUP(B27,'S32 MTM Motion Elements'!$A$5:$F$25,MATCH(C27,'S32 MTM Motion Elements'!$B$4:$F$4)+1,1)</f>
        <v>13</v>
      </c>
      <c r="F27" s="424" t="s">
        <v>1235</v>
      </c>
      <c r="G27" s="3">
        <f t="shared" si="1"/>
        <v>8</v>
      </c>
      <c r="H27" s="414">
        <f>VLOOKUP(F27,'S32 MTM Motion Elements'!$B$30:$C$40,2,0)</f>
        <v>2</v>
      </c>
      <c r="I27" s="6">
        <v>56</v>
      </c>
      <c r="J27" s="3" t="s">
        <v>934</v>
      </c>
      <c r="K27" s="3">
        <f t="shared" si="2"/>
        <v>16</v>
      </c>
      <c r="L27" s="88">
        <f>VLOOKUP(I27,'S32 MTM Motion Elements'!$A$46:$D$66,MATCH(J27,'S32 MTM Motion Elements'!$A$45:$D$45,0),1)</f>
        <v>23.8</v>
      </c>
      <c r="M27" s="6" t="s">
        <v>1262</v>
      </c>
      <c r="N27" s="3" t="s">
        <v>1258</v>
      </c>
      <c r="O27" s="3" t="s">
        <v>1312</v>
      </c>
      <c r="P27" s="3">
        <v>8</v>
      </c>
      <c r="Q27" s="88" cm="1">
        <f t="array" ref="Q27">VLOOKUP(M27&amp;"-"&amp;N27,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MATCH(O27,'S32 MTM Motion Elements'!$D$70:$E$70,0)+1,
0)</f>
        <v>43</v>
      </c>
      <c r="R27" s="6" t="s">
        <v>1267</v>
      </c>
      <c r="S27" s="3">
        <f t="shared" si="3"/>
        <v>8</v>
      </c>
      <c r="T27" s="88">
        <f>VLOOKUP(R27,'S32 MTM Motion Elements'!$A$84:$B$88,2,1)</f>
        <v>3.4</v>
      </c>
      <c r="U27" s="6" t="s">
        <v>1284</v>
      </c>
      <c r="V27" s="3" t="s">
        <v>1273</v>
      </c>
      <c r="W27" s="3">
        <f t="shared" si="4"/>
        <v>24</v>
      </c>
      <c r="X27" s="88">
        <f>VLOOKUP(U27,'S32 MTM Motion Elements'!$A$92:$L$95,MATCH(V27,'S32 MTM Motion Elements'!$A$92:$L$92,0),0)</f>
        <v>12.3</v>
      </c>
      <c r="Y27" s="6">
        <v>1</v>
      </c>
      <c r="Z27" s="3">
        <v>6</v>
      </c>
      <c r="AA27" s="88">
        <f>IF(Y27=1,'S32 MTM Motion Elements'!$B$100,'S32 MTM Motion Elements'!$B$101)</f>
        <v>2</v>
      </c>
      <c r="AB27" s="6" t="s">
        <v>1261</v>
      </c>
      <c r="AC27" s="3" t="s">
        <v>1313</v>
      </c>
      <c r="AD27" s="85">
        <f t="shared" si="5"/>
        <v>8</v>
      </c>
      <c r="AE27" s="414">
        <f>IF(AC27="Easy", VLOOKUP(AB27,'S32 MTM Motion Elements'!$B$106:$E$108,3,0),VLOOKUP(AB27,'S32 MTM Motion Elements'!$B$106:$E$108,4,0))</f>
        <v>11.8</v>
      </c>
      <c r="AF27" s="440">
        <f t="shared" si="6"/>
        <v>111.3</v>
      </c>
      <c r="AG27" s="88"/>
      <c r="AH27" s="415"/>
      <c r="AI27" s="416"/>
      <c r="AJ27" s="414"/>
      <c r="AK27" s="417"/>
      <c r="AL27" s="418"/>
      <c r="AM27" s="418"/>
      <c r="AN27" s="419"/>
      <c r="AO27" s="420"/>
      <c r="AP27" s="421"/>
      <c r="AQ27" s="422"/>
      <c r="AR27" s="423"/>
    </row>
    <row r="28" spans="1:44" ht="16" thickBot="1">
      <c r="A28" s="427"/>
      <c r="B28" s="74">
        <v>35</v>
      </c>
      <c r="C28" s="75" t="s">
        <v>953</v>
      </c>
      <c r="D28" s="75">
        <f t="shared" si="0"/>
        <v>8</v>
      </c>
      <c r="E28" s="88">
        <f>VLOOKUP(B28,'S32 MTM Motion Elements'!$A$5:$F$25,MATCH(C28,'S32 MTM Motion Elements'!$B$4:$F$4)+1,1)</f>
        <v>11.8</v>
      </c>
      <c r="F28" s="428" t="s">
        <v>1243</v>
      </c>
      <c r="G28" s="75">
        <f t="shared" si="1"/>
        <v>8</v>
      </c>
      <c r="H28" s="414">
        <f>VLOOKUP(F28,'S32 MTM Motion Elements'!$B$30:$C$40,2,0)</f>
        <v>7.3</v>
      </c>
      <c r="I28" s="74">
        <v>67</v>
      </c>
      <c r="J28" s="75" t="s">
        <v>934</v>
      </c>
      <c r="K28" s="75">
        <f t="shared" si="2"/>
        <v>16</v>
      </c>
      <c r="L28" s="88">
        <f>VLOOKUP(I28,'S32 MTM Motion Elements'!$A$46:$D$66,MATCH(J28,'S32 MTM Motion Elements'!$A$45:$D$45,0),1)</f>
        <v>27.3</v>
      </c>
      <c r="M28" s="74" t="s">
        <v>1261</v>
      </c>
      <c r="N28" s="75" t="s">
        <v>1260</v>
      </c>
      <c r="O28" s="75" t="s">
        <v>1313</v>
      </c>
      <c r="P28" s="75">
        <v>8</v>
      </c>
      <c r="Q28" s="88" cm="1">
        <f t="array" ref="Q28">VLOOKUP(M28&amp;"-"&amp;N28,
                   CHOOSE({1,2,3},
                                   'S32 MTM Motion Elements'!$B$71:$B$79&amp;"-"&amp;'S32 MTM Motion Elements'!$C$71:$C$79,
                                   'S32 MTM Motion Elements'!$D$71:$D$79,
                                   'S32 MTM Motion Elements'!$E$71:$E$79),
                   MATCH(O28,'S32 MTM Motion Elements'!$D$70:$E$70,0)+1,
0)</f>
        <v>26.6</v>
      </c>
      <c r="R28" s="74" t="s">
        <v>1268</v>
      </c>
      <c r="S28" s="75">
        <f t="shared" si="3"/>
        <v>8</v>
      </c>
      <c r="T28" s="88">
        <f>VLOOKUP(R28,'S32 MTM Motion Elements'!$A$84:$B$88,2,1)</f>
        <v>3.4</v>
      </c>
      <c r="U28" s="74" t="s">
        <v>1284</v>
      </c>
      <c r="V28" s="75" t="s">
        <v>1277</v>
      </c>
      <c r="W28" s="75">
        <f t="shared" si="4"/>
        <v>24</v>
      </c>
      <c r="X28" s="88">
        <f>VLOOKUP(U28,'S32 MTM Motion Elements'!$A$92:$L$95,MATCH(V28,'S32 MTM Motion Elements'!$A$92:$L$92,0),0)</f>
        <v>20.399999999999999</v>
      </c>
      <c r="Y28" s="74">
        <v>1</v>
      </c>
      <c r="Z28" s="75">
        <v>6</v>
      </c>
      <c r="AA28" s="88">
        <f>IF(Y28=1,'S32 MTM Motion Elements'!$B$100,'S32 MTM Motion Elements'!$B$101)</f>
        <v>2</v>
      </c>
      <c r="AB28" s="74" t="s">
        <v>1290</v>
      </c>
      <c r="AC28" s="75" t="s">
        <v>1313</v>
      </c>
      <c r="AD28" s="429">
        <f t="shared" si="5"/>
        <v>8</v>
      </c>
      <c r="AE28" s="414">
        <f>IF(AC28="Easy", VLOOKUP(AB28,'S32 MTM Motion Elements'!$B$106:$E$108,3,0),VLOOKUP(AB28,'S32 MTM Motion Elements'!$B$106:$E$108,4,0))</f>
        <v>34.700000000000003</v>
      </c>
      <c r="AF28" s="440">
        <f t="shared" si="6"/>
        <v>133.5</v>
      </c>
      <c r="AG28" s="102"/>
      <c r="AH28" s="432"/>
      <c r="AI28" s="433"/>
      <c r="AJ28" s="431"/>
      <c r="AK28" s="434"/>
      <c r="AL28" s="435"/>
      <c r="AM28" s="435"/>
      <c r="AN28" s="436"/>
      <c r="AO28" s="437"/>
      <c r="AP28" s="438"/>
      <c r="AQ28" s="230"/>
      <c r="AR28" s="439"/>
    </row>
    <row r="29" spans="1:44" ht="16" thickBot="1">
      <c r="AR29" s="430"/>
    </row>
  </sheetData>
  <mergeCells count="18">
    <mergeCell ref="R1:T1"/>
    <mergeCell ref="A1:A2"/>
    <mergeCell ref="B1:E1"/>
    <mergeCell ref="F1:H1"/>
    <mergeCell ref="I1:L1"/>
    <mergeCell ref="M1:Q1"/>
    <mergeCell ref="AR1:AR2"/>
    <mergeCell ref="U1:X1"/>
    <mergeCell ref="Y1:AA1"/>
    <mergeCell ref="AB1:AE1"/>
    <mergeCell ref="AF1:AF2"/>
    <mergeCell ref="AG1:AG2"/>
    <mergeCell ref="AH1:AH2"/>
    <mergeCell ref="AI1:AI2"/>
    <mergeCell ref="AJ1:AJ2"/>
    <mergeCell ref="AK1:AN1"/>
    <mergeCell ref="AP1:AP2"/>
    <mergeCell ref="AQ1:AQ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618B5F4A48FA43A0B970A9976C7CA2" ma:contentTypeVersion="7" ma:contentTypeDescription="Create a new document." ma:contentTypeScope="" ma:versionID="5bc1c77ed6c51b548f3e7eda0af6ba1a">
  <xsd:schema xmlns:xsd="http://www.w3.org/2001/XMLSchema" xmlns:xs="http://www.w3.org/2001/XMLSchema" xmlns:p="http://schemas.microsoft.com/office/2006/metadata/properties" xmlns:ns2="dad2ed24-b06d-491c-8b69-5db15a324756" targetNamespace="http://schemas.microsoft.com/office/2006/metadata/properties" ma:root="true" ma:fieldsID="d765ab6ac9c84e46825ce2da14a62e77" ns2:_="">
    <xsd:import namespace="dad2ed24-b06d-491c-8b69-5db15a3247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d2ed24-b06d-491c-8b69-5db15a3247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B19631C-9029-4AF8-AE54-798E303866E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36E2327-3772-4AA7-AA34-4D2A801CE79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ad2ed24-b06d-491c-8b69-5db15a324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6DB3E7B-105E-43D7-BBD6-6D0CE2AEA5C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S01 Production Morphology</vt:lpstr>
      <vt:lpstr>S02 Location Selection</vt:lpstr>
      <vt:lpstr>S03 Location Prioritization</vt:lpstr>
      <vt:lpstr>S04 Product Life Cyle</vt:lpstr>
      <vt:lpstr>S05 Req Weights</vt:lpstr>
      <vt:lpstr>S06 Requirements HoQ</vt:lpstr>
      <vt:lpstr>S07 Material Properties</vt:lpstr>
      <vt:lpstr>S08 Mat. Prop. Weights</vt:lpstr>
      <vt:lpstr>S09 Mat. Perf. Index</vt:lpstr>
      <vt:lpstr>S10 Mat. Cost per Strength</vt:lpstr>
      <vt:lpstr>S11 Material FOM</vt:lpstr>
      <vt:lpstr>S12 Size Calculator</vt:lpstr>
      <vt:lpstr>S13 Initial Parameters</vt:lpstr>
      <vt:lpstr>S14 ABC Output</vt:lpstr>
      <vt:lpstr>S15 BOM</vt:lpstr>
      <vt:lpstr>S16 Route Sheets</vt:lpstr>
      <vt:lpstr>S17 Work Stations</vt:lpstr>
      <vt:lpstr>S18 Operations</vt:lpstr>
      <vt:lpstr>S19 Routing Initial</vt:lpstr>
      <vt:lpstr>S20 Clustering</vt:lpstr>
      <vt:lpstr>S21 Routing Clustered</vt:lpstr>
      <vt:lpstr>S22 Required Machine Hours</vt:lpstr>
      <vt:lpstr>S23 Available Working Hours</vt:lpstr>
      <vt:lpstr>S24 Required # of Machines</vt:lpstr>
      <vt:lpstr>S25 Space Coefficient</vt:lpstr>
      <vt:lpstr>S26 Space Requirements</vt:lpstr>
      <vt:lpstr>S27 Material Flow Matrix</vt:lpstr>
      <vt:lpstr>S28 Transportation Matrix</vt:lpstr>
      <vt:lpstr>S29 Distances Matrix</vt:lpstr>
      <vt:lpstr>S30 Transport Intensity Matrix</vt:lpstr>
      <vt:lpstr>S31 Draft Block Layout</vt:lpstr>
      <vt:lpstr>S32 MTM Motion Elements</vt:lpstr>
      <vt:lpstr>S33 Required # Operators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Yilmaz Uygun</dc:creator>
  <cp:lastModifiedBy>hoang nguyen khoi</cp:lastModifiedBy>
  <dcterms:created xsi:type="dcterms:W3CDTF">2019-02-12T08:38:12Z</dcterms:created>
  <dcterms:modified xsi:type="dcterms:W3CDTF">2026-05-26T13:04:27Z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0x010100F3618B5F4A48FA43A0B970A9976C7CA2</vt:lpwstr>
  </property>
</Properties>
</file>